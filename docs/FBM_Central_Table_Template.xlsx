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'Products'!$A$3:$AE$1241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3"/>
    </font>
    <font>
      <name val="Calibri"/>
      <b val="1"/>
      <color rgb="00FFFFFF"/>
      <sz val="9"/>
    </font>
    <font>
      <name val="Calibri"/>
      <b val="1"/>
      <color rgb="001F3864"/>
      <sz val="9"/>
    </font>
    <font>
      <name val="Calibri"/>
      <sz val="9"/>
    </font>
    <font>
      <name val="Calibri"/>
      <b val="1"/>
      <sz val="9"/>
    </font>
  </fonts>
  <fills count="19">
    <fill>
      <patternFill/>
    </fill>
    <fill>
      <patternFill patternType="gray125"/>
    </fill>
    <fill>
      <patternFill patternType="solid">
        <fgColor rgb="001F3864"/>
      </patternFill>
    </fill>
    <fill>
      <patternFill patternType="solid">
        <fgColor rgb="001F618D"/>
      </patternFill>
    </fill>
    <fill>
      <patternFill patternType="solid">
        <fgColor rgb="001A5276"/>
      </patternFill>
    </fill>
    <fill>
      <patternFill patternType="solid">
        <fgColor rgb="00117A65"/>
      </patternFill>
    </fill>
    <fill>
      <patternFill patternType="solid">
        <fgColor rgb="001E8449"/>
      </patternFill>
    </fill>
    <fill>
      <patternFill patternType="solid">
        <fgColor rgb="007D6608"/>
      </patternFill>
    </fill>
    <fill>
      <patternFill patternType="solid">
        <fgColor rgb="00784212"/>
      </patternFill>
    </fill>
    <fill>
      <patternFill patternType="solid">
        <fgColor rgb="006E2F1A"/>
      </patternFill>
    </fill>
    <fill>
      <patternFill patternType="solid">
        <fgColor rgb="004A235A"/>
      </patternFill>
    </fill>
    <fill>
      <patternFill patternType="solid">
        <fgColor rgb="00212F3D"/>
      </patternFill>
    </fill>
    <fill>
      <patternFill patternType="solid">
        <fgColor rgb="00BDD7EE"/>
      </patternFill>
    </fill>
    <fill>
      <patternFill patternType="solid">
        <fgColor rgb="00FFFFFF"/>
      </patternFill>
    </fill>
    <fill>
      <patternFill patternType="solid">
        <fgColor rgb="00FFD93D"/>
      </patternFill>
    </fill>
    <fill>
      <patternFill patternType="solid">
        <fgColor rgb="00F8FBFF"/>
      </patternFill>
    </fill>
    <fill>
      <patternFill patternType="solid">
        <fgColor rgb="00FFE599"/>
      </patternFill>
    </fill>
    <fill>
      <patternFill patternType="solid">
        <fgColor rgb="006BCB77"/>
      </patternFill>
    </fill>
    <fill>
      <patternFill patternType="solid">
        <fgColor rgb="00FF6B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2" fillId="4" borderId="0" applyAlignment="1" pivotButton="0" quotePrefix="0" xfId="0">
      <alignment horizontal="center" vertical="center"/>
    </xf>
    <xf numFmtId="0" fontId="2" fillId="5" borderId="0" applyAlignment="1" pivotButton="0" quotePrefix="0" xfId="0">
      <alignment horizontal="center" vertical="center"/>
    </xf>
    <xf numFmtId="0" fontId="2" fillId="6" borderId="0" applyAlignment="1" pivotButton="0" quotePrefix="0" xfId="0">
      <alignment horizontal="center" vertical="center"/>
    </xf>
    <xf numFmtId="0" fontId="2" fillId="7" borderId="0" applyAlignment="1" pivotButton="0" quotePrefix="0" xfId="0">
      <alignment horizontal="center" vertical="center"/>
    </xf>
    <xf numFmtId="0" fontId="2" fillId="8" borderId="0" applyAlignment="1" pivotButton="0" quotePrefix="0" xfId="0">
      <alignment horizontal="center" vertical="center"/>
    </xf>
    <xf numFmtId="0" fontId="2" fillId="9" borderId="0" applyAlignment="1" pivotButton="0" quotePrefix="0" xfId="0">
      <alignment horizontal="center" vertical="center"/>
    </xf>
    <xf numFmtId="0" fontId="2" fillId="10" borderId="0" applyAlignment="1" pivotButton="0" quotePrefix="0" xfId="0">
      <alignment horizontal="center" vertical="center"/>
    </xf>
    <xf numFmtId="0" fontId="2" fillId="11" borderId="0" applyAlignment="1" pivotButton="0" quotePrefix="0" xfId="0">
      <alignment horizontal="center" vertical="center"/>
    </xf>
    <xf numFmtId="0" fontId="3" fillId="12" borderId="1" applyAlignment="1" pivotButton="0" quotePrefix="0" xfId="0">
      <alignment horizontal="center" vertical="center" wrapText="1"/>
    </xf>
    <xf numFmtId="1" fontId="4" fillId="13" borderId="1" applyAlignment="1" pivotButton="0" quotePrefix="0" xfId="0">
      <alignment horizontal="left" vertical="center"/>
    </xf>
    <xf numFmtId="0" fontId="4" fillId="0" borderId="1" applyAlignment="1" pivotButton="0" quotePrefix="0" xfId="0">
      <alignment horizontal="left" vertical="center"/>
    </xf>
    <xf numFmtId="0" fontId="4" fillId="13" borderId="1" applyAlignment="1" pivotButton="0" quotePrefix="0" xfId="0">
      <alignment horizontal="left" vertical="center"/>
    </xf>
    <xf numFmtId="4" fontId="4" fillId="13" borderId="1" applyAlignment="1" pivotButton="0" quotePrefix="0" xfId="0">
      <alignment horizontal="right" vertical="center"/>
    </xf>
    <xf numFmtId="4" fontId="4" fillId="14" borderId="1" applyAlignment="1" pivotButton="0" quotePrefix="0" xfId="0">
      <alignment horizontal="right" vertical="center"/>
    </xf>
    <xf numFmtId="1" fontId="4" fillId="15" borderId="1" applyAlignment="1" pivotButton="0" quotePrefix="0" xfId="0">
      <alignment horizontal="left" vertical="center"/>
    </xf>
    <xf numFmtId="0" fontId="4" fillId="15" borderId="1" applyAlignment="1" pivotButton="0" quotePrefix="0" xfId="0">
      <alignment horizontal="left" vertical="center"/>
    </xf>
    <xf numFmtId="4" fontId="4" fillId="15" borderId="1" applyAlignment="1" pivotButton="0" quotePrefix="0" xfId="0">
      <alignment horizontal="right" vertical="center"/>
    </xf>
    <xf numFmtId="0" fontId="4" fillId="16" borderId="1" applyAlignment="1" pivotButton="0" quotePrefix="0" xfId="0">
      <alignment horizontal="left" vertical="center"/>
    </xf>
    <xf numFmtId="4" fontId="5" fillId="17" borderId="1" applyAlignment="1" pivotButton="0" quotePrefix="0" xfId="0">
      <alignment horizontal="right" vertical="center"/>
    </xf>
    <xf numFmtId="4" fontId="2" fillId="18" borderId="1" applyAlignment="1" pivotButton="0" quotePrefix="0" xfId="0">
      <alignment horizontal="right" vertical="center"/>
    </xf>
    <xf numFmtId="4" fontId="4"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241"/>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8" customWidth="1" min="3" max="3"/>
    <col width="14" customWidth="1" min="4" max="4"/>
    <col width="18" customWidth="1" min="5" max="5"/>
    <col width="16" customWidth="1" min="6" max="6"/>
    <col width="12" customWidth="1" min="7" max="7"/>
    <col width="12" customWidth="1" min="8" max="8"/>
    <col width="35" customWidth="1" min="9" max="9"/>
    <col width="10" customWidth="1" min="10" max="10"/>
    <col width="35" customWidth="1" min="11" max="11"/>
    <col width="12" customWidth="1" min="12" max="12"/>
    <col width="14" customWidth="1" min="13" max="13"/>
    <col width="14" customWidth="1" min="14" max="14"/>
    <col width="16" customWidth="1" min="15" max="15"/>
    <col width="13" customWidth="1" min="16" max="16"/>
    <col width="13" customWidth="1" min="17" max="17"/>
    <col width="12" customWidth="1" min="18" max="18"/>
    <col width="16" customWidth="1" min="19" max="19"/>
    <col width="14" customWidth="1" min="20" max="20"/>
    <col width="16" customWidth="1" min="21" max="21"/>
    <col width="16" customWidth="1" min="22" max="22"/>
    <col width="14" customWidth="1" min="23" max="23"/>
    <col width="13" customWidth="1" min="24" max="24"/>
    <col width="16" customWidth="1" min="25" max="25"/>
    <col width="13" customWidth="1" min="26" max="26"/>
    <col width="12" customWidth="1" min="27" max="27"/>
    <col width="16" customWidth="1" min="28" max="28"/>
    <col width="11" customWidth="1" min="29" max="29"/>
    <col width="16" customWidth="1" min="30" max="30"/>
    <col width="14" customWidth="1" min="31" max="31"/>
  </cols>
  <sheetData>
    <row r="1" ht="28" customHeight="1">
      <c r="A1" s="1" t="inlineStr">
        <is>
          <t>AMAZON FBM — Централна продуктова таблица</t>
        </is>
      </c>
    </row>
    <row r="2" ht="18" customHeight="1">
      <c r="A2" s="2" t="inlineStr">
        <is>
          <t>ИДЕНТИФИКАЦИЯ</t>
        </is>
      </c>
      <c r="C2" s="3" t="inlineStr">
        <is>
          <t>КОРЕКЦИЯ</t>
        </is>
      </c>
      <c r="E2" s="4" t="inlineStr">
        <is>
          <t>ДОСТАВЧИК</t>
        </is>
      </c>
      <c r="H2" s="5" t="inlineStr">
        <is>
          <t>ПРОДУКТ</t>
        </is>
      </c>
      <c r="M2" s="6" t="inlineStr">
        <is>
          <t>ЦЕНИ AMAZON</t>
        </is>
      </c>
      <c r="P2" s="7" t="inlineStr">
        <is>
          <t>НАШИ ЦЕНИ</t>
        </is>
      </c>
      <c r="S2" s="8" t="inlineStr">
        <is>
          <t>РАЗХОДИ</t>
        </is>
      </c>
      <c r="Y2" s="9" t="inlineStr">
        <is>
          <t>ДОПЪЛНИТЕЛНО</t>
        </is>
      </c>
      <c r="AC2" s="10" t="inlineStr">
        <is>
          <t>СТАТУС</t>
        </is>
      </c>
    </row>
    <row r="3" ht="36" customHeight="1">
      <c r="A3" s="11" t="inlineStr">
        <is>
          <t>EAN AMAZON</t>
        </is>
      </c>
      <c r="B3" s="11" t="inlineStr">
        <is>
          <t>EAN Source</t>
        </is>
      </c>
      <c r="C3" s="11" t="inlineStr">
        <is>
          <t>Корекция / Забележка</t>
        </is>
      </c>
      <c r="D3" s="11" t="inlineStr">
        <is>
          <t>Статус корекция</t>
        </is>
      </c>
      <c r="E3" s="11" t="inlineStr">
        <is>
          <t>OUR SKU</t>
        </is>
      </c>
      <c r="F3" s="11" t="inlineStr">
        <is>
          <t>SOURCE Catalog Nr.</t>
        </is>
      </c>
      <c r="G3" s="11" t="inlineStr">
        <is>
          <t>SOURCE</t>
        </is>
      </c>
      <c r="H3" s="11" t="inlineStr">
        <is>
          <t>Brand</t>
        </is>
      </c>
      <c r="I3" s="11" t="inlineStr">
        <is>
          <t>Model</t>
        </is>
      </c>
      <c r="J3" s="11" t="inlineStr">
        <is>
          <t>Electronic?</t>
        </is>
      </c>
      <c r="K3" s="11" t="inlineStr">
        <is>
          <t>Product (Amazon Link)</t>
        </is>
      </c>
      <c r="L3" s="11" t="inlineStr">
        <is>
          <t>ASIN</t>
        </is>
      </c>
      <c r="M3" s="11" t="inlineStr">
        <is>
          <t>Price Competitor EUR Brutto</t>
        </is>
      </c>
      <c r="N3" s="11" t="inlineStr">
        <is>
          <t>Price Amazon EUR Brutto</t>
        </is>
      </c>
      <c r="O3" s="11" t="inlineStr">
        <is>
          <t>Продажна Цена Amazon EUR Brutto</t>
        </is>
      </c>
      <c r="P3" s="11" t="inlineStr">
        <is>
          <t>OUR Price No VAT</t>
        </is>
      </c>
      <c r="Q3" s="11" t="inlineStr">
        <is>
          <t>OUR Price VAT</t>
        </is>
      </c>
      <c r="R3" s="11" t="inlineStr">
        <is>
          <t>Amazon Fees</t>
        </is>
      </c>
      <c r="S3" s="11" t="inlineStr">
        <is>
          <t>Цена Доставчик EUR Netto</t>
        </is>
      </c>
      <c r="T3" s="11" t="inlineStr">
        <is>
          <t>ДДС от Цена Доставчик EUR</t>
        </is>
      </c>
      <c r="U3" s="11" t="inlineStr">
        <is>
          <t>Транспорт от Доставчик до нас</t>
        </is>
      </c>
      <c r="V3" s="11" t="inlineStr">
        <is>
          <t>Транспорт до кр. клиент EUR Netto</t>
        </is>
      </c>
      <c r="W3" s="11" t="inlineStr">
        <is>
          <t>ДДС Транспорт до кр. клиент</t>
        </is>
      </c>
      <c r="X3" s="11" t="inlineStr">
        <is>
          <t>Result (Марж)</t>
        </is>
      </c>
      <c r="Y3" s="11" t="inlineStr">
        <is>
          <t>Намерена 2ра обява</t>
        </is>
      </c>
      <c r="Z3" s="11" t="inlineStr">
        <is>
          <t>Цена ES/FR/IT</t>
        </is>
      </c>
      <c r="AA3" s="11" t="inlineStr">
        <is>
          <t>DM цена</t>
        </is>
      </c>
      <c r="AB3" s="11" t="inlineStr">
        <is>
          <t>Нова цена след намаление</t>
        </is>
      </c>
      <c r="AC3" s="11" t="inlineStr">
        <is>
          <t>Доставени</t>
        </is>
      </c>
      <c r="AD3" s="11" t="inlineStr">
        <is>
          <t>За следваща поръчка</t>
        </is>
      </c>
      <c r="AE3" s="11" t="inlineStr">
        <is>
          <t>Upload Status</t>
        </is>
      </c>
    </row>
    <row r="4" ht="16" customHeight="1">
      <c r="A4" s="12" t="n">
        <v>4015400259275</v>
      </c>
      <c r="B4" s="12" t="n">
        <v>4015400259275</v>
      </c>
      <c r="C4" s="13" t="n"/>
      <c r="D4" s="14" t="n"/>
      <c r="E4" s="14" t="inlineStr">
        <is>
          <t>ORB-4015400259275</t>
        </is>
      </c>
      <c r="F4" s="12" t="n"/>
      <c r="G4" s="14" t="inlineStr">
        <is>
          <t>Orbico</t>
        </is>
      </c>
      <c r="H4" s="14" t="inlineStr">
        <is>
          <t>Always</t>
        </is>
      </c>
      <c r="I4" s="14" t="inlineStr">
        <is>
          <t>Always Classic Damenbinden Normal 10 Stück</t>
        </is>
      </c>
      <c r="J4" s="14" t="inlineStr">
        <is>
          <t>No</t>
        </is>
      </c>
      <c r="K4" s="14" t="inlineStr">
        <is>
          <t>https://www.amazon.de/dp/B01KOFIZMK</t>
        </is>
      </c>
      <c r="L4" s="14" t="inlineStr">
        <is>
          <t>B01KOFIZMK</t>
        </is>
      </c>
      <c r="M4" s="15" t="n">
        <v>8.6</v>
      </c>
      <c r="N4" s="15" t="n">
        <v>6.4</v>
      </c>
      <c r="O4" s="15" t="n">
        <v>7.49</v>
      </c>
      <c r="P4" s="15">
        <f>O4/1.19</f>
        <v/>
      </c>
      <c r="Q4" s="15">
        <f>O4-P4</f>
        <v/>
      </c>
      <c r="R4" s="15">
        <f>O4*0.15</f>
        <v/>
      </c>
      <c r="S4" s="15" t="n">
        <v>1.18</v>
      </c>
      <c r="T4" s="15">
        <f>S4*0.2</f>
        <v/>
      </c>
      <c r="U4" s="15" t="n">
        <v>0.4</v>
      </c>
      <c r="V4" s="15" t="n">
        <v>2.62</v>
      </c>
      <c r="W4" s="15">
        <f>V4*0.2</f>
        <v/>
      </c>
      <c r="X4" s="16">
        <f>O4-Q4-R4-S4-U4-V4+T4+W4</f>
        <v/>
      </c>
      <c r="Y4" s="14" t="n"/>
      <c r="Z4" s="15">
        <f>O4+1.5</f>
        <v/>
      </c>
      <c r="AA4" s="15" t="n"/>
      <c r="AB4" s="15" t="n"/>
      <c r="AC4" s="14" t="n"/>
      <c r="AD4" s="14" t="n"/>
      <c r="AE4" s="13" t="inlineStr">
        <is>
          <t>NOT_UPLOADED</t>
        </is>
      </c>
    </row>
    <row r="5" ht="16" customHeight="1">
      <c r="A5" s="17" t="n">
        <v>4015400259459</v>
      </c>
      <c r="B5" s="17" t="n">
        <v>4015400259459</v>
      </c>
      <c r="C5" s="13" t="n"/>
      <c r="D5" s="18" t="n"/>
      <c r="E5" s="18" t="inlineStr">
        <is>
          <t>ORB-4015400259459</t>
        </is>
      </c>
      <c r="F5" s="17" t="n"/>
      <c r="G5" s="18" t="inlineStr">
        <is>
          <t>Orbico</t>
        </is>
      </c>
      <c r="H5" s="18" t="inlineStr">
        <is>
          <t>Always</t>
        </is>
      </c>
      <c r="I5" s="18" t="inlineStr">
        <is>
          <t>Always Max, Classic Long Plus Einlagen, (9er Pack)</t>
        </is>
      </c>
      <c r="J5" s="18" t="inlineStr">
        <is>
          <t>No</t>
        </is>
      </c>
      <c r="K5" s="18" t="inlineStr">
        <is>
          <t>https://www.amazon.de/dp/B07DDN9X4W</t>
        </is>
      </c>
      <c r="L5" s="18" t="inlineStr">
        <is>
          <t>B07DDN9X4W</t>
        </is>
      </c>
      <c r="M5" s="19" t="n">
        <v>11.09</v>
      </c>
      <c r="N5" s="19" t="n">
        <v>6.36</v>
      </c>
      <c r="O5" s="19" t="n">
        <v>7.49</v>
      </c>
      <c r="P5" s="19">
        <f>O5/1.19</f>
        <v/>
      </c>
      <c r="Q5" s="19">
        <f>O5-P5</f>
        <v/>
      </c>
      <c r="R5" s="19">
        <f>O5*0.15</f>
        <v/>
      </c>
      <c r="S5" s="19" t="n">
        <v>1.18</v>
      </c>
      <c r="T5" s="19">
        <f>S5*0.2</f>
        <v/>
      </c>
      <c r="U5" s="19" t="n">
        <v>0.4</v>
      </c>
      <c r="V5" s="19" t="n">
        <v>2.62</v>
      </c>
      <c r="W5" s="19">
        <f>V5*0.2</f>
        <v/>
      </c>
      <c r="X5" s="16">
        <f>O5-Q5-R5-S5-U5-V5+T5+W5</f>
        <v/>
      </c>
      <c r="Y5" s="18" t="n"/>
      <c r="Z5" s="19">
        <f>O5+1.5</f>
        <v/>
      </c>
      <c r="AA5" s="19" t="n"/>
      <c r="AB5" s="19" t="n"/>
      <c r="AC5" s="18" t="n"/>
      <c r="AD5" s="18" t="n"/>
      <c r="AE5" s="13" t="inlineStr">
        <is>
          <t>NOT_UPLOADED</t>
        </is>
      </c>
    </row>
    <row r="6" ht="16" customHeight="1">
      <c r="A6" s="12" t="n">
        <v>4015400259459</v>
      </c>
      <c r="B6" s="12" t="n">
        <v>4015400259459</v>
      </c>
      <c r="C6" s="13" t="n"/>
      <c r="D6" s="14" t="n"/>
      <c r="E6" s="14" t="inlineStr">
        <is>
          <t>ORB-4015400259459</t>
        </is>
      </c>
      <c r="F6" s="12" t="n"/>
      <c r="G6" s="14" t="inlineStr">
        <is>
          <t>Orbico</t>
        </is>
      </c>
      <c r="H6" s="14" t="inlineStr">
        <is>
          <t>Always</t>
        </is>
      </c>
      <c r="I6" s="14" t="inlineStr">
        <is>
          <t>Always Klassische 8 Nächtliche Pads für sauberes Gefühl Schutz Weiß, 8 stück</t>
        </is>
      </c>
      <c r="J6" s="14" t="inlineStr">
        <is>
          <t>No</t>
        </is>
      </c>
      <c r="K6" s="14" t="inlineStr">
        <is>
          <t>https://www.amazon.de/dp/B00ISYOH5O</t>
        </is>
      </c>
      <c r="L6" s="14" t="inlineStr">
        <is>
          <t>B00ISYOH5O</t>
        </is>
      </c>
      <c r="M6" s="15" t="n">
        <v>11.09</v>
      </c>
      <c r="N6" s="15" t="n">
        <v>6.36</v>
      </c>
      <c r="O6" s="15" t="n">
        <v>7.49</v>
      </c>
      <c r="P6" s="15">
        <f>O6/1.19</f>
        <v/>
      </c>
      <c r="Q6" s="15">
        <f>O6-P6</f>
        <v/>
      </c>
      <c r="R6" s="15">
        <f>O6*0.15</f>
        <v/>
      </c>
      <c r="S6" s="15" t="n">
        <v>1.18</v>
      </c>
      <c r="T6" s="15">
        <f>S6*0.2</f>
        <v/>
      </c>
      <c r="U6" s="15" t="n">
        <v>0.4</v>
      </c>
      <c r="V6" s="15" t="n">
        <v>2.62</v>
      </c>
      <c r="W6" s="15">
        <f>V6*0.2</f>
        <v/>
      </c>
      <c r="X6" s="16">
        <f>O6-Q6-R6-S6-U6-V6+T6+W6</f>
        <v/>
      </c>
      <c r="Y6" s="14" t="n"/>
      <c r="Z6" s="15">
        <f>O6+1.5</f>
        <v/>
      </c>
      <c r="AA6" s="15" t="n"/>
      <c r="AB6" s="15" t="n"/>
      <c r="AC6" s="14" t="n"/>
      <c r="AD6" s="14" t="n"/>
      <c r="AE6" s="13" t="inlineStr">
        <is>
          <t>NOT_UPLOADED</t>
        </is>
      </c>
    </row>
    <row r="7" ht="16" customHeight="1">
      <c r="A7" s="17" t="n">
        <v>8001090915528</v>
      </c>
      <c r="B7" s="17" t="n">
        <v>8001090915528</v>
      </c>
      <c r="C7" s="13" t="n"/>
      <c r="D7" s="18" t="n"/>
      <c r="E7" s="18" t="inlineStr">
        <is>
          <t>ORB-8001090915528</t>
        </is>
      </c>
      <c r="F7" s="17" t="n"/>
      <c r="G7" s="18" t="inlineStr">
        <is>
          <t>Orbico</t>
        </is>
      </c>
      <c r="H7" s="18" t="inlineStr">
        <is>
          <t>Pantene</t>
        </is>
      </c>
      <c r="I7" s="18" t="inlineStr">
        <is>
          <t>Pantene 200 ml Shampoo Grundpflege</t>
        </is>
      </c>
      <c r="J7" s="18" t="inlineStr">
        <is>
          <t>No</t>
        </is>
      </c>
      <c r="K7" s="18" t="inlineStr">
        <is>
          <t>https://www.amazon.de/dp/B08GG1SJLZ</t>
        </is>
      </c>
      <c r="L7" s="18" t="inlineStr">
        <is>
          <t>B08GG1SJLZ</t>
        </is>
      </c>
      <c r="M7" s="19" t="n">
        <v>8.07</v>
      </c>
      <c r="N7" s="19" t="n">
        <v>0</v>
      </c>
      <c r="O7" s="19" t="n">
        <v>8.99</v>
      </c>
      <c r="P7" s="19">
        <f>O7/1.19</f>
        <v/>
      </c>
      <c r="Q7" s="19">
        <f>O7-P7</f>
        <v/>
      </c>
      <c r="R7" s="19">
        <f>O7*0.15</f>
        <v/>
      </c>
      <c r="S7" s="19" t="n">
        <v>1.44</v>
      </c>
      <c r="T7" s="19">
        <f>S7*0.2</f>
        <v/>
      </c>
      <c r="U7" s="19" t="n">
        <v>0.4</v>
      </c>
      <c r="V7" s="19" t="n">
        <v>4.04</v>
      </c>
      <c r="W7" s="19">
        <f>V7*0.2</f>
        <v/>
      </c>
      <c r="X7" s="16">
        <f>O7-Q7-R7-S7-U7-V7+T7+W7</f>
        <v/>
      </c>
      <c r="Y7" s="18" t="n"/>
      <c r="Z7" s="19">
        <f>O7+1.5</f>
        <v/>
      </c>
      <c r="AA7" s="19" t="n"/>
      <c r="AB7" s="19" t="n"/>
      <c r="AC7" s="18" t="n"/>
      <c r="AD7" s="18" t="n"/>
      <c r="AE7" s="13" t="inlineStr">
        <is>
          <t>NOT_UPLOADED</t>
        </is>
      </c>
    </row>
    <row r="8" ht="16" customHeight="1">
      <c r="A8" s="12" t="n">
        <v>8002910025205</v>
      </c>
      <c r="B8" s="12" t="n">
        <v>8002910025205</v>
      </c>
      <c r="C8" s="20" t="inlineStr">
        <is>
          <t>B01L25EW3C</t>
        </is>
      </c>
      <c r="D8" s="14" t="n"/>
      <c r="E8" s="14" t="inlineStr">
        <is>
          <t>AXX-8002910025205</t>
        </is>
      </c>
      <c r="F8" s="12" t="n"/>
      <c r="G8" s="14" t="inlineStr">
        <is>
          <t>Akson</t>
        </is>
      </c>
      <c r="H8" s="14" t="inlineStr">
        <is>
          <t>AirWick</t>
        </is>
      </c>
      <c r="I8" s="14" t="inlineStr">
        <is>
          <t>Air Wick – Freshmatic Max, Ladekabel Spray Schalter, Raumduft, frische von Leinen und Lavendel – 2 Ersatzminen</t>
        </is>
      </c>
      <c r="J8" s="14" t="inlineStr">
        <is>
          <t>No</t>
        </is>
      </c>
      <c r="K8" s="14" t="inlineStr">
        <is>
          <t>https://www.amazon.de/Freshmatic-Ladekabel-Schalter-Raumduft-Ersatzminen/dp/B01L25EW3C/ref=sr_1_1?__mk_de_DE=%C3%85M%C3%85%C5%BD%C3%95%C3%91&amp;crid=3LAOSBS36OUID&amp;dib=eyJ2IjoiMSJ9.lR7QOAts7C_HtK0PaJbwe6EQ5pU_J19TUUtlBbiDw2Y.q7ntaalE_FJ7ilUn6ASsQwZtFgyxbuft5voRXVLaukg&amp;dib_tag=se&amp;keywords=8002910025205&amp;qid=1709559775&amp;sprefix=8002910025205%2Caps%2C76&amp;sr=8-1&amp;th=1</t>
        </is>
      </c>
      <c r="L8" s="14" t="inlineStr">
        <is>
          <t>B01L25EW3C</t>
        </is>
      </c>
      <c r="M8" s="15" t="n">
        <v>12.78</v>
      </c>
      <c r="N8" s="15" t="n">
        <v>0</v>
      </c>
      <c r="O8" s="15" t="n">
        <v>19.99</v>
      </c>
      <c r="P8" s="15">
        <f>O8/1.19</f>
        <v/>
      </c>
      <c r="Q8" s="15">
        <f>O8-P8</f>
        <v/>
      </c>
      <c r="R8" s="15">
        <f>O8*0.15</f>
        <v/>
      </c>
      <c r="S8" s="15" t="n">
        <v>9.619999999999999</v>
      </c>
      <c r="T8" s="15">
        <f>S8*0.2</f>
        <v/>
      </c>
      <c r="U8" s="15" t="n">
        <v>0.2</v>
      </c>
      <c r="V8" s="15" t="n">
        <v>4.36</v>
      </c>
      <c r="W8" s="15">
        <f>V8*0.2</f>
        <v/>
      </c>
      <c r="X8" s="21">
        <f>O8-Q8-R8-S8-U8-V8+T8+W8</f>
        <v/>
      </c>
      <c r="Y8" s="14" t="inlineStr">
        <is>
          <t>B01L25EW3C</t>
        </is>
      </c>
      <c r="Z8" s="15">
        <f>O8+1.5</f>
        <v/>
      </c>
      <c r="AA8" s="15" t="n"/>
      <c r="AB8" s="15" t="n"/>
      <c r="AC8" s="14" t="n"/>
      <c r="AD8" s="14" t="n"/>
      <c r="AE8" s="13" t="inlineStr">
        <is>
          <t>NOT_UPLOADED</t>
        </is>
      </c>
    </row>
    <row r="9" ht="16" customHeight="1">
      <c r="A9" s="17" t="n">
        <v>8002910051150</v>
      </c>
      <c r="B9" s="17" t="n">
        <v>8002910051150</v>
      </c>
      <c r="C9" s="13" t="n"/>
      <c r="D9" s="18" t="n"/>
      <c r="E9" s="18" t="inlineStr">
        <is>
          <t>AMP-80029100511501</t>
        </is>
      </c>
      <c r="F9" s="17" t="n">
        <v>4803009</v>
      </c>
      <c r="G9" s="18" t="inlineStr">
        <is>
          <t>Amperel</t>
        </is>
      </c>
      <c r="H9" s="18" t="inlineStr">
        <is>
          <t>Scholl</t>
        </is>
      </c>
      <c r="I9" s="18" t="inlineStr">
        <is>
          <t>Pedimask – Nährende Fußmaske mit Macadamia-Öl</t>
        </is>
      </c>
      <c r="J9" s="18" t="inlineStr">
        <is>
          <t>No</t>
        </is>
      </c>
      <c r="K9" s="18" t="inlineStr">
        <is>
          <t>https://www.amazon.de/dp/B07PW98KC4</t>
        </is>
      </c>
      <c r="L9" s="18" t="inlineStr">
        <is>
          <t>B07PW98KC4</t>
        </is>
      </c>
      <c r="M9" s="19" t="n">
        <v>11.65</v>
      </c>
      <c r="N9" s="19" t="n">
        <v>0</v>
      </c>
      <c r="O9" s="19" t="n">
        <v>10.65</v>
      </c>
      <c r="P9" s="19">
        <f>O9/1.19</f>
        <v/>
      </c>
      <c r="Q9" s="19">
        <f>O9-P9</f>
        <v/>
      </c>
      <c r="R9" s="19">
        <f>O9*0.15</f>
        <v/>
      </c>
      <c r="S9" s="19" t="n">
        <v>3.63</v>
      </c>
      <c r="T9" s="19">
        <f>S9*0.2</f>
        <v/>
      </c>
      <c r="U9" s="19" t="n">
        <v>0.4</v>
      </c>
      <c r="V9" s="19" t="n">
        <v>2</v>
      </c>
      <c r="W9" s="19">
        <f>V9*0.2</f>
        <v/>
      </c>
      <c r="X9" s="21">
        <f>O9-Q9-R9-S9-U9-V9+T9+W9</f>
        <v/>
      </c>
      <c r="Y9" s="18" t="n"/>
      <c r="Z9" s="19">
        <f>O9+1.5</f>
        <v/>
      </c>
      <c r="AA9" s="19" t="n"/>
      <c r="AB9" s="19" t="n"/>
      <c r="AC9" s="18" t="n"/>
      <c r="AD9" s="18" t="n"/>
      <c r="AE9" s="13" t="inlineStr">
        <is>
          <t>NOT_UPLOADED</t>
        </is>
      </c>
    </row>
    <row r="10" ht="16" customHeight="1">
      <c r="A10" s="12" t="n">
        <v>4002448129219</v>
      </c>
      <c r="B10" s="12" t="n">
        <v>8002910051150</v>
      </c>
      <c r="C10" s="13" t="n"/>
      <c r="D10" s="14" t="n"/>
      <c r="E10" s="14" t="inlineStr">
        <is>
          <t>AMP-4002448129219</t>
        </is>
      </c>
      <c r="F10" s="12" t="n">
        <v>4803009</v>
      </c>
      <c r="G10" s="14" t="inlineStr">
        <is>
          <t>Amperel</t>
        </is>
      </c>
      <c r="H10" s="14" t="inlineStr">
        <is>
          <t>Scholl</t>
        </is>
      </c>
      <c r="I10" s="14" t="inlineStr">
        <is>
          <t>Scholl Expert Care Intensiv pflegende Fußmaske in Socken - 1 Paar Einwegsocken - Hornhaut Entfernung</t>
        </is>
      </c>
      <c r="J10" s="14" t="inlineStr">
        <is>
          <t>No</t>
        </is>
      </c>
      <c r="K10" s="14" t="inlineStr">
        <is>
          <t>https://www.amazon.de/Scholl-Expert-Intensiv-pflegende-Fu%C3%9Fmaske/dp/B07RX23R17/ref=sr_1_1?__mk_de_DE=%C3%85M%C3%85%C5%BD%C3%95%C3%91&amp;crid=1TIICF66H0IEB&amp;dib=eyJ2IjoiMSJ9.VF4xqDyeT4kpa1T9LfWxRA.gYo1Ku6x-RrRvpHgRBsKaTrUnhe70dSoZFcUds104dY&amp;dib_tag=se&amp;keywords=B07RX23R17&amp;qid=1753996484&amp;s=beauty&amp;sprefix=b07rx23r17%2Cbeauty%2C137&amp;sr=1-1&amp;th=1</t>
        </is>
      </c>
      <c r="L10" s="14" t="inlineStr">
        <is>
          <t>B07RX23R17</t>
        </is>
      </c>
      <c r="M10" s="15" t="n"/>
      <c r="N10" s="15" t="n"/>
      <c r="O10" s="15" t="n">
        <v>9.9</v>
      </c>
      <c r="P10" s="15">
        <f>O10/1.19</f>
        <v/>
      </c>
      <c r="Q10" s="15">
        <f>O10-P10</f>
        <v/>
      </c>
      <c r="R10" s="15">
        <f>O10*0.15</f>
        <v/>
      </c>
      <c r="S10" s="15" t="n">
        <v>3.63</v>
      </c>
      <c r="T10" s="15">
        <f>S10*0.2</f>
        <v/>
      </c>
      <c r="U10" s="15" t="n">
        <v>0.4</v>
      </c>
      <c r="V10" s="15" t="n">
        <v>2</v>
      </c>
      <c r="W10" s="15">
        <f>V10*0.2</f>
        <v/>
      </c>
      <c r="X10" s="16">
        <f>O10-Q10-R10-S10-U10-V10+T10+W10</f>
        <v/>
      </c>
      <c r="Y10" s="14" t="n"/>
      <c r="Z10" s="15">
        <f>O10+1.5</f>
        <v/>
      </c>
      <c r="AA10" s="15" t="n"/>
      <c r="AB10" s="15" t="n"/>
      <c r="AC10" s="14" t="n"/>
      <c r="AD10" s="14" t="n"/>
      <c r="AE10" s="13" t="inlineStr">
        <is>
          <t>NOT_UPLOADED</t>
        </is>
      </c>
    </row>
    <row r="11" ht="16" customHeight="1">
      <c r="A11" s="17" t="n">
        <v>4002448129219</v>
      </c>
      <c r="B11" s="17" t="n">
        <v>8002910051150</v>
      </c>
      <c r="C11" s="13" t="n"/>
      <c r="D11" s="18" t="n"/>
      <c r="E11" s="18" t="inlineStr">
        <is>
          <t>AMP-4002448129219</t>
        </is>
      </c>
      <c r="F11" s="17" t="n">
        <v>4803009</v>
      </c>
      <c r="G11" s="18" t="inlineStr">
        <is>
          <t>Amperel</t>
        </is>
      </c>
      <c r="H11" s="18" t="inlineStr">
        <is>
          <t>Scholl</t>
        </is>
      </c>
      <c r="I11" s="18" t="inlineStr">
        <is>
          <t>Scholl Expert Care Intensiv pflegende Fußmaske in Socken - 1 Paar Einwegsocken - Hornhaut Entfernung</t>
        </is>
      </c>
      <c r="J11" s="18" t="inlineStr">
        <is>
          <t>No</t>
        </is>
      </c>
      <c r="K11" s="18" t="inlineStr">
        <is>
          <t>https://www.amazon.de/Scholl-Expert-Intensiv-pflegende-Fu%C3%9Fmaske/dp/B07RX23R17/ref=sr_1_1?__mk_de_DE=%C3%85M%C3%85%C5%BD%C3%95%C3%91&amp;crid=1TIICF66H0IEB&amp;dib=eyJ2IjoiMSJ9.VF4xqDyeT4kpa1T9LfWxRA.gYo1Ku6x-RrRvpHgRBsKaTrUnhe70dSoZFcUds104dY&amp;dib_tag=se&amp;keywords=B07RX23R17&amp;qid=1753996484&amp;s=beauty&amp;sprefix=b07rx23r17%2Cbeauty%2C137&amp;sr=1-1&amp;th=1</t>
        </is>
      </c>
      <c r="L11" s="18" t="inlineStr">
        <is>
          <t>B07RX23R17</t>
        </is>
      </c>
      <c r="M11" s="19" t="n"/>
      <c r="N11" s="19" t="n"/>
      <c r="O11" s="19" t="n">
        <v>9.9</v>
      </c>
      <c r="P11" s="19">
        <f>O11/1.19</f>
        <v/>
      </c>
      <c r="Q11" s="19">
        <f>O11-P11</f>
        <v/>
      </c>
      <c r="R11" s="19">
        <f>O11*0.15</f>
        <v/>
      </c>
      <c r="S11" s="19" t="n">
        <v>3.63</v>
      </c>
      <c r="T11" s="19">
        <f>S11*0.2</f>
        <v/>
      </c>
      <c r="U11" s="19" t="n">
        <v>0.4</v>
      </c>
      <c r="V11" s="19" t="n">
        <v>2</v>
      </c>
      <c r="W11" s="19">
        <f>V11*0.2</f>
        <v/>
      </c>
      <c r="X11" s="16">
        <f>O11-Q11-R11-S11-U11-V11+T11+W11</f>
        <v/>
      </c>
      <c r="Y11" s="18" t="n"/>
      <c r="Z11" s="19">
        <f>O11+1.5</f>
        <v/>
      </c>
      <c r="AA11" s="19" t="n"/>
      <c r="AB11" s="19" t="n"/>
      <c r="AC11" s="18" t="n"/>
      <c r="AD11" s="18" t="n"/>
      <c r="AE11" s="13" t="inlineStr">
        <is>
          <t>NOT_UPLOADED</t>
        </is>
      </c>
    </row>
    <row r="12" ht="16" customHeight="1">
      <c r="A12" s="12" t="n"/>
      <c r="B12" s="12" t="n">
        <v>8002910051150</v>
      </c>
      <c r="C12" s="13" t="n"/>
      <c r="D12" s="14" t="n"/>
      <c r="E12" s="14" t="inlineStr">
        <is>
          <t>AMP-8002910051150</t>
        </is>
      </c>
      <c r="F12" s="12" t="n">
        <v>4803009</v>
      </c>
      <c r="G12" s="14" t="inlineStr">
        <is>
          <t>Amperel</t>
        </is>
      </c>
      <c r="H12" s="14" t="inlineStr">
        <is>
          <t>Scholl</t>
        </is>
      </c>
      <c r="I12" s="14" t="inlineStr">
        <is>
          <t>Pedimask - Nourishing Foot Mask with Macadamia Oil</t>
        </is>
      </c>
      <c r="J12" s="14" t="inlineStr">
        <is>
          <t>No</t>
        </is>
      </c>
      <c r="K12" s="14" t="inlineStr">
        <is>
          <t>https://www.amazon.de/Pedimask-Nourishing-Foot-Mask-Macadamia/dp/B07QG91SS4/ref=sr_1_1?__mk_de_DE=%C3%85M%C3%85%C5%BD%C3%95%C3%91&amp;dib=eyJ2IjoiMSJ9.pv1pq6tcNz5P3ljGpEmafA.N1FJByj-zFCczfrhJ8kfEfQqHepntgjtYWPnZnlE6cE&amp;dib_tag=se&amp;keywords=B07QG91SS4&amp;qid=1771158903&amp;s=beauty&amp;sr=1-1</t>
        </is>
      </c>
      <c r="L12" s="14" t="inlineStr">
        <is>
          <t>B07QG91SS4</t>
        </is>
      </c>
      <c r="M12" s="15" t="n"/>
      <c r="N12" s="15" t="n"/>
      <c r="O12" s="15" t="n">
        <v>10.65</v>
      </c>
      <c r="P12" s="15">
        <f>O12/1.19</f>
        <v/>
      </c>
      <c r="Q12" s="15">
        <f>O12-P12</f>
        <v/>
      </c>
      <c r="R12" s="15">
        <f>O12*0.15</f>
        <v/>
      </c>
      <c r="S12" s="15" t="n">
        <v>3.63</v>
      </c>
      <c r="T12" s="15">
        <f>S12*0.2</f>
        <v/>
      </c>
      <c r="U12" s="15" t="n">
        <v>0.4</v>
      </c>
      <c r="V12" s="15" t="n">
        <v>2</v>
      </c>
      <c r="W12" s="15">
        <f>V12*0.2</f>
        <v/>
      </c>
      <c r="X12" s="21">
        <f>O12-Q12-R12-S12-U12-V12+T12+W12</f>
        <v/>
      </c>
      <c r="Y12" s="14" t="n"/>
      <c r="Z12" s="15">
        <f>O12+1.5</f>
        <v/>
      </c>
      <c r="AA12" s="15" t="n"/>
      <c r="AB12" s="15" t="n"/>
      <c r="AC12" s="14" t="n"/>
      <c r="AD12" s="14" t="n"/>
      <c r="AE12" s="13" t="inlineStr">
        <is>
          <t>NOT_UPLOADED</t>
        </is>
      </c>
    </row>
    <row r="13" ht="16" customHeight="1">
      <c r="A13" s="17" t="n"/>
      <c r="B13" s="17" t="n">
        <v>8002910051150</v>
      </c>
      <c r="C13" s="20" t="inlineStr">
        <is>
          <t>PACK X 6</t>
        </is>
      </c>
      <c r="D13" s="18" t="n"/>
      <c r="E13" s="18" t="inlineStr">
        <is>
          <t>AMP-4002448129226</t>
        </is>
      </c>
      <c r="F13" s="17" t="n">
        <v>4803009</v>
      </c>
      <c r="G13" s="18" t="inlineStr">
        <is>
          <t>Amperel</t>
        </is>
      </c>
      <c r="H13" s="18" t="inlineStr">
        <is>
          <t>Scholl</t>
        </is>
      </c>
      <c r="I13" s="18" t="inlineStr">
        <is>
          <t>Scholl EC intensiv pflegende Fußmaske Macadamiaöl – Feuchtigkeitsspendende Pflege – 6 x 1 Paar Einwegsocken</t>
        </is>
      </c>
      <c r="J13" s="18" t="inlineStr">
        <is>
          <t>No</t>
        </is>
      </c>
      <c r="K13" s="18" t="inlineStr">
        <is>
          <t>https://www.amazon.de/gp/product/B0CDLVCCCX?th=1</t>
        </is>
      </c>
      <c r="L13" s="18" t="inlineStr">
        <is>
          <t>B0CDLVCCCX</t>
        </is>
      </c>
      <c r="M13" s="19" t="n"/>
      <c r="N13" s="19" t="n"/>
      <c r="O13" s="19" t="n">
        <v>40.99</v>
      </c>
      <c r="P13" s="19">
        <f>O13/1.19</f>
        <v/>
      </c>
      <c r="Q13" s="19">
        <f>O13-P13</f>
        <v/>
      </c>
      <c r="R13" s="19">
        <f>O13*0.15</f>
        <v/>
      </c>
      <c r="S13" s="19" t="n">
        <v>21.78</v>
      </c>
      <c r="T13" s="19">
        <f>S13*0.2</f>
        <v/>
      </c>
      <c r="U13" s="19" t="n">
        <v>0.4</v>
      </c>
      <c r="V13" s="19" t="n">
        <v>6.5</v>
      </c>
      <c r="W13" s="19">
        <f>V13*0.2</f>
        <v/>
      </c>
      <c r="X13" s="21">
        <f>O13-Q13-R13-S13-U13-V13+T13+W13</f>
        <v/>
      </c>
      <c r="Y13" s="18" t="n"/>
      <c r="Z13" s="19">
        <f>O13+1.5</f>
        <v/>
      </c>
      <c r="AA13" s="19" t="n"/>
      <c r="AB13" s="19" t="n"/>
      <c r="AC13" s="18" t="n"/>
      <c r="AD13" s="18" t="n"/>
      <c r="AE13" s="13" t="inlineStr">
        <is>
          <t>NOT_UPLOADED</t>
        </is>
      </c>
    </row>
    <row r="14" ht="16" customHeight="1">
      <c r="A14" s="12" t="n">
        <v>5391520943089</v>
      </c>
      <c r="B14" s="12" t="n">
        <v>5391520943089</v>
      </c>
      <c r="C14" s="13" t="n"/>
      <c r="D14" s="14" t="n"/>
      <c r="E14" s="14" t="inlineStr">
        <is>
          <t>AMP-5391520943089</t>
        </is>
      </c>
      <c r="F14" s="12" t="n">
        <v>3201015</v>
      </c>
      <c r="G14" s="14" t="inlineStr">
        <is>
          <t>Amperel</t>
        </is>
      </c>
      <c r="H14" s="14" t="inlineStr">
        <is>
          <t>Lactacyd</t>
        </is>
      </c>
      <c r="I14" s="14" t="inlineStr">
        <is>
          <t>Lactacyd Intimate Wash Sensitive Enriched with Natural Lactic Acid &amp; Cotton Extract, 200 ml Lactacyd</t>
        </is>
      </c>
      <c r="J14" s="14" t="inlineStr">
        <is>
          <t>No</t>
        </is>
      </c>
      <c r="K14" s="14" t="inlineStr">
        <is>
          <t>https://www.amazon.de/dp/B01BJ002MK</t>
        </is>
      </c>
      <c r="L14" s="14" t="inlineStr">
        <is>
          <t>B01BJ002MK</t>
        </is>
      </c>
      <c r="M14" s="15" t="n">
        <v>14.7</v>
      </c>
      <c r="N14" s="15" t="n">
        <v>0</v>
      </c>
      <c r="O14" s="15" t="n">
        <v>12.9</v>
      </c>
      <c r="P14" s="15">
        <f>O14/1.19</f>
        <v/>
      </c>
      <c r="Q14" s="15">
        <f>O14-P14</f>
        <v/>
      </c>
      <c r="R14" s="15">
        <f>O14*0.15</f>
        <v/>
      </c>
      <c r="S14" s="15" t="n">
        <v>4.65</v>
      </c>
      <c r="T14" s="15">
        <f>S14*0.2</f>
        <v/>
      </c>
      <c r="U14" s="15" t="n">
        <v>0.4</v>
      </c>
      <c r="V14" s="15" t="n">
        <v>4.04</v>
      </c>
      <c r="W14" s="15">
        <f>V14*0.2</f>
        <v/>
      </c>
      <c r="X14" s="16">
        <f>O14-Q14-R14-S14-U14-V14+T14+W14</f>
        <v/>
      </c>
      <c r="Y14" s="14" t="n"/>
      <c r="Z14" s="15">
        <f>O14+1.5</f>
        <v/>
      </c>
      <c r="AA14" s="15" t="n"/>
      <c r="AB14" s="15" t="n"/>
      <c r="AC14" s="14" t="n"/>
      <c r="AD14" s="14" t="n"/>
      <c r="AE14" s="13" t="inlineStr">
        <is>
          <t>NOT_UPLOADED</t>
        </is>
      </c>
    </row>
    <row r="15" ht="16" customHeight="1">
      <c r="A15" s="17" t="n">
        <v>5391520943119</v>
      </c>
      <c r="B15" s="17" t="n">
        <v>5391520943119</v>
      </c>
      <c r="C15" s="13" t="n"/>
      <c r="D15" s="18" t="n"/>
      <c r="E15" s="18" t="inlineStr">
        <is>
          <t>AMP-5391520943119</t>
        </is>
      </c>
      <c r="F15" s="17" t="n">
        <v>3201013</v>
      </c>
      <c r="G15" s="18" t="inlineStr">
        <is>
          <t>Amperel</t>
        </is>
      </c>
      <c r="H15" s="18" t="inlineStr">
        <is>
          <t>Lactacyd</t>
        </is>
      </c>
      <c r="I15" s="18" t="inlineStr">
        <is>
          <t>Lactacyd Soothing Feminine Wash Enriched with Rice Protein &amp; Arnica Extract 200ml</t>
        </is>
      </c>
      <c r="J15" s="18" t="inlineStr">
        <is>
          <t>No</t>
        </is>
      </c>
      <c r="K15" s="18" t="inlineStr">
        <is>
          <t>https://www.amazon.de/dp/B01BJ63YYW</t>
        </is>
      </c>
      <c r="L15" s="18" t="inlineStr">
        <is>
          <t>B01BJ63YYW</t>
        </is>
      </c>
      <c r="M15" s="19" t="n">
        <v>13.83</v>
      </c>
      <c r="N15" s="19" t="n">
        <v>0</v>
      </c>
      <c r="O15" s="19" t="n">
        <v>12.8</v>
      </c>
      <c r="P15" s="19">
        <f>O15/1.19</f>
        <v/>
      </c>
      <c r="Q15" s="19">
        <f>O15-P15</f>
        <v/>
      </c>
      <c r="R15" s="19">
        <f>O15*0.15</f>
        <v/>
      </c>
      <c r="S15" s="19" t="n">
        <v>4.65</v>
      </c>
      <c r="T15" s="19">
        <f>S15*0.2</f>
        <v/>
      </c>
      <c r="U15" s="19" t="n">
        <v>0.4</v>
      </c>
      <c r="V15" s="19" t="n">
        <v>4.04</v>
      </c>
      <c r="W15" s="19">
        <f>V15*0.2</f>
        <v/>
      </c>
      <c r="X15" s="16">
        <f>O15-Q15-R15-S15-U15-V15+T15+W15</f>
        <v/>
      </c>
      <c r="Y15" s="18" t="n"/>
      <c r="Z15" s="19">
        <f>O15+1.5</f>
        <v/>
      </c>
      <c r="AA15" s="19" t="n"/>
      <c r="AB15" s="19" t="n"/>
      <c r="AC15" s="18" t="n"/>
      <c r="AD15" s="18" t="n"/>
      <c r="AE15" s="13" t="inlineStr">
        <is>
          <t>NOT_UPLOADED</t>
        </is>
      </c>
    </row>
    <row r="16" ht="16" customHeight="1">
      <c r="A16" s="12" t="n">
        <v>5011321772335</v>
      </c>
      <c r="B16" s="12" t="n">
        <v>5011321772335</v>
      </c>
      <c r="C16" s="13" t="n"/>
      <c r="D16" s="14" t="n"/>
      <c r="E16" s="14" t="inlineStr">
        <is>
          <t>ORB-5011321772335</t>
        </is>
      </c>
      <c r="F16" s="12" t="n"/>
      <c r="G16" s="14" t="inlineStr">
        <is>
          <t>Orbico</t>
        </is>
      </c>
      <c r="H16" s="14" t="inlineStr">
        <is>
          <t>Old Spice</t>
        </is>
      </c>
      <c r="I16" s="14" t="inlineStr">
        <is>
          <t>Old Spice After Shave Lotion Original 100Ml</t>
        </is>
      </c>
      <c r="J16" s="14" t="inlineStr">
        <is>
          <t>No</t>
        </is>
      </c>
      <c r="K16" s="14" t="inlineStr">
        <is>
          <t>https://www.amazon.de/dp/B00FKYI33W</t>
        </is>
      </c>
      <c r="L16" s="14" t="inlineStr">
        <is>
          <t>B00FKYI33W</t>
        </is>
      </c>
      <c r="M16" s="15" t="n">
        <v>13.02</v>
      </c>
      <c r="N16" s="15" t="n">
        <v>0</v>
      </c>
      <c r="O16" s="15" t="n">
        <v>14.8</v>
      </c>
      <c r="P16" s="15">
        <f>O16/1.19</f>
        <v/>
      </c>
      <c r="Q16" s="15">
        <f>O16-P16</f>
        <v/>
      </c>
      <c r="R16" s="15">
        <f>O16*0.15</f>
        <v/>
      </c>
      <c r="S16" s="15" t="n">
        <v>5.59</v>
      </c>
      <c r="T16" s="15">
        <f>S16*0.2</f>
        <v/>
      </c>
      <c r="U16" s="15" t="n">
        <v>0.2</v>
      </c>
      <c r="V16" s="15" t="n">
        <v>4.22</v>
      </c>
      <c r="W16" s="15">
        <f>V16*0.2</f>
        <v/>
      </c>
      <c r="X16" s="21">
        <f>O16-Q16-R16-S16-U16-V16+T16+W16</f>
        <v/>
      </c>
      <c r="Y16" s="14" t="n"/>
      <c r="Z16" s="15">
        <f>O16+1.5</f>
        <v/>
      </c>
      <c r="AA16" s="15" t="n"/>
      <c r="AB16" s="15" t="n"/>
      <c r="AC16" s="14" t="n"/>
      <c r="AD16" s="14" t="n"/>
      <c r="AE16" s="13" t="inlineStr">
        <is>
          <t>NOT_UPLOADED</t>
        </is>
      </c>
    </row>
    <row r="17" ht="16" customHeight="1">
      <c r="A17" s="17" t="n">
        <v>4015600314590</v>
      </c>
      <c r="B17" s="17" t="n">
        <v>4015600314590</v>
      </c>
      <c r="C17" s="13" t="n"/>
      <c r="D17" s="18" t="n"/>
      <c r="E17" s="18" t="inlineStr">
        <is>
          <t>ORB-4015600314590</t>
        </is>
      </c>
      <c r="F17" s="17" t="n"/>
      <c r="G17" s="18" t="inlineStr">
        <is>
          <t>Orbico</t>
        </is>
      </c>
      <c r="H17" s="18" t="inlineStr">
        <is>
          <t>Old Spice</t>
        </is>
      </c>
      <c r="I17" s="18" t="inlineStr">
        <is>
          <t>Old Spice 4015600314590 After Shave 100 ml</t>
        </is>
      </c>
      <c r="J17" s="18" t="inlineStr">
        <is>
          <t>No</t>
        </is>
      </c>
      <c r="K17" s="18" t="inlineStr">
        <is>
          <t>https://www.amazon.de/dp/B07NJXZCQP?th=1</t>
        </is>
      </c>
      <c r="L17" s="18" t="inlineStr">
        <is>
          <t>B07NJXZCQP</t>
        </is>
      </c>
      <c r="M17" s="19" t="n">
        <v>14.09</v>
      </c>
      <c r="N17" s="19" t="n">
        <v>0</v>
      </c>
      <c r="O17" s="19" t="n">
        <v>13.39</v>
      </c>
      <c r="P17" s="19">
        <f>O17/1.19</f>
        <v/>
      </c>
      <c r="Q17" s="19">
        <f>O17-P17</f>
        <v/>
      </c>
      <c r="R17" s="19">
        <f>O17*0.15</f>
        <v/>
      </c>
      <c r="S17" s="19" t="n">
        <v>5.42</v>
      </c>
      <c r="T17" s="19">
        <f>S17*0.2</f>
        <v/>
      </c>
      <c r="U17" s="19" t="n">
        <v>0.4</v>
      </c>
      <c r="V17" s="19" t="n">
        <v>2.82</v>
      </c>
      <c r="W17" s="19">
        <f>V17*0.2</f>
        <v/>
      </c>
      <c r="X17" s="21">
        <f>O17-Q17-R17-S17-U17-V17+T17+W17</f>
        <v/>
      </c>
      <c r="Y17" s="18" t="n"/>
      <c r="Z17" s="19">
        <f>O17+1.5</f>
        <v/>
      </c>
      <c r="AA17" s="19" t="n"/>
      <c r="AB17" s="19" t="n"/>
      <c r="AC17" s="18" t="n"/>
      <c r="AD17" s="18" t="n"/>
      <c r="AE17" s="13" t="inlineStr">
        <is>
          <t>NOT_UPLOADED</t>
        </is>
      </c>
    </row>
    <row r="18" ht="16" customHeight="1">
      <c r="A18" s="12" t="n"/>
      <c r="B18" s="12" t="n">
        <v>3014260112141</v>
      </c>
      <c r="C18" s="13" t="n"/>
      <c r="D18" s="14" t="n"/>
      <c r="E18" s="14" t="n"/>
      <c r="F18" s="12" t="n">
        <v>1100011840</v>
      </c>
      <c r="G18" s="14" t="inlineStr">
        <is>
          <t>Orbico</t>
        </is>
      </c>
      <c r="H18" s="14" t="inlineStr">
        <is>
          <t>ORAL-B</t>
        </is>
      </c>
      <c r="I18" s="14" t="inlineStr">
        <is>
          <t>Oral-B Stages X-Soft 3-5 Yrs Kids Manual Toothbrush</t>
        </is>
      </c>
      <c r="J18" s="14" t="inlineStr">
        <is>
          <t>No</t>
        </is>
      </c>
      <c r="K18" s="14" t="inlineStr">
        <is>
          <t>https://www.amazon.de/-/en/Oral-B-Stages-X-Soft-Manual-Toothbrush/dp/B004EF3Z6S/ref=sr_1_1?crid=120ZNGOLHVJ3R&amp;dib=eyJ2IjoiMSJ9.Sqc7N6yqzKXrewds-XDQ_Q.2W4oBbmFPuhGttIB47JOjZcTbebpMl5BQysnCDuGeBQ&amp;dib_tag=se&amp;keywords=B004EF3Z6S&amp;qid=1761418083&amp;sprefix=b004ef3z6s%2Caps%2C197&amp;sr=8-1</t>
        </is>
      </c>
      <c r="L18" s="14" t="inlineStr">
        <is>
          <t>B004EF3Z6S</t>
        </is>
      </c>
      <c r="M18" s="15" t="n"/>
      <c r="N18" s="15" t="n"/>
      <c r="O18" s="15" t="n"/>
      <c r="P18" s="15" t="n"/>
      <c r="Q18" s="15" t="n"/>
      <c r="R18" s="15" t="n"/>
      <c r="S18" s="15" t="n">
        <v>1.49</v>
      </c>
      <c r="T18" s="15">
        <f>S18*0.2</f>
        <v/>
      </c>
      <c r="U18" s="15" t="n">
        <v>0.4</v>
      </c>
      <c r="V18" s="15" t="n">
        <v>1.9</v>
      </c>
      <c r="W18" s="15">
        <f>V18*0.2</f>
        <v/>
      </c>
      <c r="X18" s="22" t="n"/>
      <c r="Y18" s="14" t="n"/>
      <c r="Z18" s="15" t="n"/>
      <c r="AA18" s="15" t="n"/>
      <c r="AB18" s="15" t="n"/>
      <c r="AC18" s="14" t="n"/>
      <c r="AD18" s="14" t="n"/>
      <c r="AE18" s="13" t="inlineStr">
        <is>
          <t>NOT_UPLOADED</t>
        </is>
      </c>
    </row>
    <row r="19" ht="16" customHeight="1">
      <c r="A19" s="17" t="n"/>
      <c r="B19" s="17" t="n">
        <v>5010622005012</v>
      </c>
      <c r="C19" s="20" t="inlineStr">
        <is>
          <t>PACK X 3</t>
        </is>
      </c>
      <c r="D19" s="18" t="n"/>
      <c r="E19" s="18" t="n"/>
      <c r="F19" s="17" t="n">
        <v>1002001332</v>
      </c>
      <c r="G19" s="18" t="inlineStr">
        <is>
          <t>Orbico</t>
        </is>
      </c>
      <c r="H19" s="18" t="inlineStr">
        <is>
          <t>ORAL-B</t>
        </is>
      </c>
      <c r="I19" s="18" t="inlineStr">
        <is>
          <t>Oral B Essential Dental Floss Unwaxed 50m (3)</t>
        </is>
      </c>
      <c r="J19" s="18" t="inlineStr">
        <is>
          <t>No</t>
        </is>
      </c>
      <c r="K19" s="18" t="inlineStr">
        <is>
          <t>https://www.amazon.de/Oral-Essential-Dental-Floss-Unwaxed/dp/B07P2TZDKH/ref=sr_1_13_sspa?crid=5SM05MNVDCIQ&amp;dib=eyJ2IjoiMSJ9.fCxbkRMWS_4_lTTx71Mza67ZUs8zLmJwOiwVGNdWzRWSl0xhyox599eiddm73OeBezcq6rUL8V9Dd9ENpHI3FOGCwL__6BGb1Na4KAffM-0A3pXGpqU7ZJ4H0cF3bbKwku4-kofJd7IHE3jydyb0llEtSS3Z-o5UDbD_eIG_9KnbiYEbZgT4KpoPkljLNUoDxm0dK_hkuV2CtpRT2dBuw0xI7ypd-ZXaAan9L2H8Np6Xevg7rIhY5AkLlqJAh-NJbDJnZNUB5B6RYZMAL1JnUvmsAfg6dN2JjseKF9wQzto.uLYvKQD2Ws1udY_YhcIJv4ruIHdQ1pSW3hnK-uJP5bw&amp;dib_tag=se&amp;keywords=oral%2Bb%2Bfloss&amp;qid=1761418690&amp;sprefix=ORAL%2BB%2BFL%2Caps%2C208&amp;sr=8-13-spons&amp;sp_csd=d2lkZ2V0TmFtZT1zcF9tdGY&amp;th=1</t>
        </is>
      </c>
      <c r="L19" s="18" t="inlineStr">
        <is>
          <t>B07P2TZDKH</t>
        </is>
      </c>
      <c r="M19" s="19" t="n"/>
      <c r="N19" s="19" t="n"/>
      <c r="O19" s="19" t="n">
        <v>10.9</v>
      </c>
      <c r="P19" s="19">
        <f>O19/1.19</f>
        <v/>
      </c>
      <c r="Q19" s="19">
        <f>O19-P19</f>
        <v/>
      </c>
      <c r="R19" s="19">
        <f>O19*0.15</f>
        <v/>
      </c>
      <c r="S19" s="19" t="n">
        <v>3.8</v>
      </c>
      <c r="T19" s="19">
        <f>S19*0.2</f>
        <v/>
      </c>
      <c r="U19" s="19" t="n">
        <v>0.4</v>
      </c>
      <c r="V19" s="19" t="n">
        <v>2.4</v>
      </c>
      <c r="W19" s="19">
        <f>V19*0.2</f>
        <v/>
      </c>
      <c r="X19" s="21">
        <f>O19-Q19-R19-S19-U19-V19+T19+W19</f>
        <v/>
      </c>
      <c r="Y19" s="18" t="n"/>
      <c r="Z19" s="19">
        <f>O19+1.5</f>
        <v/>
      </c>
      <c r="AA19" s="19" t="n"/>
      <c r="AB19" s="19" t="n"/>
      <c r="AC19" s="18" t="n"/>
      <c r="AD19" s="18" t="n"/>
      <c r="AE19" s="13" t="inlineStr">
        <is>
          <t>NOT_UPLOADED</t>
        </is>
      </c>
    </row>
    <row r="20" ht="16" customHeight="1">
      <c r="A20" s="12" t="n"/>
      <c r="B20" s="12" t="n">
        <v>5010622005012</v>
      </c>
      <c r="C20" s="20" t="inlineStr">
        <is>
          <t>PACK X 6</t>
        </is>
      </c>
      <c r="D20" s="14" t="n"/>
      <c r="E20" s="14" t="n"/>
      <c r="F20" s="12" t="n">
        <v>1002001332</v>
      </c>
      <c r="G20" s="14" t="inlineStr">
        <is>
          <t>Orbico</t>
        </is>
      </c>
      <c r="H20" s="14" t="inlineStr">
        <is>
          <t>ORAL-B</t>
        </is>
      </c>
      <c r="I20" s="14" t="inlineStr">
        <is>
          <t>Oral-B Essential Dental Floss, Unflavored, 50 m, 6-pack</t>
        </is>
      </c>
      <c r="J20" s="14" t="inlineStr">
        <is>
          <t>No</t>
        </is>
      </c>
      <c r="K20" s="14" t="inlineStr">
        <is>
          <t>https://www.amazon.de/Oral-B-Essential-Zahnseide-Geschmack-6er-Packung/dp/B07WV5HPMZ/ref=sr_1_2?crid=W44LFJY20ZS3&amp;dib=eyJ2IjoiMSJ9.tSU3YmeEUDgwyL4iMmN4QNogkjaBN_iDVXqANhr-Fn0rV2ez2tY6fBTooiPuNqluH30trWvdRI8_nvtVBWQj41J-ifQPX3chivZFSDcEPFRT3CwD6rHAth4ZwVKwIUljVb39KmqIW-p0CfC-ofyVhLm-NWg0lgHiySprJvO_hvkwfZK7ykftINz3wIVM7ffYPzfZh9ivLFAM39ur0LlFYEmvB2lc6LNMZpMZqebhmATPlLjpGk737MKQUw7UalCVZMpCOEHDew5r1sp56ikuZ4AUIjqVjmAfbky5ZY84kzg.DdWiknRxaoT4bK-ThrnMFOYlIOf1leUnML_lsMnj5AQ&amp;dib_tag=se&amp;keywords=oral+b+essential+floss+unwaxed&amp;qid=1761419376&amp;sprefix=oral+b+floss+UN%2Caps%2C144&amp;sr=8-2</t>
        </is>
      </c>
      <c r="L20" s="14" t="inlineStr">
        <is>
          <t>B004EF3Z6S</t>
        </is>
      </c>
      <c r="M20" s="15" t="n"/>
      <c r="N20" s="15" t="n"/>
      <c r="O20" s="15" t="n">
        <v>17.9</v>
      </c>
      <c r="P20" s="15">
        <f>O20/1.19</f>
        <v/>
      </c>
      <c r="Q20" s="15">
        <f>O20-P20</f>
        <v/>
      </c>
      <c r="R20" s="15">
        <f>O20*0.15</f>
        <v/>
      </c>
      <c r="S20" s="15" t="n">
        <v>7.6</v>
      </c>
      <c r="T20" s="15">
        <f>S20*0.2</f>
        <v/>
      </c>
      <c r="U20" s="15" t="n">
        <v>0.4</v>
      </c>
      <c r="V20" s="15" t="n">
        <v>3</v>
      </c>
      <c r="W20" s="15">
        <f>V20*0.2</f>
        <v/>
      </c>
      <c r="X20" s="21">
        <f>O20-Q20-R20-S20-U20-V20+T20+W20</f>
        <v/>
      </c>
      <c r="Y20" s="14" t="n"/>
      <c r="Z20" s="15">
        <f>O20+1.5</f>
        <v/>
      </c>
      <c r="AA20" s="15" t="n"/>
      <c r="AB20" s="15" t="n"/>
      <c r="AC20" s="14" t="n"/>
      <c r="AD20" s="14" t="n"/>
      <c r="AE20" s="13" t="inlineStr">
        <is>
          <t>NOT_UPLOADED</t>
        </is>
      </c>
    </row>
    <row r="21" ht="16" customHeight="1">
      <c r="A21" s="17" t="n"/>
      <c r="B21" s="17" t="n">
        <v>5010622005012</v>
      </c>
      <c r="C21" s="20" t="inlineStr">
        <is>
          <t>PACK X 4</t>
        </is>
      </c>
      <c r="D21" s="18" t="n"/>
      <c r="E21" s="18" t="n"/>
      <c r="F21" s="17" t="n">
        <v>1002001332</v>
      </c>
      <c r="G21" s="18" t="inlineStr">
        <is>
          <t>Orbico</t>
        </is>
      </c>
      <c r="H21" s="18" t="inlineStr">
        <is>
          <t>ORAL-B</t>
        </is>
      </c>
      <c r="I21" s="18" t="inlineStr">
        <is>
          <t>Oral-B Essentialfloss Unwaxed 50m (Dental Floss), 4-pack (4 x 1 piece)</t>
        </is>
      </c>
      <c r="J21" s="18" t="inlineStr">
        <is>
          <t>No</t>
        </is>
      </c>
      <c r="K21" s="18" t="inlineStr">
        <is>
          <t>https://www.amazon.de/Oral-B-Essentialfloss-Zahnseide-ungewachst-St%C3%BCck/dp/B00AYCU0OK/ref=sr_1_3?crid=W44LFJY20ZS3&amp;dib=eyJ2IjoiMSJ9.tSU3YmeEUDgwyL4iMmN4QNogkjaBN_iDVXqANhr-Fn0rV2ez2tY6fBTooiPuNqluH30trWvdRI8_nvtVBWQj41J-ifQPX3chivZFSDcEPFRT3CwD6rHAth4ZwVKwIUljVb39KmqIW-p0CfC-ofyVhLm-NWg0lgHiySprJvO_hvkwfZK7ykftINz3wIVM7ffYPzfZh9ivLFAM39ur0LlFYEmvB2lc6LNMZpMZqebhmATPlLjpGk737MKQUw7UalCVZMpCOEHDew5r1sp56ikuZ4AUIjqVjmAfbky5ZY84kzg.DdWiknRxaoT4bK-ThrnMFOYlIOf1leUnML_lsMnj5AQ&amp;dib_tag=se&amp;keywords=oral%2Bb%2Bessential%2Bfloss%2Bunwaxed&amp;qid=1761419376&amp;sprefix=oral%2Bb%2Bfloss%2BUN%2Caps%2C144&amp;sr=8-3&amp;th=1</t>
        </is>
      </c>
      <c r="L21" s="18" t="inlineStr">
        <is>
          <t>B00AYCU0OK</t>
        </is>
      </c>
      <c r="M21" s="19" t="n"/>
      <c r="N21" s="19" t="n"/>
      <c r="O21" s="19" t="n">
        <v>14.1</v>
      </c>
      <c r="P21" s="19">
        <f>O21/1.19</f>
        <v/>
      </c>
      <c r="Q21" s="19">
        <f>O21-P21</f>
        <v/>
      </c>
      <c r="R21" s="19">
        <f>O21*0.15</f>
        <v/>
      </c>
      <c r="S21" s="19" t="n">
        <v>5.1</v>
      </c>
      <c r="T21" s="19">
        <f>S21*0.2</f>
        <v/>
      </c>
      <c r="U21" s="19" t="n">
        <v>0.4</v>
      </c>
      <c r="V21" s="19" t="n">
        <v>2.7</v>
      </c>
      <c r="W21" s="19">
        <f>V21*0.2</f>
        <v/>
      </c>
      <c r="X21" s="21">
        <f>O21-Q21-R21-S21-U21-V21+T21+W21</f>
        <v/>
      </c>
      <c r="Y21" s="18" t="n"/>
      <c r="Z21" s="19">
        <f>O21+1.5</f>
        <v/>
      </c>
      <c r="AA21" s="19" t="n"/>
      <c r="AB21" s="19" t="n"/>
      <c r="AC21" s="18" t="n"/>
      <c r="AD21" s="18" t="n"/>
      <c r="AE21" s="13" t="inlineStr">
        <is>
          <t>NOT_UPLOADED</t>
        </is>
      </c>
    </row>
    <row r="22" ht="16" customHeight="1">
      <c r="A22" s="12" t="n"/>
      <c r="B22" s="12" t="n">
        <v>5010622018258</v>
      </c>
      <c r="C22" s="20" t="inlineStr">
        <is>
          <t>PACK X 6</t>
        </is>
      </c>
      <c r="D22" s="14" t="n"/>
      <c r="E22" s="14" t="n"/>
      <c r="F22" s="12" t="n">
        <v>1002001333</v>
      </c>
      <c r="G22" s="14" t="inlineStr">
        <is>
          <t>Orbico</t>
        </is>
      </c>
      <c r="H22" s="14" t="inlineStr">
        <is>
          <t>ORAL-B</t>
        </is>
      </c>
      <c r="I22" s="14" t="inlineStr">
        <is>
          <t>Oral-B SATINfloss 25m (dental floss), 6-pack (6 x 25m)</t>
        </is>
      </c>
      <c r="J22" s="14" t="inlineStr">
        <is>
          <t>No</t>
        </is>
      </c>
      <c r="K22" s="14" t="inlineStr">
        <is>
          <t>https://www.amazon.de/Oral-B-SATINfloss-25m-Zahnseide-Pack/dp/B018SCSKAS/ref=sr_1_1?crid=D5CJNZQGBHIK&amp;dib=eyJ2IjoiMSJ9.DwCpYlJBk1pkJNHARWC51ztWOFRg3cpjeAR-5soyttzBH0TKmrrYow-Adbb7Z5q1qxFjiFf-C8GX2BD-_8cPgw3PrPqeXgYPurIYuqF1UjmMlZN8GyXKJAbKm8mzaT1quWkD7kVN-D-lchcqPw4ejudV2fMfP3v8nHjNErxT3G_v_zy8w2pd1nbJxk1d77H9M1i_NaFbMXJfqZFyym-nT01snNQK8caisHX3j53-g1zGSrXbWKc5nszsE_iJGhGyZYW7tNCGN5tfSTjBHjGgeUkyT6KOIUC67qlo7O4VXHI.etDTgpwENmdNF9xVYZqQvTII6jIcR0b4_BXl0jW5Y5E&amp;dib_tag=se&amp;keywords=oral+b+satin+floss&amp;qid=1761420138&amp;sprefix=ORAL+B+SA%2Caps%2C258&amp;sr=8-1</t>
        </is>
      </c>
      <c r="L22" s="14" t="inlineStr">
        <is>
          <t>B018SCSKAS</t>
        </is>
      </c>
      <c r="M22" s="15" t="n"/>
      <c r="N22" s="15" t="n"/>
      <c r="O22" s="15" t="n">
        <v>19.9</v>
      </c>
      <c r="P22" s="15">
        <f>O22/1.19</f>
        <v/>
      </c>
      <c r="Q22" s="15">
        <f>O22-P22</f>
        <v/>
      </c>
      <c r="R22" s="15">
        <f>O22*0.15</f>
        <v/>
      </c>
      <c r="S22" s="15" t="n">
        <v>10.12</v>
      </c>
      <c r="T22" s="15">
        <f>S22*0.2</f>
        <v/>
      </c>
      <c r="U22" s="15" t="n">
        <v>0.4</v>
      </c>
      <c r="V22" s="15" t="n">
        <v>2.5</v>
      </c>
      <c r="W22" s="15">
        <f>V22*0.2</f>
        <v/>
      </c>
      <c r="X22" s="21">
        <f>O22-Q22-R22-S22-U22-V22+T22+W22</f>
        <v/>
      </c>
      <c r="Y22" s="14" t="n"/>
      <c r="Z22" s="15">
        <f>O22+1.5</f>
        <v/>
      </c>
      <c r="AA22" s="15" t="n"/>
      <c r="AB22" s="15" t="n"/>
      <c r="AC22" s="14" t="n"/>
      <c r="AD22" s="14" t="n"/>
      <c r="AE22" s="13" t="inlineStr">
        <is>
          <t>NOT_UPLOADED</t>
        </is>
      </c>
    </row>
    <row r="23" ht="16" customHeight="1">
      <c r="A23" s="17" t="n"/>
      <c r="B23" s="17" t="n">
        <v>5010622018258</v>
      </c>
      <c r="C23" s="13" t="n"/>
      <c r="D23" s="18" t="n"/>
      <c r="E23" s="18" t="n"/>
      <c r="F23" s="17" t="n">
        <v>1002001333</v>
      </c>
      <c r="G23" s="18" t="inlineStr">
        <is>
          <t>Orbico</t>
        </is>
      </c>
      <c r="H23" s="18" t="inlineStr">
        <is>
          <t>ORAL-B</t>
        </is>
      </c>
      <c r="I23" s="18" t="inlineStr">
        <is>
          <t>Oral-B SATINfloss 25m (dental floss)</t>
        </is>
      </c>
      <c r="J23" s="18" t="inlineStr">
        <is>
          <t>No</t>
        </is>
      </c>
      <c r="K23" s="18" t="inlineStr">
        <is>
          <t>https://www.amazon.de/Oral-B-SATINfloss-Zahnseide-Pack-St%C3%BCck/dp/B003KUN7KC/ref=sr_1_4?crid=D5CJNZQGBHIK&amp;dib=eyJ2IjoiMSJ9.DwCpYlJBk1pkJNHARWC51ztWOFRg3cpjeAR-5soyttzBH0TKmrrYow-Adbb7Z5q1qxFjiFf-C8GX2BD-_8cPgw3PrPqeXgYPurIYuqF1UjmMlZN8GyXKJAbKm8mzaT1quWkD7kVN-D-lchcqPw4ejudV2fMfP3v8nHjNErxT3G_v_zy8w2pd1nbJxk1d77H9M1i_NaFbMXJfqZFyym-nT01snNQK8caisHX3j53-g1zGSrXbWKc5nszsE_iJGhGyZYW7tNCGN5tfSTjBHjGgeUkyT6KOIUC67qlo7O4VXHI.etDTgpwENmdNF9xVYZqQvTII6jIcR0b4_BXl0jW5Y5E&amp;dib_tag=se&amp;keywords=oral+b+satin+floss&amp;qid=1761420138&amp;sprefix=ORAL+B+SA%2Caps%2C258&amp;sr=8-4</t>
        </is>
      </c>
      <c r="L23" s="18" t="inlineStr">
        <is>
          <t>B003KUN7KC</t>
        </is>
      </c>
      <c r="M23" s="19" t="n"/>
      <c r="N23" s="19" t="n"/>
      <c r="O23" s="19" t="n">
        <v>6.57</v>
      </c>
      <c r="P23" s="19">
        <f>O23/1.19</f>
        <v/>
      </c>
      <c r="Q23" s="19">
        <f>O23-P23</f>
        <v/>
      </c>
      <c r="R23" s="19">
        <f>O23*0.15</f>
        <v/>
      </c>
      <c r="S23" s="19" t="n">
        <v>1.67</v>
      </c>
      <c r="T23" s="19">
        <f>S23*0.2</f>
        <v/>
      </c>
      <c r="U23" s="19" t="n">
        <v>0.4</v>
      </c>
      <c r="V23" s="19" t="n">
        <v>1.9</v>
      </c>
      <c r="W23" s="19">
        <f>V23*0.2</f>
        <v/>
      </c>
      <c r="X23" s="16">
        <f>O23-Q23-R23-S23-U23-V23+T23+W23</f>
        <v/>
      </c>
      <c r="Y23" s="18" t="n"/>
      <c r="Z23" s="19">
        <f>O23+1.5</f>
        <v/>
      </c>
      <c r="AA23" s="19" t="n"/>
      <c r="AB23" s="19" t="n"/>
      <c r="AC23" s="18" t="n"/>
      <c r="AD23" s="18" t="n"/>
      <c r="AE23" s="13" t="inlineStr">
        <is>
          <t>NOT_UPLOADED</t>
        </is>
      </c>
    </row>
    <row r="24" ht="16" customHeight="1">
      <c r="A24" s="12" t="n"/>
      <c r="B24" s="12" t="n">
        <v>5010622018258</v>
      </c>
      <c r="C24" s="13" t="n"/>
      <c r="D24" s="14" t="n"/>
      <c r="E24" s="14" t="n"/>
      <c r="F24" s="12" t="n">
        <v>1002001333</v>
      </c>
      <c r="G24" s="14" t="inlineStr">
        <is>
          <t>Orbico</t>
        </is>
      </c>
      <c r="H24" s="14" t="inlineStr">
        <is>
          <t>ORAL-B</t>
        </is>
      </c>
      <c r="I24" s="14" t="inlineStr">
        <is>
          <t>Oral B Mint Satin Floss, 25 m</t>
        </is>
      </c>
      <c r="J24" s="14" t="inlineStr">
        <is>
          <t>No</t>
        </is>
      </c>
      <c r="K24" s="14" t="inlineStr">
        <is>
          <t>https://www.amazon.de/Oral-Satin-Mint-Zahnseide-25/dp/B000VJKUSW/ref=sr_1_9?crid=D5CJNZQGBHIK&amp;dib=eyJ2IjoiMSJ9.DwCpYlJBk1pkJNHARWC51ztWOFRg3cpjeAR-5soyttzBH0TKmrrYow-Adbb7Z5q1qxFjiFf-C8GX2BD-_8cPgw3PrPqeXgYPurIYuqF1UjmMlZN8GyXKJAbKm8mzaT1quWkD7kVN-D-lchcqPw4ejudV2fMfP3v8nHjNErxT3G_v_zy8w2pd1nbJxk1d77H9M1i_NaFbMXJfqZFyym-nT01snNQK8caisHX3j53-g1zGSrXbWKc5nszsE_iJGhGyZYW7tNCGN5tfSTjBHjGgeUkyT6KOIUC67qlo7O4VXHI.etDTgpwENmdNF9xVYZqQvTII6jIcR0b4_BXl0jW5Y5E&amp;dib_tag=se&amp;keywords=oral+b+satin+floss&amp;qid=1761420138&amp;sprefix=ORAL+B+SA%2Caps%2C258&amp;sr=8-9</t>
        </is>
      </c>
      <c r="L24" s="14" t="inlineStr">
        <is>
          <t>B000VJKUSW</t>
        </is>
      </c>
      <c r="M24" s="15" t="n"/>
      <c r="N24" s="15" t="n"/>
      <c r="O24" s="15" t="n">
        <v>6.57</v>
      </c>
      <c r="P24" s="15">
        <f>O24/1.19</f>
        <v/>
      </c>
      <c r="Q24" s="15">
        <f>O24-P24</f>
        <v/>
      </c>
      <c r="R24" s="15">
        <f>O24*0.15</f>
        <v/>
      </c>
      <c r="S24" s="15" t="n">
        <v>1.67</v>
      </c>
      <c r="T24" s="15">
        <f>S24*0.2</f>
        <v/>
      </c>
      <c r="U24" s="15" t="n">
        <v>0.4</v>
      </c>
      <c r="V24" s="15" t="n">
        <v>1.9</v>
      </c>
      <c r="W24" s="15">
        <f>V24*0.2</f>
        <v/>
      </c>
      <c r="X24" s="16">
        <f>O24-Q24-R24-S24-U24-V24+T24+W24</f>
        <v/>
      </c>
      <c r="Y24" s="14" t="n"/>
      <c r="Z24" s="15">
        <f>O24+1.5</f>
        <v/>
      </c>
      <c r="AA24" s="15" t="n"/>
      <c r="AB24" s="15" t="n"/>
      <c r="AC24" s="14" t="n"/>
      <c r="AD24" s="14" t="n"/>
      <c r="AE24" s="13" t="inlineStr">
        <is>
          <t>NOT_UPLOADED</t>
        </is>
      </c>
    </row>
    <row r="25" ht="16" customHeight="1">
      <c r="A25" s="17" t="n"/>
      <c r="B25" s="17" t="n">
        <v>5010622018258</v>
      </c>
      <c r="C25" s="20" t="inlineStr">
        <is>
          <t>PACK X 2</t>
        </is>
      </c>
      <c r="D25" s="18" t="n"/>
      <c r="E25" s="18" t="n"/>
      <c r="F25" s="17" t="n">
        <v>1002001333</v>
      </c>
      <c r="G25" s="18" t="inlineStr">
        <is>
          <t>Orbico</t>
        </is>
      </c>
      <c r="H25" s="18" t="inlineStr">
        <is>
          <t>ORAL-B</t>
        </is>
      </c>
      <c r="I25" s="18" t="inlineStr">
        <is>
          <t>Oral-B Satin Tape Dental Floss Mint - 25 m (Pack of 2) by Oral-B</t>
        </is>
      </c>
      <c r="J25" s="18" t="inlineStr">
        <is>
          <t>No</t>
        </is>
      </c>
      <c r="K25" s="18" t="inlineStr">
        <is>
          <t>https://www.amazon.de/Oral-B-Satin-Tape-Dental-Floss/dp/B003NVMGG4/ref=sr_1_7?crid=D5CJNZQGBHIK&amp;dib=eyJ2IjoiMSJ9.DwCpYlJBk1pkJNHARWC51ztWOFRg3cpjeAR-5soyttzBH0TKmrrYow-Adbb7Z5q1qxFjiFf-C8GX2BD-_8cPgw3PrPqeXgYPurIYuqF1UjmMlZN8GyXKJAbKm8mzaT1quWkD7kVN-D-lchcqPw4ejudV2fMfP3v8nHjNErxT3G_v_zy8w2pd1nbJxk1d77H9M1i_NaFbMXJfqZFyym-nT01snNQK8caisHX3j53-g1zGSrXbWKc5nszsE_iJGhGyZYW7tNCGN5tfSTjBHjGgeUkyT6KOIUC67qlo7O4VXHI.etDTgpwENmdNF9xVYZqQvTII6jIcR0b4_BXl0jW5Y5E&amp;dib_tag=se&amp;keywords=oral+b+satin+floss&amp;qid=1761420138&amp;sprefix=ORAL+B+SA%2Caps%2C258&amp;sr=8-7</t>
        </is>
      </c>
      <c r="L25" s="18" t="inlineStr">
        <is>
          <t>B003NVMGG4</t>
        </is>
      </c>
      <c r="M25" s="19" t="n"/>
      <c r="N25" s="19" t="n"/>
      <c r="O25" s="19" t="n">
        <v>9.49</v>
      </c>
      <c r="P25" s="19">
        <f>O25/1.19</f>
        <v/>
      </c>
      <c r="Q25" s="19">
        <f>O25-P25</f>
        <v/>
      </c>
      <c r="R25" s="19">
        <f>O25*0.15</f>
        <v/>
      </c>
      <c r="S25" s="19" t="n">
        <v>3.38</v>
      </c>
      <c r="T25" s="19">
        <f>S25*0.2</f>
        <v/>
      </c>
      <c r="U25" s="19" t="n">
        <v>0.4</v>
      </c>
      <c r="V25" s="19" t="n">
        <v>2</v>
      </c>
      <c r="W25" s="19">
        <f>V25*0.2</f>
        <v/>
      </c>
      <c r="X25" s="16">
        <f>O25-Q25-R25-S25-U25-V25+T25+W25</f>
        <v/>
      </c>
      <c r="Y25" s="18" t="n"/>
      <c r="Z25" s="19">
        <f>O25+1.5</f>
        <v/>
      </c>
      <c r="AA25" s="19" t="n"/>
      <c r="AB25" s="19" t="n"/>
      <c r="AC25" s="18" t="n"/>
      <c r="AD25" s="18" t="n"/>
      <c r="AE25" s="13" t="inlineStr">
        <is>
          <t>NOT_UPLOADED</t>
        </is>
      </c>
    </row>
    <row r="26" ht="16" customHeight="1">
      <c r="A26" s="12" t="n"/>
      <c r="B26" s="12" t="n">
        <v>5010622018258</v>
      </c>
      <c r="C26" s="13" t="n"/>
      <c r="D26" s="14" t="n"/>
      <c r="E26" s="14" t="n"/>
      <c r="F26" s="12" t="n">
        <v>1002001333</v>
      </c>
      <c r="G26" s="14" t="inlineStr">
        <is>
          <t>Orbico</t>
        </is>
      </c>
      <c r="H26" s="14" t="inlineStr">
        <is>
          <t>ORAL-B</t>
        </is>
      </c>
      <c r="I26" s="14" t="inlineStr">
        <is>
          <t>Oral-B Zahnseide Satin Floss Mint 25 Meter</t>
        </is>
      </c>
      <c r="J26" s="14" t="inlineStr">
        <is>
          <t>No</t>
        </is>
      </c>
      <c r="K26" s="14" t="inlineStr">
        <is>
          <t>https://www.amazon.de/Oral-B-Zahnseide-Satin-Floss-Meter/dp/B088G1FGYW/ref=sr_1_10?crid=D5CJNZQGBHIK&amp;dib=eyJ2IjoiMSJ9.DwCpYlJBk1pkJNHARWC51ztWOFRg3cpjeAR-5soyttzBH0TKmrrYow-Adbb7Z5q1qxFjiFf-C8GX2BD-_8cPgw3PrPqeXgYPurIYuqF1UjmMlZN8GyXKJAbKm8mzaT1quWkD7kVN-D-lchcqPw4ejudV2fMfP3v8nHjNErxT3G_v_zy8w2pd1nbJxk1d77H9M1i_NaFbMXJfqZFyym-nT01snNQK8caisHX3j53-g1zGSrXbWKc5nszsE_iJGhGyZYW7tNCGN5tfSTjBHjGgeUkyT6KOIUC67qlo7O4VXHI.etDTgpwENmdNF9xVYZqQvTII6jIcR0b4_BXl0jW5Y5E&amp;dib_tag=se&amp;keywords=oral+b+satin+floss&amp;qid=1761420138&amp;sprefix=ORAL+B+SA%2Caps%2C258&amp;sr=8-10</t>
        </is>
      </c>
      <c r="L26" s="14" t="inlineStr">
        <is>
          <t>B088G1FGYW</t>
        </is>
      </c>
      <c r="M26" s="15" t="n"/>
      <c r="N26" s="15" t="n"/>
      <c r="O26" s="15" t="n">
        <v>6.57</v>
      </c>
      <c r="P26" s="15">
        <f>O26/1.19</f>
        <v/>
      </c>
      <c r="Q26" s="15">
        <f>O26-P26</f>
        <v/>
      </c>
      <c r="R26" s="15">
        <f>O26*0.15</f>
        <v/>
      </c>
      <c r="S26" s="15" t="n">
        <v>1.67</v>
      </c>
      <c r="T26" s="15">
        <f>S26*0.2</f>
        <v/>
      </c>
      <c r="U26" s="15" t="n">
        <v>0.4</v>
      </c>
      <c r="V26" s="15" t="n">
        <v>1.9</v>
      </c>
      <c r="W26" s="15">
        <f>V26*0.2</f>
        <v/>
      </c>
      <c r="X26" s="16">
        <f>O26-Q26-R26-S26-U26-V26+T26+W26</f>
        <v/>
      </c>
      <c r="Y26" s="14" t="n"/>
      <c r="Z26" s="15">
        <f>O26+1.5</f>
        <v/>
      </c>
      <c r="AA26" s="15" t="n"/>
      <c r="AB26" s="15" t="n"/>
      <c r="AC26" s="14" t="n"/>
      <c r="AD26" s="14" t="n"/>
      <c r="AE26" s="13" t="inlineStr">
        <is>
          <t>NOT_UPLOADED</t>
        </is>
      </c>
    </row>
    <row r="27" ht="16" customHeight="1">
      <c r="A27" s="17" t="n"/>
      <c r="B27" s="17" t="n">
        <v>5010622018258</v>
      </c>
      <c r="C27" s="13" t="n"/>
      <c r="D27" s="18" t="n"/>
      <c r="E27" s="18" t="n"/>
      <c r="F27" s="17" t="n">
        <v>1002001333</v>
      </c>
      <c r="G27" s="18" t="inlineStr">
        <is>
          <t>Orbico</t>
        </is>
      </c>
      <c r="H27" s="18" t="inlineStr">
        <is>
          <t>ORAL-B</t>
        </is>
      </c>
      <c r="I27" s="18" t="inlineStr">
        <is>
          <t>Oral-B Satin Floss 1</t>
        </is>
      </c>
      <c r="J27" s="18" t="inlineStr">
        <is>
          <t>No</t>
        </is>
      </c>
      <c r="K27" s="18" t="inlineStr">
        <is>
          <t>https://www.amazon.de/Oral-B-FILINTEORASATIN-Satin-Floss-1/dp/B01FKQ4ZOA/ref=sr_1_16?crid=D5CJNZQGBHIK&amp;dib=eyJ2IjoiMSJ9.DwCpYlJBk1pkJNHARWC51ztWOFRg3cpjeAR-5soyttzBH0TKmrrYow-Adbb7Z5q1qxFjiFf-C8GX2BD-_8cPgw3PrPqeXgYPurIYuqF1UjmMlZN8GyXKJAbKm8mzaT1quWkD7kVN-D-lchcqPw4ejudV2fMfP3v8nHjNErxT3G_v_zy8w2pd1nbJxk1d77H9M1i_NaFbMXJfqZFyym-nT01snNQK8caisHX3j53-g1zGSrXbWKc5nszsE_iJGhGyZYW7tNCGN5tfSTjBHjGgeUkyT6KOIUC67qlo7O4VXHI.etDTgpwENmdNF9xVYZqQvTII6jIcR0b4_BXl0jW5Y5E&amp;dib_tag=se&amp;keywords=oral+b+satin+floss&amp;qid=1761420138&amp;sprefix=ORAL+B+SA%2Caps%2C258&amp;sr=8-16</t>
        </is>
      </c>
      <c r="L27" s="18" t="inlineStr">
        <is>
          <t>B01FKQ4ZOA</t>
        </is>
      </c>
      <c r="M27" s="19" t="n"/>
      <c r="N27" s="19" t="n"/>
      <c r="O27" s="19" t="n">
        <v>6.57</v>
      </c>
      <c r="P27" s="19">
        <f>O27/1.19</f>
        <v/>
      </c>
      <c r="Q27" s="19">
        <f>O27-P27</f>
        <v/>
      </c>
      <c r="R27" s="19">
        <f>O27*0.15</f>
        <v/>
      </c>
      <c r="S27" s="19" t="n">
        <v>1.67</v>
      </c>
      <c r="T27" s="19">
        <f>S27*0.2</f>
        <v/>
      </c>
      <c r="U27" s="19" t="n">
        <v>0.4</v>
      </c>
      <c r="V27" s="19" t="n">
        <v>1.9</v>
      </c>
      <c r="W27" s="19">
        <f>V27*0.2</f>
        <v/>
      </c>
      <c r="X27" s="16">
        <f>O27-Q27-R27-S27-U27-V27+T27+W27</f>
        <v/>
      </c>
      <c r="Y27" s="18" t="n"/>
      <c r="Z27" s="19">
        <f>O27+1.5</f>
        <v/>
      </c>
      <c r="AA27" s="19" t="n"/>
      <c r="AB27" s="19" t="n"/>
      <c r="AC27" s="18" t="n"/>
      <c r="AD27" s="18" t="n"/>
      <c r="AE27" s="13" t="inlineStr">
        <is>
          <t>NOT_UPLOADED</t>
        </is>
      </c>
    </row>
    <row r="28" ht="16" customHeight="1">
      <c r="A28" s="12" t="n"/>
      <c r="B28" s="12" t="n">
        <v>5010622018258</v>
      </c>
      <c r="C28" s="13" t="n"/>
      <c r="D28" s="14" t="n"/>
      <c r="E28" s="14" t="n"/>
      <c r="F28" s="12" t="n">
        <v>1002001333</v>
      </c>
      <c r="G28" s="14" t="inlineStr">
        <is>
          <t>Orbico</t>
        </is>
      </c>
      <c r="H28" s="14" t="inlineStr">
        <is>
          <t>ORAL-B</t>
        </is>
      </c>
      <c r="I28" s="14" t="inlineStr">
        <is>
          <t>Alle OralB Satin Floss 25 Mt</t>
        </is>
      </c>
      <c r="J28" s="14" t="inlineStr">
        <is>
          <t>No</t>
        </is>
      </c>
      <c r="K28" s="14" t="inlineStr">
        <is>
          <t>https://www.amazon.de/Alle-OralB-Satin-Floss-25-Mt/dp/B01M2Y320Y/ref=sr_1_18?crid=D5CJNZQGBHIK&amp;dib=eyJ2IjoiMSJ9.DwCpYlJBk1pkJNHARWC51ztWOFRg3cpjeAR-5soyttzBH0TKmrrYow-Adbb7Z5q1qxFjiFf-C8GX2BD-_8cPgw3PrPqeXgYPurIYuqF1UjmMlZN8GyXKJAbKm8mzaT1quWkD7kVN-D-lchcqPw4ejudV2fMfP3v8nHjNErxT3G_v_zy8w2pd1nbJxk1d77H9M1i_NaFbMXJfqZFyym-nT01snNQK8caisHX3j53-g1zGSrXbWKc5nszsE_iJGhGyZYW7tNCGN5tfSTjBHjGgeUkyT6KOIUC67qlo7O4VXHI.etDTgpwENmdNF9xVYZqQvTII6jIcR0b4_BXl0jW5Y5E&amp;dib_tag=se&amp;keywords=oral+b+satin+floss&amp;qid=1761420138&amp;sprefix=ORAL+B+SA%2Caps%2C258&amp;sr=8-18</t>
        </is>
      </c>
      <c r="L28" s="14" t="inlineStr">
        <is>
          <t>B01M2Y320Y</t>
        </is>
      </c>
      <c r="M28" s="15" t="n"/>
      <c r="N28" s="15" t="n"/>
      <c r="O28" s="15" t="n">
        <v>6.79</v>
      </c>
      <c r="P28" s="15">
        <f>O28/1.19</f>
        <v/>
      </c>
      <c r="Q28" s="15">
        <f>O28-P28</f>
        <v/>
      </c>
      <c r="R28" s="15">
        <f>O28*0.15</f>
        <v/>
      </c>
      <c r="S28" s="15" t="n">
        <v>1.67</v>
      </c>
      <c r="T28" s="15">
        <f>S28*0.2</f>
        <v/>
      </c>
      <c r="U28" s="15" t="n">
        <v>0.4</v>
      </c>
      <c r="V28" s="15" t="n">
        <v>1.9</v>
      </c>
      <c r="W28" s="15">
        <f>V28*0.2</f>
        <v/>
      </c>
      <c r="X28" s="16">
        <f>O28-Q28-R28-S28-U28-V28+T28+W28</f>
        <v/>
      </c>
      <c r="Y28" s="14" t="n"/>
      <c r="Z28" s="15">
        <f>O28+1.5</f>
        <v/>
      </c>
      <c r="AA28" s="15" t="n"/>
      <c r="AB28" s="15" t="n"/>
      <c r="AC28" s="14" t="n"/>
      <c r="AD28" s="14" t="n"/>
      <c r="AE28" s="13" t="inlineStr">
        <is>
          <t>NOT_UPLOADED</t>
        </is>
      </c>
    </row>
    <row r="29" ht="16" customHeight="1">
      <c r="A29" s="17" t="n"/>
      <c r="B29" s="17" t="n">
        <v>5010622018258</v>
      </c>
      <c r="C29" s="13" t="n"/>
      <c r="D29" s="18" t="n"/>
      <c r="E29" s="18" t="n"/>
      <c r="F29" s="17" t="n">
        <v>1002001333</v>
      </c>
      <c r="G29" s="18" t="inlineStr">
        <is>
          <t>Orbico</t>
        </is>
      </c>
      <c r="H29" s="18" t="inlineStr">
        <is>
          <t>ORAL-B</t>
        </is>
      </c>
      <c r="I29" s="18" t="inlineStr">
        <is>
          <t>Oral B Satinflow Menta Zwischendraht, 25 m</t>
        </is>
      </c>
      <c r="J29" s="18" t="inlineStr">
        <is>
          <t>No</t>
        </is>
      </c>
      <c r="K29" s="18" t="inlineStr">
        <is>
          <t>https://www.amazon.de/Oral-Zahnseide-Satinfloss-Mint-25/dp/B072VLFQ2X/ref=sr_1_26?crid=D5CJNZQGBHIK&amp;dib=eyJ2IjoiMSJ9.DwCpYlJBk1pkJNHARWC51ztWOFRg3cpjeAR-5soyttzBH0TKmrrYow-Adbb7Z5q1qxFjiFf-C8GX2BD-_8cPgw3PrPqeXgYPurIYuqF1UjmMlZN8GyXKJAbKm8mzaT1quWkD7kVN-D-lchcqPw4ejudV2fMfP3v8nHjNErxT3G_v_zy8w2pd1nbJxk1d77H9M1i_NaFbMXJfqZFyym-nT01snNQK8caisHX3j53-g1zGSrXbWKc5nszsE_iJGhGyZYW7tNCGN5tfSTjBHjGgeUkyT6KOIUC67qlo7O4VXHI.etDTgpwENmdNF9xVYZqQvTII6jIcR0b4_BXl0jW5Y5E&amp;dib_tag=se&amp;keywords=oral+b+satin+floss&amp;qid=1761420138&amp;sprefix=ORAL+B+SA%2Caps%2C258&amp;sr=8-26</t>
        </is>
      </c>
      <c r="L29" s="18" t="inlineStr">
        <is>
          <t>B072VLFQ2X</t>
        </is>
      </c>
      <c r="M29" s="19" t="n"/>
      <c r="N29" s="19" t="n"/>
      <c r="O29" s="19" t="n">
        <v>6.57</v>
      </c>
      <c r="P29" s="19">
        <f>O29/1.19</f>
        <v/>
      </c>
      <c r="Q29" s="19">
        <f>O29-P29</f>
        <v/>
      </c>
      <c r="R29" s="19">
        <f>O29*0.15</f>
        <v/>
      </c>
      <c r="S29" s="19" t="n">
        <v>1.67</v>
      </c>
      <c r="T29" s="19">
        <f>S29*0.2</f>
        <v/>
      </c>
      <c r="U29" s="19" t="n">
        <v>0.4</v>
      </c>
      <c r="V29" s="19" t="n">
        <v>1.9</v>
      </c>
      <c r="W29" s="19">
        <f>V29*0.2</f>
        <v/>
      </c>
      <c r="X29" s="16">
        <f>O29-Q29-R29-S29-U29-V29+T29+W29</f>
        <v/>
      </c>
      <c r="Y29" s="18" t="n"/>
      <c r="Z29" s="19">
        <f>O29+1.5</f>
        <v/>
      </c>
      <c r="AA29" s="19" t="n"/>
      <c r="AB29" s="19" t="n"/>
      <c r="AC29" s="18" t="n"/>
      <c r="AD29" s="18" t="n"/>
      <c r="AE29" s="13" t="inlineStr">
        <is>
          <t>NOT_UPLOADED</t>
        </is>
      </c>
    </row>
    <row r="30" ht="16" customHeight="1">
      <c r="A30" s="12" t="n"/>
      <c r="B30" s="12" t="n">
        <v>4210201746225</v>
      </c>
      <c r="C30" s="13" t="n"/>
      <c r="D30" s="14" t="n"/>
      <c r="E30" s="14" t="n"/>
      <c r="F30" s="12" t="n">
        <v>1002001333</v>
      </c>
      <c r="G30" s="14" t="inlineStr">
        <is>
          <t>Orbico</t>
        </is>
      </c>
      <c r="H30" s="14" t="inlineStr">
        <is>
          <t>ORAL-B</t>
        </is>
      </c>
      <c r="I30" s="14" t="inlineStr">
        <is>
          <t>Oral-B OxyJet Ersatzdüsen für Munddusche/Zahnzwischenraumreiniger, 4 Stück, für gezielte Zahnreinigung mit Mikro-Luftblasen-Technologie</t>
        </is>
      </c>
      <c r="J30" s="14" t="inlineStr">
        <is>
          <t>No</t>
        </is>
      </c>
      <c r="K30" s="14" t="inlineStr">
        <is>
          <t>https://www.amazon.de/Oral-B-Braun-OxyJet-ED17-Aufsteckd%C3%BCsen/dp/B0014RFIC8/ref=sr_1_1?__mk_de_DE=%C3%85M%C3%85%C5%BD%C3%95%C3%91&amp;crid=1UYM4QG2DL9C4&amp;dib=eyJ2IjoiMSJ9.XUFKXaowaPtToyXbV7dP-kqiYi-_2BHBS1ESozpJ0EA.AOe5sCqk9h_uUCMzPh4Y62xi8CZ-8qukXSY5eBdWizU&amp;dib_tag=se&amp;keywords=4210201746225&amp;qid=1761421474&amp;sprefix=4210201746225%2Caps%2C86&amp;sr=8-1</t>
        </is>
      </c>
      <c r="L30" s="14" t="inlineStr">
        <is>
          <t>B0014RFIC8</t>
        </is>
      </c>
      <c r="M30" s="15" t="n"/>
      <c r="N30" s="15" t="n"/>
      <c r="O30" s="15" t="n">
        <v>17.99</v>
      </c>
      <c r="P30" s="15">
        <f>O30/1.19</f>
        <v/>
      </c>
      <c r="Q30" s="15">
        <f>O30-P30</f>
        <v/>
      </c>
      <c r="R30" s="15">
        <f>O30*0.15</f>
        <v/>
      </c>
      <c r="S30" s="15" t="n">
        <v>8.24</v>
      </c>
      <c r="T30" s="15">
        <f>S30*0.2</f>
        <v/>
      </c>
      <c r="U30" s="15" t="n">
        <v>0.4</v>
      </c>
      <c r="V30" s="15" t="n">
        <v>2</v>
      </c>
      <c r="W30" s="15">
        <f>V30*0.2</f>
        <v/>
      </c>
      <c r="X30" s="21">
        <f>O30-Q30-R30-S30-U30-V30+T30+W30</f>
        <v/>
      </c>
      <c r="Y30" s="14" t="n"/>
      <c r="Z30" s="15">
        <f>O30+1.5</f>
        <v/>
      </c>
      <c r="AA30" s="15" t="n"/>
      <c r="AB30" s="15" t="n"/>
      <c r="AC30" s="14" t="n"/>
      <c r="AD30" s="14" t="n"/>
      <c r="AE30" s="13" t="inlineStr">
        <is>
          <t>NOT_UPLOADED</t>
        </is>
      </c>
    </row>
    <row r="31" ht="16" customHeight="1">
      <c r="A31" s="17" t="n"/>
      <c r="B31" s="17" t="n">
        <v>4210201746225</v>
      </c>
      <c r="C31" s="13" t="n"/>
      <c r="D31" s="18" t="n"/>
      <c r="E31" s="18" t="n"/>
      <c r="F31" s="17" t="n">
        <v>1002001333</v>
      </c>
      <c r="G31" s="18" t="inlineStr">
        <is>
          <t>Orbico</t>
        </is>
      </c>
      <c r="H31" s="18" t="inlineStr">
        <is>
          <t>ORAL-B</t>
        </is>
      </c>
      <c r="I31" s="18" t="inlineStr">
        <is>
          <t>RECAMBIOS IRRIGADOR 4U Oral-B BRAUN ED17-4</t>
        </is>
      </c>
      <c r="J31" s="18" t="inlineStr">
        <is>
          <t>No</t>
        </is>
      </c>
      <c r="K31" s="18" t="inlineStr">
        <is>
          <t>https://www.amazon.de/Ersatzd%C3%BCse-Oral-B-OxyJet-Zahnb%C3%BCrste-63719733/dp/B09FHRL14H/ref=sr_1_2?__mk_de_DE=%C3%85M%C3%85%C5%BD%C3%95%C3%91&amp;crid=1UYM4QG2DL9C4&amp;dib=eyJ2IjoiMSJ9.XUFKXaowaPtToyXbV7dP-kqiYi-_2BHBS1ESozpJ0EA.AOe5sCqk9h_uUCMzPh4Y62xi8CZ-8qukXSY5eBdWizU&amp;dib_tag=se&amp;keywords=4210201746225&amp;qid=1761421650&amp;sprefix=4210201746225%2Caps%2C86&amp;sr=8-2</t>
        </is>
      </c>
      <c r="L31" s="18" t="inlineStr">
        <is>
          <t>B09FHRL14H</t>
        </is>
      </c>
      <c r="M31" s="19" t="n"/>
      <c r="N31" s="19" t="n"/>
      <c r="O31" s="19" t="n">
        <v>24.7</v>
      </c>
      <c r="P31" s="19">
        <f>O31/1.19</f>
        <v/>
      </c>
      <c r="Q31" s="19">
        <f>O31-P31</f>
        <v/>
      </c>
      <c r="R31" s="19">
        <f>O31*0.15</f>
        <v/>
      </c>
      <c r="S31" s="19" t="n">
        <v>8.24</v>
      </c>
      <c r="T31" s="19">
        <f>S31*0.2</f>
        <v/>
      </c>
      <c r="U31" s="19" t="n">
        <v>0.4</v>
      </c>
      <c r="V31" s="19" t="n">
        <v>2</v>
      </c>
      <c r="W31" s="19">
        <f>V31*0.2</f>
        <v/>
      </c>
      <c r="X31" s="21">
        <f>O31-Q31-R31-S31-U31-V31+T31+W31</f>
        <v/>
      </c>
      <c r="Y31" s="18" t="n"/>
      <c r="Z31" s="19">
        <f>O31+1.5</f>
        <v/>
      </c>
      <c r="AA31" s="19" t="n"/>
      <c r="AB31" s="19" t="n"/>
      <c r="AC31" s="18" t="n"/>
      <c r="AD31" s="18" t="n"/>
      <c r="AE31" s="13" t="inlineStr">
        <is>
          <t>NOT_UPLOADED</t>
        </is>
      </c>
    </row>
    <row r="32" ht="16" customHeight="1">
      <c r="A32" s="12" t="n"/>
      <c r="B32" s="12" t="n">
        <v>8700216272391</v>
      </c>
      <c r="C32" s="13" t="n"/>
      <c r="D32" s="14" t="n"/>
      <c r="E32" s="14" t="n"/>
      <c r="F32" s="12" t="n">
        <v>1100031313</v>
      </c>
      <c r="G32" s="14" t="inlineStr">
        <is>
          <t>Orbico</t>
        </is>
      </c>
      <c r="H32" s="14" t="inlineStr">
        <is>
          <t>ORAL-B</t>
        </is>
      </c>
      <c r="I32" s="14" t="inlineStr">
        <is>
          <t>Oral-B 3DWhite Vitalize Toothpaste 75ml</t>
        </is>
      </c>
      <c r="J32" s="14" t="inlineStr">
        <is>
          <t>No</t>
        </is>
      </c>
      <c r="K32" s="14" t="inlineStr">
        <is>
          <t>https://www.amazon.de/Oral-B-3DWhite-Vitalize-Toothpaste-75ml/dp/B00N66U7R6/ref=sr_1_19?crid=20M5ZZFEZCV0K&amp;dib=eyJ2IjoiMSJ9.l-ZAioGLPn18oABuO81uijoB6LgVnsy77QgGlZEgyjbhCnSZW8lJ1TFleIwj1t2AvMQTzAX-oglNorpbhoyk4KLMdjCaFBw-YCIPYmgyIevjGw77wWyjXi6b9WIq5Hj27hYryjM1wy4JIQc8w2aAv7nw9P8NqLhbHvt7uxN_dxE-NTnEJHpFFu5RAKOcLfjC2B2IknflIl7aWj29w886RnricKg8fkyE0P4MpgStvnNMq31Ckq4mDW2zrX36aVf8AJauM4L57FDOLHuzlU__nVmC0tGvHKc-1bWbkhnhkWo.GGMXNomRJm-IHiBHkasjaLNIptA8uakFc-eirNk52B0&amp;dib_tag=se&amp;keywords=oral-b+toothpaste&amp;qid=1761422243&amp;sprefix=ORAL-B+TOOTH%2Caps%2C79&amp;sr=8-19</t>
        </is>
      </c>
      <c r="L32" s="14" t="inlineStr">
        <is>
          <t>B00N66U7R6</t>
        </is>
      </c>
      <c r="M32" s="15" t="n"/>
      <c r="N32" s="15" t="n"/>
      <c r="O32" s="15" t="n">
        <v>10.9</v>
      </c>
      <c r="P32" s="15">
        <f>O32/1.19</f>
        <v/>
      </c>
      <c r="Q32" s="15">
        <f>O32-P32</f>
        <v/>
      </c>
      <c r="R32" s="15">
        <f>O32*0.15</f>
        <v/>
      </c>
      <c r="S32" s="15" t="n">
        <v>2.2</v>
      </c>
      <c r="T32" s="15">
        <f>S32*0.2</f>
        <v/>
      </c>
      <c r="U32" s="15" t="n">
        <v>0.4</v>
      </c>
      <c r="V32" s="15" t="n">
        <v>2.5</v>
      </c>
      <c r="W32" s="15">
        <f>V32*0.2</f>
        <v/>
      </c>
      <c r="X32" s="21">
        <f>O32-Q32-R32-S32-U32-V32+T32+W32</f>
        <v/>
      </c>
      <c r="Y32" s="14" t="n"/>
      <c r="Z32" s="15">
        <f>O32+1.5</f>
        <v/>
      </c>
      <c r="AA32" s="15" t="n"/>
      <c r="AB32" s="15" t="n"/>
      <c r="AC32" s="14" t="n"/>
      <c r="AD32" s="14" t="n"/>
      <c r="AE32" s="13" t="inlineStr">
        <is>
          <t>NOT_UPLOADED</t>
        </is>
      </c>
    </row>
    <row r="33" ht="16" customHeight="1">
      <c r="A33" s="17" t="n"/>
      <c r="B33" s="17" t="n">
        <v>8006540846964</v>
      </c>
      <c r="C33" s="13" t="n"/>
      <c r="D33" s="18" t="n"/>
      <c r="E33" s="18" t="n"/>
      <c r="F33" s="17" t="n">
        <v>1100032443</v>
      </c>
      <c r="G33" s="18" t="inlineStr">
        <is>
          <t>Orbico</t>
        </is>
      </c>
      <c r="H33" s="18" t="inlineStr">
        <is>
          <t>ORAL-B</t>
        </is>
      </c>
      <c r="I33" s="18" t="inlineStr">
        <is>
          <t>Oral-B Pro Cross Action Aufsteckbürsten für elektrische Zahnbürste, wiederaufladbar, 2 Stück</t>
        </is>
      </c>
      <c r="J33" s="18" t="inlineStr">
        <is>
          <t>No</t>
        </is>
      </c>
      <c r="K33" s="18" t="inlineStr">
        <is>
          <t>https://www.amazon.de/Oral-B-Ersatzk%C3%B6pfe-elektrische-Zahnb%C3%BCrste-wiederaufladbar/dp/B0CGRG3XTK/ref=sr_1_19?__mk_de_DE=%C3%85M%C3%85%C5%BD%C3%95%C3%91&amp;crid=G4TTFRQWVYVI&amp;dib=eyJ2IjoiMSJ9.plyqsswNfFstyA0bEnwK2P0es22GrX7WaeaSWoDySVtpv8YKmm7eWocgQijBJasHAqgjVpT8JLfTKo4Jei6fWWnW30Y_w090mtNSpCKSUChqQ2znlbW5vhqCxtWm3c07w96pdGMw_K-w2QViOpNR0X5ZJ5rMJ_kEtokE50ES58he1pGZ8fvnHnAvjHI8lhL1GbXOgVvQjkQb4FrFPTp-ZYrXwERumLTbZBuiFSr9cyv-K1rwJ-pEhexB1a9owtmACuojt6kHDtv4PEAyEvEI9tc9C-QFiH6Q1dBq-XC-Vts.MjVx8k6Lb5e_E6Fzf-gqSgQD4-clm3gz7nQy26kZ4ms&amp;dib_tag=se&amp;keywords=ORAL-B+Cross+Action&amp;qid=1761555352&amp;sprefix=oral-b+cross+action%2Caps%2C78&amp;sr=8-19</t>
        </is>
      </c>
      <c r="L33" s="18" t="inlineStr">
        <is>
          <t>B0CGRG3XTK</t>
        </is>
      </c>
      <c r="M33" s="19" t="n"/>
      <c r="N33" s="19" t="n"/>
      <c r="O33" s="19" t="n">
        <v>15.79</v>
      </c>
      <c r="P33" s="19">
        <f>O33/1.19</f>
        <v/>
      </c>
      <c r="Q33" s="19">
        <f>O33-P33</f>
        <v/>
      </c>
      <c r="R33" s="19">
        <f>O33*0.15</f>
        <v/>
      </c>
      <c r="S33" s="19" t="n">
        <v>8.390000000000001</v>
      </c>
      <c r="T33" s="19">
        <f>S33*0.2</f>
        <v/>
      </c>
      <c r="U33" s="19" t="n">
        <v>0.4</v>
      </c>
      <c r="V33" s="19" t="n">
        <v>2.2</v>
      </c>
      <c r="W33" s="19">
        <f>V33*0.2</f>
        <v/>
      </c>
      <c r="X33" s="21">
        <f>O33-Q33-R33-S33-U33-V33+T33+W33</f>
        <v/>
      </c>
      <c r="Y33" s="18" t="n"/>
      <c r="Z33" s="19">
        <f>O33+1.5</f>
        <v/>
      </c>
      <c r="AA33" s="19" t="n"/>
      <c r="AB33" s="19" t="n"/>
      <c r="AC33" s="18" t="n"/>
      <c r="AD33" s="18" t="n"/>
      <c r="AE33" s="13" t="inlineStr">
        <is>
          <t>NOT_UPLOADED</t>
        </is>
      </c>
    </row>
    <row r="34" ht="16" customHeight="1">
      <c r="A34" s="12" t="n"/>
      <c r="B34" s="12" t="n">
        <v>8006530070324</v>
      </c>
      <c r="C34" s="13" t="n"/>
      <c r="D34" s="14" t="n"/>
      <c r="E34" s="14" t="n"/>
      <c r="F34" s="12" t="n">
        <v>1100041440</v>
      </c>
      <c r="G34" s="14" t="inlineStr">
        <is>
          <t>Orbico</t>
        </is>
      </c>
      <c r="H34" s="14" t="inlineStr">
        <is>
          <t>ORAL-B</t>
        </is>
      </c>
      <c r="I34" s="14" t="inlineStr">
        <is>
          <t>Oral-B Pro Kids Electric Toothbrush Heads, Spiderman, 4 Pack, for Gentle Brushing</t>
        </is>
      </c>
      <c r="J34" s="14" t="inlineStr">
        <is>
          <t>No</t>
        </is>
      </c>
      <c r="K34" s="14" t="inlineStr">
        <is>
          <t>https://www.amazon.de/Oral-B-Spiderman-Aufsteckb%C3%BCrsten-Kinder-Jahren/dp/B0BZS9N1F9/ref=sr_1_7?crid=GRT21WP1VWR&amp;dib=eyJ2IjoiMSJ9.4D7shpLoLv23AQk9D0eBEbYb6Ieo5aow_Mz8PtREE9VKOyKvNC6NHK6PnaIMi48w3wF4J2V1CSUXUxaUx6CvXmd8FtzfEnPEkbfdX5ohEqhMQRpI_QLGbtAEuyPzz4U0uv6u_FU1e_TWFMFvhapVtvnuGfwXUFunFaCsa0vsQXkaNEVBBhERl2gDPFs0qGWcVWO0suLIj2olehRvw5l3vg_IfoOjyPh2_PuU2ZCzIhBntYisWIbBLZMtnU4yYKVcAp4Ba1XDGj6aBzG9oyaPkLNKAmUTUMuAupKX09YTVTY.iE62Mk17FVYzAagHLFU3hPXB60OJPd_VoDNja3Gg9v8&amp;dib_tag=se&amp;keywords=oral%2Bb%2Bspiderman&amp;qid=1761555621&amp;sprefix=oral%2Bb%2Bsp%2Caps%2C97&amp;sr=8-7&amp;th=1</t>
        </is>
      </c>
      <c r="L34" s="14" t="inlineStr">
        <is>
          <t>B0BZS9N1F9</t>
        </is>
      </c>
      <c r="M34" s="15" t="n"/>
      <c r="N34" s="15" t="n"/>
      <c r="O34" s="15" t="n">
        <v>25.79</v>
      </c>
      <c r="P34" s="15">
        <f>O34/1.19</f>
        <v/>
      </c>
      <c r="Q34" s="15">
        <f>O34-P34</f>
        <v/>
      </c>
      <c r="R34" s="15">
        <f>O34*0.15</f>
        <v/>
      </c>
      <c r="S34" s="15" t="n">
        <v>15.28</v>
      </c>
      <c r="T34" s="15">
        <f>S34*0.2</f>
        <v/>
      </c>
      <c r="U34" s="15" t="n">
        <v>0.4</v>
      </c>
      <c r="V34" s="15" t="n">
        <v>2.5</v>
      </c>
      <c r="W34" s="15">
        <f>V34*0.2</f>
        <v/>
      </c>
      <c r="X34" s="21">
        <f>O34-Q34-R34-S34-U34-V34+T34+W34</f>
        <v/>
      </c>
      <c r="Y34" s="14" t="n"/>
      <c r="Z34" s="15">
        <f>O34+1.5</f>
        <v/>
      </c>
      <c r="AA34" s="15" t="n"/>
      <c r="AB34" s="15" t="n"/>
      <c r="AC34" s="14" t="n"/>
      <c r="AD34" s="14" t="n"/>
      <c r="AE34" s="13" t="inlineStr">
        <is>
          <t>NOT_UPLOADED</t>
        </is>
      </c>
    </row>
    <row r="35" ht="16" customHeight="1">
      <c r="A35" s="17" t="n"/>
      <c r="B35" s="17" t="n">
        <v>8006540805077</v>
      </c>
      <c r="C35" s="13" t="n"/>
      <c r="D35" s="18" t="n"/>
      <c r="E35" s="18" t="n"/>
      <c r="F35" s="17" t="n">
        <v>1100029220</v>
      </c>
      <c r="G35" s="18" t="inlineStr">
        <is>
          <t>Orbico</t>
        </is>
      </c>
      <c r="H35" s="18" t="inlineStr">
        <is>
          <t>ORAL-B</t>
        </is>
      </c>
      <c r="I35" s="18" t="inlineStr">
        <is>
          <t>Oral-B Replacement Brush Heads for Marvel Spider-Man Electric Toothbrush, 2 Pack</t>
        </is>
      </c>
      <c r="J35" s="18" t="inlineStr">
        <is>
          <t>No</t>
        </is>
      </c>
      <c r="K35" s="18" t="inlineStr">
        <is>
          <t>https://www.amazon.de/Oral-B-Ersatzb%C3%BCrsten-Spider-Man-elektrische-Zahnb%C3%BCrsten/dp/B0CCDMB48B/ref=sr_1_22?crid=GRT21WP1VWR&amp;dib=eyJ2IjoiMSJ9.4D7shpLoLv23AQk9D0eBEbYb6Ieo5aow_Mz8PtREE9VKOyKvNC6NHK6PnaIMi48w3wF4J2V1CSUXUxaUx6CvXmd8FtzfEnPEkbfdX5ohEqhMQRpI_QLGbtAEuyPzz4U0uv6u_FU1e_TWFMFvhapVtvnuGfwXUFunFaCsa0vsQXkaNEVBBhERl2gDPFs0qGWcVWO0suLIj2olehRvw5l3vg_IfoOjyPh2_PuU2ZCzIhBntYisWIbBLZMtnU4yYKVcAp4Ba1XDGj6aBzG9oyaPkLNKAmUTUMuAupKX09YTVTY.iE62Mk17FVYzAagHLFU3hPXB60OJPd_VoDNja3Gg9v8&amp;dib_tag=se&amp;keywords=oral+b+spiderman&amp;qid=1761555884&amp;sprefix=oral+b+sp%2Caps%2C97&amp;sr=8-22</t>
        </is>
      </c>
      <c r="L35" s="18" t="inlineStr">
        <is>
          <t>B0CCDMB48B</t>
        </is>
      </c>
      <c r="M35" s="19" t="n"/>
      <c r="N35" s="19" t="n"/>
      <c r="O35" s="19" t="n">
        <v>17.77</v>
      </c>
      <c r="P35" s="19">
        <f>O35/1.19</f>
        <v/>
      </c>
      <c r="Q35" s="19">
        <f>O35-P35</f>
        <v/>
      </c>
      <c r="R35" s="19">
        <f>O35*0.15</f>
        <v/>
      </c>
      <c r="S35" s="19" t="n">
        <v>8.390000000000001</v>
      </c>
      <c r="T35" s="19">
        <f>S35*0.2</f>
        <v/>
      </c>
      <c r="U35" s="19" t="n">
        <v>0.4</v>
      </c>
      <c r="V35" s="19" t="n">
        <v>2.2</v>
      </c>
      <c r="W35" s="19">
        <f>V35*0.2</f>
        <v/>
      </c>
      <c r="X35" s="21">
        <f>O35-Q35-R35-S35-U35-V35+T35+W35</f>
        <v/>
      </c>
      <c r="Y35" s="18" t="n"/>
      <c r="Z35" s="19">
        <f>O35+1.5</f>
        <v/>
      </c>
      <c r="AA35" s="19" t="n"/>
      <c r="AB35" s="19" t="n"/>
      <c r="AC35" s="18" t="n"/>
      <c r="AD35" s="18" t="n"/>
      <c r="AE35" s="13" t="inlineStr">
        <is>
          <t>NOT_UPLOADED</t>
        </is>
      </c>
    </row>
    <row r="36" ht="16" customHeight="1">
      <c r="A36" s="12" t="n"/>
      <c r="B36" s="12" t="n">
        <v>8006540804605</v>
      </c>
      <c r="C36" s="13" t="n"/>
      <c r="D36" s="14" t="n"/>
      <c r="E36" s="14" t="n"/>
      <c r="F36" s="12" t="n">
        <v>1100032244</v>
      </c>
      <c r="G36" s="14" t="inlineStr">
        <is>
          <t>Orbico</t>
        </is>
      </c>
      <c r="H36" s="14" t="inlineStr">
        <is>
          <t>ORAL-B</t>
        </is>
      </c>
      <c r="I36" s="14" t="inlineStr">
        <is>
          <t>Oral B Pro Kids 3+ FROZEN RICAMBIO 2 pezzi per SPAZZOLINO ELETTRICO</t>
        </is>
      </c>
      <c r="J36" s="14" t="inlineStr">
        <is>
          <t>No</t>
        </is>
      </c>
      <c r="K36" s="14" t="inlineStr">
        <is>
          <t>https://www.amazon.de/Frozen-Richbio-St%C3%BCck-Spazzolino-ELETTRICO/dp/B0CP819LZC/ref=sr_1_11?crid=3I6TSF8S9AQUE&amp;dib=eyJ2IjoiMSJ9.Su1VCTChj8qo_Bv1NUqLpPaLnA86LF_-aMdx06a0KZHN_WqUeolPVuQVeom3bpEAuU9VnMqbV3H5iW1dMBcPrr9Euy4HwqaUVGMa5PZ1gC8Toh8dDwarEwoJfjM92p6Qmj8K0dznSIblRrMDstsZuyGxytmeBAT_BcV3i9DRp1MCi4Jt6oIO97qpQOajqE_dQYDTN2gIsKUUNeMmMwICAXPMM8O4Xaijm6xw8K-mT0QzwAHCdCTfAILMrYxO8a4CP84BA1efXQDJ5UlcJfEtaqLgBnJHnJQNrcZiyl-MB98.nGAem-sLPN4mprYQLG5hiwASA-QlCJMgrTGv6jJ6GUM&amp;dib_tag=se&amp;keywords=oral+b+frozen+aufsteckb%C3%BCrsten&amp;qid=1761556161&amp;sprefix=oral+b+frozen%2Caps%2C159&amp;sr=8-11</t>
        </is>
      </c>
      <c r="L36" s="14" t="inlineStr">
        <is>
          <t>B0CP819LZC</t>
        </is>
      </c>
      <c r="M36" s="15" t="n"/>
      <c r="N36" s="15" t="n"/>
      <c r="O36" s="15" t="n">
        <v>18.88</v>
      </c>
      <c r="P36" s="15">
        <f>O36/1.19</f>
        <v/>
      </c>
      <c r="Q36" s="15">
        <f>O36-P36</f>
        <v/>
      </c>
      <c r="R36" s="15">
        <f>O36*0.15</f>
        <v/>
      </c>
      <c r="S36" s="15" t="n">
        <v>8.390000000000001</v>
      </c>
      <c r="T36" s="15">
        <f>S36*0.2</f>
        <v/>
      </c>
      <c r="U36" s="15" t="n">
        <v>0.4</v>
      </c>
      <c r="V36" s="15" t="n">
        <v>2.2</v>
      </c>
      <c r="W36" s="15">
        <f>V36*0.2</f>
        <v/>
      </c>
      <c r="X36" s="21">
        <f>O36-Q36-R36-S36-U36-V36+T36+W36</f>
        <v/>
      </c>
      <c r="Y36" s="14" t="n"/>
      <c r="Z36" s="15">
        <f>O36+1.5</f>
        <v/>
      </c>
      <c r="AA36" s="15" t="n"/>
      <c r="AB36" s="15" t="n"/>
      <c r="AC36" s="14" t="n"/>
      <c r="AD36" s="14" t="n"/>
      <c r="AE36" s="13" t="inlineStr">
        <is>
          <t>NOT_UPLOADED</t>
        </is>
      </c>
    </row>
    <row r="37" ht="16" customHeight="1">
      <c r="A37" s="17" t="n"/>
      <c r="B37" s="17" t="n">
        <v>8006540804605</v>
      </c>
      <c r="C37" s="13" t="n"/>
      <c r="D37" s="18" t="n"/>
      <c r="E37" s="18" t="n"/>
      <c r="F37" s="17" t="n">
        <v>1100032244</v>
      </c>
      <c r="G37" s="18" t="inlineStr">
        <is>
          <t>Orbico</t>
        </is>
      </c>
      <c r="H37" s="18" t="inlineStr">
        <is>
          <t>ORAL-B</t>
        </is>
      </c>
      <c r="I37" s="18" t="inlineStr">
        <is>
          <t>Oral-B Disney Frozen Replacement Round Head for Electric Toothbrush, 2 Pack</t>
        </is>
      </c>
      <c r="J37" s="18" t="inlineStr">
        <is>
          <t>No</t>
        </is>
      </c>
      <c r="K37" s="18" t="inlineStr">
        <is>
          <t>https://www.amazon.de/Oral-B-Disney-Ersatz-Rundkopf-elektrische-Zahnb%C3%BCrste/dp/B0CXKTMSNC/ref=sr_1_14?crid=3I6TSF8S9AQUE&amp;dib=eyJ2IjoiMSJ9.Su1VCTChj8qo_Bv1NUqLpPaLnA86LF_-aMdx06a0KZHN_WqUeolPVuQVeom3bpEAuU9VnMqbV3H5iW1dMBcPrr9Euy4HwqaUVGMa5PZ1gC8Toh8dDwarEwoJfjM92p6Qmj8K0dznSIblRrMDstsZuyGxytmeBAT_BcV3i9DRp1MCi4Jt6oIO97qpQOajqE_dQYDTN2gIsKUUNeMmMwICAXPMM8O4Xaijm6xw8K-mT0QzwAHCdCTfAILMrYxO8a4CP84BA1efXQDJ5UlcJfEtaqLgBnJHnJQNrcZiyl-MB98.nGAem-sLPN4mprYQLG5hiwASA-QlCJMgrTGv6jJ6GUM&amp;dib_tag=se&amp;keywords=oral+b+frozen+aufsteckb%C3%BCrsten&amp;qid=1761556161&amp;sprefix=oral+b+frozen%2Caps%2C159&amp;sr=8-14</t>
        </is>
      </c>
      <c r="L37" s="18" t="inlineStr">
        <is>
          <t>B0CXKTMSNC</t>
        </is>
      </c>
      <c r="M37" s="19" t="n"/>
      <c r="N37" s="19" t="n"/>
      <c r="O37" s="19" t="n">
        <v>20.2</v>
      </c>
      <c r="P37" s="19">
        <f>O37/1.19</f>
        <v/>
      </c>
      <c r="Q37" s="19">
        <f>O37-P37</f>
        <v/>
      </c>
      <c r="R37" s="19">
        <f>O37*0.15</f>
        <v/>
      </c>
      <c r="S37" s="19" t="n">
        <v>8.390000000000001</v>
      </c>
      <c r="T37" s="19">
        <f>S37*0.2</f>
        <v/>
      </c>
      <c r="U37" s="19" t="n">
        <v>0.4</v>
      </c>
      <c r="V37" s="19" t="n">
        <v>2.2</v>
      </c>
      <c r="W37" s="19">
        <f>V37*0.2</f>
        <v/>
      </c>
      <c r="X37" s="21">
        <f>O37-Q37-R37-S37-U37-V37+T37+W37</f>
        <v/>
      </c>
      <c r="Y37" s="18" t="n"/>
      <c r="Z37" s="19">
        <f>O37+1.5</f>
        <v/>
      </c>
      <c r="AA37" s="19" t="n"/>
      <c r="AB37" s="19" t="n"/>
      <c r="AC37" s="18" t="n"/>
      <c r="AD37" s="18" t="n"/>
      <c r="AE37" s="13" t="inlineStr">
        <is>
          <t>NOT_UPLOADED</t>
        </is>
      </c>
    </row>
    <row r="38" ht="16" customHeight="1">
      <c r="A38" s="12" t="n"/>
      <c r="B38" s="12" t="n">
        <v>8700216198899</v>
      </c>
      <c r="C38" s="13" t="n"/>
      <c r="D38" s="14" t="n"/>
      <c r="E38" s="14" t="n"/>
      <c r="F38" s="12" t="n">
        <v>1100039068</v>
      </c>
      <c r="G38" s="14" t="inlineStr">
        <is>
          <t>Orbico</t>
        </is>
      </c>
      <c r="H38" s="14" t="inlineStr">
        <is>
          <t>ORAL-B</t>
        </is>
      </c>
      <c r="I38" s="14" t="inlineStr">
        <is>
          <t>Oral-B iO Gentle Care, Aufsatz, 4 Ersatzbürsten für elektrische Zahnbürste, für eine sanfte Reinigung auf empfindlichen Zonen und gesünderem Zahnfleisch, Weiß</t>
        </is>
      </c>
      <c r="J38" s="14" t="inlineStr">
        <is>
          <t>No</t>
        </is>
      </c>
      <c r="K38" s="14" t="inlineStr">
        <is>
          <t>https://www.amazon.de/Oral-B-Ersatzb%C3%BCrsten-elektrische-Zahnb%C3%BCrste-Zahnfleisch/dp/B094XJ3PFR/ref=sr_1_1?__mk_de_DE=%C3%85M%C3%85%C5%BD%C3%95%C3%91&amp;crid=3VFY3ZL5TDQYD&amp;dib=eyJ2IjoiMSJ9.IxYlnc6ir3SpQWlbjpVjs0iEpNNaLf7RyAEx2ZUfHPWDJQl0d4TJNKz2WZZ6GFgRJtIOYRbqcia8HMtWRPR5CcExEnABqzOdKX1xnKIYLbkKWCCwoLZ0CP0pYaSpSphZD7h9zs2yFGhVeTmiwbL1nmVkIcdFEFNI5w8dbAZkB96bZsOpWoRvOjMJsWY6JbAj_aPWmDntjD8j-F0IfkBwJdW8prL10oaRVDMjnKMS4wn-WoGWuGn1_rVblFbGuQu8se5Uiji5_ICb3ylbZHcPQuQA_MVrSxDcg7dDgxDBr8Y.n9QBwIz6i6FPIsAcg6lylij3nL_SWSeipUPRc5lbtlU&amp;dib_tag=se&amp;keywords=ORAL-B+IO+Gentle+Care&amp;qid=1761556800&amp;sprefix=oral-b+io+gentle+care%2Caps%2C85&amp;sr=8-1</t>
        </is>
      </c>
      <c r="L38" s="14" t="inlineStr">
        <is>
          <t>B094XJ3PFR</t>
        </is>
      </c>
      <c r="M38" s="15" t="n"/>
      <c r="N38" s="15" t="n"/>
      <c r="O38" s="15" t="n">
        <v>39.97</v>
      </c>
      <c r="P38" s="15">
        <f>O38/1.19</f>
        <v/>
      </c>
      <c r="Q38" s="15">
        <f>O38-P38</f>
        <v/>
      </c>
      <c r="R38" s="15">
        <f>O38*0.15</f>
        <v/>
      </c>
      <c r="S38" s="15" t="n">
        <v>24.63</v>
      </c>
      <c r="T38" s="15">
        <f>S38*0.2</f>
        <v/>
      </c>
      <c r="U38" s="15" t="n">
        <v>0.4</v>
      </c>
      <c r="V38" s="15" t="n">
        <v>2.5</v>
      </c>
      <c r="W38" s="15">
        <f>V38*0.2</f>
        <v/>
      </c>
      <c r="X38" s="21">
        <f>O38-Q38-R38-S38-U38-V38+T38+W38</f>
        <v/>
      </c>
      <c r="Y38" s="14" t="n"/>
      <c r="Z38" s="15">
        <f>O38+1.5</f>
        <v/>
      </c>
      <c r="AA38" s="15" t="n"/>
      <c r="AB38" s="15" t="n"/>
      <c r="AC38" s="14" t="n"/>
      <c r="AD38" s="14" t="n"/>
      <c r="AE38" s="13" t="inlineStr">
        <is>
          <t>NOT_UPLOADED</t>
        </is>
      </c>
    </row>
    <row r="39" ht="16" customHeight="1">
      <c r="A39" s="17" t="n"/>
      <c r="B39" s="17" t="n">
        <v>8700216375344</v>
      </c>
      <c r="C39" s="13" t="n"/>
      <c r="D39" s="18" t="n"/>
      <c r="E39" s="18" t="n"/>
      <c r="F39" s="17" t="n">
        <v>1100039067</v>
      </c>
      <c r="G39" s="18" t="inlineStr">
        <is>
          <t>Orbico</t>
        </is>
      </c>
      <c r="H39" s="18" t="inlineStr">
        <is>
          <t>ORAL-B</t>
        </is>
      </c>
      <c r="I39" s="18" t="inlineStr">
        <is>
          <t>Oral-B Set mit 2 iO Gentle Care Bürsten</t>
        </is>
      </c>
      <c r="J39" s="18" t="inlineStr">
        <is>
          <t>No</t>
        </is>
      </c>
      <c r="K39" s="18" t="inlineStr">
        <is>
          <t>https://www.amazon.de/Oral-B-Gentle-Care-B%C3%BCrsten-St%C3%BCck/dp/B088NFP4P5/ref=sr_1_4?__mk_de_DE=%C3%85M%C3%85%C5%BD%C3%95%C3%91&amp;crid=3VFY3ZL5TDQYD&amp;dib=eyJ2IjoiMSJ9.IxYlnc6ir3SpQWlbjpVjs0iEpNNaLf7RyAEx2ZUfHPWDJQl0d4TJNKz2WZZ6GFgRJtIOYRbqcia8HMtWRPR5CcExEnABqzOdKX1xnKIYLbkKWCCwoLZ0CP0pYaSpSphZD7h9zs2yFGhVeTmiwbL1nmVkIcdFEFNI5w8dbAZkB96bZsOpWoRvOjMJsWY6JbAj_aPWmDntjD8j-F0IfkBwJdW8prL10oaRVDMjnKMS4wn-WoGWuGn1_rVblFbGuQu8se5Uiji5_ICb3ylbZHcPQuQA_MVrSxDcg7dDgxDBr8Y.n9QBwIz6i6FPIsAcg6lylij3nL_SWSeipUPRc5lbtlU&amp;dib_tag=se&amp;keywords=ORAL-B%2BIO%2BGentle%2BCare&amp;qid=1761556800&amp;sprefix=oral-b%2Bio%2Bgentle%2Bcare%2Caps%2C85&amp;sr=8-4&amp;th=1</t>
        </is>
      </c>
      <c r="L39" s="18" t="inlineStr">
        <is>
          <t>B088NFP4P5</t>
        </is>
      </c>
      <c r="M39" s="19" t="n"/>
      <c r="N39" s="19" t="n"/>
      <c r="O39" s="19" t="n">
        <v>24.95</v>
      </c>
      <c r="P39" s="19">
        <f>O39/1.19</f>
        <v/>
      </c>
      <c r="Q39" s="19">
        <f>O39-P39</f>
        <v/>
      </c>
      <c r="R39" s="19">
        <f>O39*0.15</f>
        <v/>
      </c>
      <c r="S39" s="19" t="n">
        <v>13.74</v>
      </c>
      <c r="T39" s="19">
        <f>S39*0.2</f>
        <v/>
      </c>
      <c r="U39" s="19" t="n">
        <v>0.4</v>
      </c>
      <c r="V39" s="19" t="n">
        <v>2.5</v>
      </c>
      <c r="W39" s="19">
        <f>V39*0.2</f>
        <v/>
      </c>
      <c r="X39" s="21">
        <f>O39-Q39-R39-S39-U39-V39+T39+W39</f>
        <v/>
      </c>
      <c r="Y39" s="18" t="n"/>
      <c r="Z39" s="19">
        <f>O39+1.5</f>
        <v/>
      </c>
      <c r="AA39" s="19" t="n"/>
      <c r="AB39" s="19" t="n"/>
      <c r="AC39" s="18" t="n"/>
      <c r="AD39" s="18" t="n"/>
      <c r="AE39" s="13" t="inlineStr">
        <is>
          <t>NOT_UPLOADED</t>
        </is>
      </c>
    </row>
    <row r="40" ht="16" customHeight="1">
      <c r="A40" s="12" t="n"/>
      <c r="B40" s="12" t="n">
        <v>8700216375344</v>
      </c>
      <c r="C40" s="13" t="n"/>
      <c r="D40" s="14" t="n"/>
      <c r="E40" s="14" t="n"/>
      <c r="F40" s="12" t="n">
        <v>1100039067</v>
      </c>
      <c r="G40" s="14" t="inlineStr">
        <is>
          <t>Orbico</t>
        </is>
      </c>
      <c r="H40" s="14" t="inlineStr">
        <is>
          <t>ORAL-B</t>
        </is>
      </c>
      <c r="I40" s="14" t="inlineStr">
        <is>
          <t>Oral-B Gentle Care Ersatzbürsten, Weiß, weich, geeignet für empfindliches Zahnfleisch, runde Bürste für elektrische Zahnbürsten, Oral B iO, 2 Stück</t>
        </is>
      </c>
      <c r="J40" s="14" t="inlineStr">
        <is>
          <t>No</t>
        </is>
      </c>
      <c r="K40" s="14" t="inlineStr">
        <is>
          <t>https://www.amazon.de/Oral-B-Ersatzb%C3%BCrsten-empfindliches-Zahnfleisch-elektrische/dp/B0DP7P35F3/ref=sr_1_8?__mk_de_DE=%C3%85M%C3%85%C5%BD%C3%95%C3%91&amp;crid=3VFY3ZL5TDQYD&amp;dib=eyJ2IjoiMSJ9.IxYlnc6ir3SpQWlbjpVjs0iEpNNaLf7RyAEx2ZUfHPWDJQl0d4TJNKz2WZZ6GFgRJtIOYRbqcia8HMtWRPR5CcExEnABqzOdKX1xnKIYLbkKWCCwoLZ0CP0pYaSpSphZD7h9zs2yFGhVeTmiwbL1nmVkIcdFEFNI5w8dbAZkB96bZsOpWoRvOjMJsWY6JbAj_aPWmDntjD8j-F0IfkBwJdW8prL10oaRVDMjnKMS4wn-WoGWuGn1_rVblFbGuQu8se5Uiji5_ICb3ylbZHcPQuQA_MVrSxDcg7dDgxDBr8Y.n9QBwIz6i6FPIsAcg6lylij3nL_SWSeipUPRc5lbtlU&amp;dib_tag=se&amp;keywords=ORAL-B+IO+Gentle+Care&amp;qid=1761556800&amp;sprefix=oral-b+io+gentle+care%2Caps%2C85&amp;sr=8-8</t>
        </is>
      </c>
      <c r="L40" s="14" t="inlineStr">
        <is>
          <t>B0DP7P35F3</t>
        </is>
      </c>
      <c r="M40" s="15" t="n"/>
      <c r="N40" s="15" t="n"/>
      <c r="O40" s="15" t="n">
        <v>27.95</v>
      </c>
      <c r="P40" s="15">
        <f>O40/1.19</f>
        <v/>
      </c>
      <c r="Q40" s="15">
        <f>O40-P40</f>
        <v/>
      </c>
      <c r="R40" s="15">
        <f>O40*0.15</f>
        <v/>
      </c>
      <c r="S40" s="15" t="n">
        <v>13.74</v>
      </c>
      <c r="T40" s="15">
        <f>S40*0.2</f>
        <v/>
      </c>
      <c r="U40" s="15" t="n">
        <v>0.4</v>
      </c>
      <c r="V40" s="15" t="n">
        <v>2.5</v>
      </c>
      <c r="W40" s="15">
        <f>V40*0.2</f>
        <v/>
      </c>
      <c r="X40" s="21">
        <f>O40-Q40-R40-S40-U40-V40+T40+W40</f>
        <v/>
      </c>
      <c r="Y40" s="14" t="n"/>
      <c r="Z40" s="15">
        <f>O40+1.5</f>
        <v/>
      </c>
      <c r="AA40" s="15" t="n"/>
      <c r="AB40" s="15" t="n"/>
      <c r="AC40" s="14" t="n"/>
      <c r="AD40" s="14" t="n"/>
      <c r="AE40" s="13" t="inlineStr">
        <is>
          <t>NOT_UPLOADED</t>
        </is>
      </c>
    </row>
    <row r="41" ht="16" customHeight="1">
      <c r="A41" s="17" t="n"/>
      <c r="B41" s="17" t="n">
        <v>8700216375344</v>
      </c>
      <c r="C41" s="13" t="n"/>
      <c r="D41" s="18" t="n"/>
      <c r="E41" s="18" t="n"/>
      <c r="F41" s="17" t="n">
        <v>1100039067</v>
      </c>
      <c r="G41" s="18" t="inlineStr">
        <is>
          <t>Orbico</t>
        </is>
      </c>
      <c r="H41" s="18" t="inlineStr">
        <is>
          <t>ORAL-B</t>
        </is>
      </c>
      <c r="I41" s="18" t="inlineStr">
        <is>
          <t>Oral-B iO Gentle Care Aufsteckbürste für elektrische Zahnbürste, verdrehte &amp; abgewinkelte Borsten für tiefere Plaque-Entfernung, 2 Stück Zahnbürstenköpfe, Weiß</t>
        </is>
      </c>
      <c r="J41" s="18" t="inlineStr">
        <is>
          <t>No</t>
        </is>
      </c>
      <c r="K41" s="18" t="inlineStr">
        <is>
          <t>https://www.amazon.de/Oral-B-Gentle-Care-Zahnb%C3%BCrstenk%C3%B6pfe-St%C3%BCck/dp/B089TP5N69/ref=sr_1_9?__mk_de_DE=%C3%85M%C3%85%C5%BD%C3%95%C3%91&amp;crid=3VFY3ZL5TDQYD&amp;dib=eyJ2IjoiMSJ9.IxYlnc6ir3SpQWlbjpVjs0iEpNNaLf7RyAEx2ZUfHPWDJQl0d4TJNKz2WZZ6GFgRJtIOYRbqcia8HMtWRPR5CcExEnABqzOdKX1xnKIYLbkKWCCwoLZ0CP0pYaSpSphZD7h9zs2yFGhVeTmiwbL1nmVkIcdFEFNI5w8dbAZkB96bZsOpWoRvOjMJsWY6JbAj_aPWmDntjD8j-F0IfkBwJdW8prL10oaRVDMjnKMS4wn-WoGWuGn1_rVblFbGuQu8se5Uiji5_ICb3ylbZHcPQuQA_MVrSxDcg7dDgxDBr8Y.n9QBwIz6i6FPIsAcg6lylij3nL_SWSeipUPRc5lbtlU&amp;dib_tag=se&amp;keywords=ORAL-B%2BIO%2BGentle%2BCare&amp;qid=1761556800&amp;sprefix=oral-b%2Bio%2Bgentle%2Bcare%2Caps%2C85&amp;sr=8-9&amp;th=1</t>
        </is>
      </c>
      <c r="L41" s="18" t="inlineStr">
        <is>
          <t>B089TP5N69</t>
        </is>
      </c>
      <c r="M41" s="19" t="n"/>
      <c r="N41" s="19" t="n"/>
      <c r="O41" s="19" t="n">
        <v>24.95</v>
      </c>
      <c r="P41" s="19">
        <f>O41/1.19</f>
        <v/>
      </c>
      <c r="Q41" s="19">
        <f>O41-P41</f>
        <v/>
      </c>
      <c r="R41" s="19">
        <f>O41*0.15</f>
        <v/>
      </c>
      <c r="S41" s="19" t="n">
        <v>13.74</v>
      </c>
      <c r="T41" s="19">
        <f>S41*0.2</f>
        <v/>
      </c>
      <c r="U41" s="19" t="n">
        <v>0.4</v>
      </c>
      <c r="V41" s="19" t="n">
        <v>2.5</v>
      </c>
      <c r="W41" s="19">
        <f>V41*0.2</f>
        <v/>
      </c>
      <c r="X41" s="21">
        <f>O41-Q41-R41-S41-U41-V41+T41+W41</f>
        <v/>
      </c>
      <c r="Y41" s="18" t="n"/>
      <c r="Z41" s="19">
        <f>O41+1.5</f>
        <v/>
      </c>
      <c r="AA41" s="19" t="n"/>
      <c r="AB41" s="19" t="n"/>
      <c r="AC41" s="18" t="n"/>
      <c r="AD41" s="18" t="n"/>
      <c r="AE41" s="13" t="inlineStr">
        <is>
          <t>NOT_UPLOADED</t>
        </is>
      </c>
    </row>
    <row r="42" ht="16" customHeight="1">
      <c r="A42" s="12" t="n"/>
      <c r="B42" s="12" t="n">
        <v>8700216198899</v>
      </c>
      <c r="C42" s="13" t="n"/>
      <c r="D42" s="14" t="n"/>
      <c r="E42" s="14" t="n"/>
      <c r="F42" s="12" t="n">
        <v>1100039068</v>
      </c>
      <c r="G42" s="14" t="inlineStr">
        <is>
          <t>Orbico</t>
        </is>
      </c>
      <c r="H42" s="14" t="inlineStr">
        <is>
          <t>ORAL-B</t>
        </is>
      </c>
      <c r="I42" s="14" t="inlineStr">
        <is>
          <t>Oral-B iO Sanfte Reinigung Aufsteckbürsten für elektrische Zahnbürste, 4 Stück, sanfte Zahnreinigung mit iO Technologie, briefkastenfähige Verpackung</t>
        </is>
      </c>
      <c r="J42" s="14" t="inlineStr">
        <is>
          <t>No</t>
        </is>
      </c>
      <c r="K42" s="14" t="inlineStr">
        <is>
          <t>https://www.amazon.de/Oral-B-Aufsteckb%C3%BCrsten-sensationelles-Mundgef%C3%BChl-Briefkastenf%C3%A4hige/dp/B089F523M8/ref=sr_1_11?__mk_de_DE=%C3%85M%C3%85%C5%BD%C3%95%C3%91&amp;crid=3VFY3ZL5TDQYD&amp;dib=eyJ2IjoiMSJ9.IxYlnc6ir3SpQWlbjpVjs0iEpNNaLf7RyAEx2ZUfHPWDJQl0d4TJNKz2WZZ6GFgRJtIOYRbqcia8HMtWRPR5CcExEnABqzOdKX1xnKIYLbkKWCCwoLZ0CP0pYaSpSphZD7h9zs2yFGhVeTmiwbL1nmVkIcdFEFNI5w8dbAZkB96bZsOpWoRvOjMJsWY6JbAj_aPWmDntjD8j-F0IfkBwJdW8prL10oaRVDMjnKMS4wn-WoGWuGn1_rVblFbGuQu8se5Uiji5_ICb3ylbZHcPQuQA_MVrSxDcg7dDgxDBr8Y.n9QBwIz6i6FPIsAcg6lylij3nL_SWSeipUPRc5lbtlU&amp;dib_tag=se&amp;keywords=ORAL-B+IO+Gentle+Care&amp;qid=1761556800&amp;sprefix=oral-b+io+gentle+care%2Caps%2C85&amp;sr=8-11</t>
        </is>
      </c>
      <c r="L42" s="14" t="inlineStr">
        <is>
          <t>B089F523M8</t>
        </is>
      </c>
      <c r="M42" s="15" t="n"/>
      <c r="N42" s="15" t="n"/>
      <c r="O42" s="15" t="n">
        <v>39.97</v>
      </c>
      <c r="P42" s="15">
        <f>O42/1.19</f>
        <v/>
      </c>
      <c r="Q42" s="15">
        <f>O42-P42</f>
        <v/>
      </c>
      <c r="R42" s="15">
        <f>O42*0.15</f>
        <v/>
      </c>
      <c r="S42" s="15" t="n">
        <v>24.63</v>
      </c>
      <c r="T42" s="15">
        <f>S42*0.2</f>
        <v/>
      </c>
      <c r="U42" s="15" t="n">
        <v>0.4</v>
      </c>
      <c r="V42" s="15" t="n">
        <v>2.5</v>
      </c>
      <c r="W42" s="15">
        <f>V42*0.2</f>
        <v/>
      </c>
      <c r="X42" s="21">
        <f>O42-Q42-R42-S42-U42-V42+T42+W42</f>
        <v/>
      </c>
      <c r="Y42" s="14" t="n"/>
      <c r="Z42" s="15">
        <f>O42+1.5</f>
        <v/>
      </c>
      <c r="AA42" s="15" t="n"/>
      <c r="AB42" s="15" t="n"/>
      <c r="AC42" s="14" t="n"/>
      <c r="AD42" s="14" t="n"/>
      <c r="AE42" s="13" t="inlineStr">
        <is>
          <t>NOT_UPLOADED</t>
        </is>
      </c>
    </row>
    <row r="43" ht="16" customHeight="1">
      <c r="A43" s="17" t="n"/>
      <c r="B43" s="17" t="n">
        <v>8700216375344</v>
      </c>
      <c r="C43" s="13" t="n"/>
      <c r="D43" s="18" t="n"/>
      <c r="E43" s="18" t="n"/>
      <c r="F43" s="17" t="n">
        <v>1100039067</v>
      </c>
      <c r="G43" s="18" t="inlineStr">
        <is>
          <t>Orbico</t>
        </is>
      </c>
      <c r="H43" s="18" t="inlineStr">
        <is>
          <t>ORAL-B</t>
        </is>
      </c>
      <c r="I43" s="18" t="inlineStr">
        <is>
          <t>Oral-B iO Gentle Care Zahnbürstenspitzen Oral-B iO, 2 Stück, Weiß</t>
        </is>
      </c>
      <c r="J43" s="18" t="inlineStr">
        <is>
          <t>No</t>
        </is>
      </c>
      <c r="K43" s="18" t="inlineStr">
        <is>
          <t>https://www.amazon.de/Oral-B-Gentle-Zahnb%C3%BCrstenspitzen-Packung-St%C3%BCck/dp/B09LQSGPQR/ref=sr_1_15?__mk_de_DE=%C3%85M%C3%85%C5%BD%C3%95%C3%91&amp;crid=3VFY3ZL5TDQYD&amp;dib=eyJ2IjoiMSJ9.IxYlnc6ir3SpQWlbjpVjs0iEpNNaLf7RyAEx2ZUfHPWDJQl0d4TJNKz2WZZ6GFgRJtIOYRbqcia8HMtWRPR5CcExEnABqzOdKX1xnKIYLbkKWCCwoLZ0CP0pYaSpSphZD7h9zs2yFGhVeTmiwbL1nmVkIcdFEFNI5w8dbAZkB96bZsOpWoRvOjMJsWY6JbAj_aPWmDntjD8j-F0IfkBwJdW8prL10oaRVDMjnKMS4wn-WoGWuGn1_rVblFbGuQu8se5Uiji5_ICb3ylbZHcPQuQA_MVrSxDcg7dDgxDBr8Y.n9QBwIz6i6FPIsAcg6lylij3nL_SWSeipUPRc5lbtlU&amp;dib_tag=se&amp;keywords=ORAL-B%2BIO%2BGentle%2BCare&amp;qid=1761556800&amp;sprefix=oral-b%2Bio%2Bgentle%2Bcare%2Caps%2C85&amp;sr=8-15&amp;th=1</t>
        </is>
      </c>
      <c r="L43" s="18" t="inlineStr">
        <is>
          <t>B09LQSGPQR</t>
        </is>
      </c>
      <c r="M43" s="19" t="n"/>
      <c r="N43" s="19" t="n"/>
      <c r="O43" s="19" t="n">
        <v>27.99</v>
      </c>
      <c r="P43" s="19">
        <f>O43/1.19</f>
        <v/>
      </c>
      <c r="Q43" s="19">
        <f>O43-P43</f>
        <v/>
      </c>
      <c r="R43" s="19">
        <f>O43*0.15</f>
        <v/>
      </c>
      <c r="S43" s="19" t="n">
        <v>13.74</v>
      </c>
      <c r="T43" s="19">
        <f>S43*0.2</f>
        <v/>
      </c>
      <c r="U43" s="19" t="n">
        <v>0.4</v>
      </c>
      <c r="V43" s="19" t="n">
        <v>2.5</v>
      </c>
      <c r="W43" s="19">
        <f>V43*0.2</f>
        <v/>
      </c>
      <c r="X43" s="21">
        <f>O43-Q43-R43-S43-U43-V43+T43+W43</f>
        <v/>
      </c>
      <c r="Y43" s="18" t="n"/>
      <c r="Z43" s="19">
        <f>O43+1.5</f>
        <v/>
      </c>
      <c r="AA43" s="19" t="n"/>
      <c r="AB43" s="19" t="n"/>
      <c r="AC43" s="18" t="n"/>
      <c r="AD43" s="18" t="n"/>
      <c r="AE43" s="13" t="inlineStr">
        <is>
          <t>NOT_UPLOADED</t>
        </is>
      </c>
    </row>
    <row r="44" ht="16" customHeight="1">
      <c r="A44" s="12" t="n">
        <v>5000174440256</v>
      </c>
      <c r="B44" s="12" t="n">
        <v>5000174440256</v>
      </c>
      <c r="C44" s="13" t="n"/>
      <c r="D44" s="14" t="n"/>
      <c r="E44" s="14" t="inlineStr">
        <is>
          <t>ORB-5000174440256</t>
        </is>
      </c>
      <c r="F44" s="12" t="n"/>
      <c r="G44" s="14" t="inlineStr">
        <is>
          <t>Orbico</t>
        </is>
      </c>
      <c r="H44" s="14" t="inlineStr">
        <is>
          <t>Old Spice</t>
        </is>
      </c>
      <c r="I44" s="14" t="inlineStr">
        <is>
          <t>Old Spice Whitewater Aftershave Lotion 100 ml 90 g</t>
        </is>
      </c>
      <c r="J44" s="14" t="inlineStr">
        <is>
          <t>No</t>
        </is>
      </c>
      <c r="K44" s="14" t="inlineStr">
        <is>
          <t>https://www.amazon.de/dp/B07QG9BZRL</t>
        </is>
      </c>
      <c r="L44" s="14" t="inlineStr">
        <is>
          <t>B07QG9BZRL</t>
        </is>
      </c>
      <c r="M44" s="15" t="n">
        <v>17.74</v>
      </c>
      <c r="N44" s="15" t="n">
        <v>0</v>
      </c>
      <c r="O44" s="15" t="n">
        <v>13.99</v>
      </c>
      <c r="P44" s="15">
        <f>O44/1.19</f>
        <v/>
      </c>
      <c r="Q44" s="15">
        <f>O44-P44</f>
        <v/>
      </c>
      <c r="R44" s="15">
        <f>O44*0.15</f>
        <v/>
      </c>
      <c r="S44" s="15" t="n">
        <v>5.43</v>
      </c>
      <c r="T44" s="15">
        <f>S44*0.2</f>
        <v/>
      </c>
      <c r="U44" s="15" t="n">
        <v>0.4</v>
      </c>
      <c r="V44" s="15" t="n">
        <v>2.65</v>
      </c>
      <c r="W44" s="15">
        <f>V44*0.2</f>
        <v/>
      </c>
      <c r="X44" s="21">
        <f>O44-Q44-R44-S44-U44-V44+T44+W44</f>
        <v/>
      </c>
      <c r="Y44" s="14" t="n"/>
      <c r="Z44" s="15">
        <f>O44+1.5</f>
        <v/>
      </c>
      <c r="AA44" s="15" t="n"/>
      <c r="AB44" s="15" t="n"/>
      <c r="AC44" s="14" t="n"/>
      <c r="AD44" s="14" t="n"/>
      <c r="AE44" s="13" t="inlineStr">
        <is>
          <t>NOT_UPLOADED</t>
        </is>
      </c>
    </row>
    <row r="45" ht="16" customHeight="1">
      <c r="A45" s="17" t="n">
        <v>8001090542922</v>
      </c>
      <c r="B45" s="17" t="n">
        <v>8001090542922</v>
      </c>
      <c r="C45" s="13" t="n"/>
      <c r="D45" s="18" t="n"/>
      <c r="E45" s="18" t="inlineStr">
        <is>
          <t>ORB-8001090542922</t>
        </is>
      </c>
      <c r="F45" s="17" t="n"/>
      <c r="G45" s="18" t="inlineStr">
        <is>
          <t>Orbico</t>
        </is>
      </c>
      <c r="H45" s="18" t="inlineStr">
        <is>
          <t>Old Spice</t>
        </is>
      </c>
      <c r="I45" s="18" t="inlineStr">
        <is>
          <t>Old Spice Whitewater Shower Gel for Men 250 ml Fresh Oriental</t>
        </is>
      </c>
      <c r="J45" s="18" t="inlineStr">
        <is>
          <t>No</t>
        </is>
      </c>
      <c r="K45" s="18" t="inlineStr">
        <is>
          <t>https://www.amazon.de/dp/B09BCKG4B2</t>
        </is>
      </c>
      <c r="L45" s="18" t="inlineStr">
        <is>
          <t>B09BCKG4B2</t>
        </is>
      </c>
      <c r="M45" s="19" t="n">
        <v>7.69</v>
      </c>
      <c r="N45" s="19" t="n">
        <v>0</v>
      </c>
      <c r="O45" s="19" t="n">
        <v>11.3</v>
      </c>
      <c r="P45" s="19">
        <f>O45/1.19</f>
        <v/>
      </c>
      <c r="Q45" s="19">
        <f>O45-P45</f>
        <v/>
      </c>
      <c r="R45" s="19">
        <f>O45*0.15</f>
        <v/>
      </c>
      <c r="S45" s="19" t="n">
        <v>2.78</v>
      </c>
      <c r="T45" s="19">
        <f>S45*0.2</f>
        <v/>
      </c>
      <c r="U45" s="19" t="n">
        <v>0.2</v>
      </c>
      <c r="V45" s="19" t="n">
        <v>4.22</v>
      </c>
      <c r="W45" s="19">
        <f>V45*0.2</f>
        <v/>
      </c>
      <c r="X45" s="21">
        <f>O45-Q45-R45-S45-U45-V45+T45+W45</f>
        <v/>
      </c>
      <c r="Y45" s="18" t="n"/>
      <c r="Z45" s="19">
        <f>O45+1.5</f>
        <v/>
      </c>
      <c r="AA45" s="19" t="n"/>
      <c r="AB45" s="19" t="n"/>
      <c r="AC45" s="18" t="n"/>
      <c r="AD45" s="18" t="n"/>
      <c r="AE45" s="13" t="inlineStr">
        <is>
          <t>NOT_UPLOADED</t>
        </is>
      </c>
    </row>
    <row r="46" ht="16" customHeight="1">
      <c r="A46" s="12" t="n">
        <v>8001090978752</v>
      </c>
      <c r="B46" s="12" t="n">
        <v>8001090978752</v>
      </c>
      <c r="C46" s="13" t="n"/>
      <c r="D46" s="14" t="n"/>
      <c r="E46" s="14" t="inlineStr">
        <is>
          <t>ORB-8001090978752</t>
        </is>
      </c>
      <c r="F46" s="12" t="n"/>
      <c r="G46" s="14" t="inlineStr">
        <is>
          <t>Orbico</t>
        </is>
      </c>
      <c r="H46" s="14" t="inlineStr">
        <is>
          <t>Old Spice</t>
        </is>
      </c>
      <c r="I46" s="14" t="inlineStr">
        <is>
          <t>Old Spice Captain</t>
        </is>
      </c>
      <c r="J46" s="14" t="inlineStr">
        <is>
          <t>No</t>
        </is>
      </c>
      <c r="K46" s="14" t="inlineStr">
        <is>
          <t>https://www.amazon.de/dp/B07YQ92LFF?th=1</t>
        </is>
      </c>
      <c r="L46" s="14" t="inlineStr">
        <is>
          <t>B07YQ92LFF</t>
        </is>
      </c>
      <c r="M46" s="15" t="n">
        <v>13.73</v>
      </c>
      <c r="N46" s="15" t="n">
        <v>0</v>
      </c>
      <c r="O46" s="15" t="n">
        <v>13.29</v>
      </c>
      <c r="P46" s="15">
        <f>O46/1.19</f>
        <v/>
      </c>
      <c r="Q46" s="15">
        <f>O46-P46</f>
        <v/>
      </c>
      <c r="R46" s="15">
        <f>O46*0.15</f>
        <v/>
      </c>
      <c r="S46" s="15" t="n">
        <v>5.42</v>
      </c>
      <c r="T46" s="15">
        <f>S46*0.2</f>
        <v/>
      </c>
      <c r="U46" s="15" t="n">
        <v>0.2</v>
      </c>
      <c r="V46" s="15" t="n">
        <v>3.64</v>
      </c>
      <c r="W46" s="15">
        <f>V46*0.2</f>
        <v/>
      </c>
      <c r="X46" s="16">
        <f>O46-Q46-R46-S46-U46-V46+T46+W46</f>
        <v/>
      </c>
      <c r="Y46" s="14" t="n"/>
      <c r="Z46" s="15">
        <f>O46+1.5</f>
        <v/>
      </c>
      <c r="AA46" s="15" t="n"/>
      <c r="AB46" s="15" t="n"/>
      <c r="AC46" s="14" t="n"/>
      <c r="AD46" s="14" t="n"/>
      <c r="AE46" s="13" t="inlineStr">
        <is>
          <t>NOT_UPLOADED</t>
        </is>
      </c>
    </row>
    <row r="47" ht="16" customHeight="1">
      <c r="A47" s="17" t="n">
        <v>8001841326207</v>
      </c>
      <c r="B47" s="17" t="n">
        <v>8001841326207</v>
      </c>
      <c r="C47" s="13" t="n"/>
      <c r="D47" s="18" t="n"/>
      <c r="E47" s="18" t="inlineStr">
        <is>
          <t>ORB-8001841326207</t>
        </is>
      </c>
      <c r="F47" s="17" t="n"/>
      <c r="G47" s="18" t="inlineStr">
        <is>
          <t>Orbico</t>
        </is>
      </c>
      <c r="H47" s="18" t="inlineStr">
        <is>
          <t>Old Spice</t>
        </is>
      </c>
      <c r="I47" s="18" t="inlineStr">
        <is>
          <t>Old Spice Rock Men's Shower Gel &amp; Shampoo 400 ml</t>
        </is>
      </c>
      <c r="J47" s="18" t="inlineStr">
        <is>
          <t>No</t>
        </is>
      </c>
      <c r="K47" s="18" t="inlineStr">
        <is>
          <t>https://www.amazon.de/dp/B089HDGJ3J?th=1</t>
        </is>
      </c>
      <c r="L47" s="18" t="inlineStr">
        <is>
          <t>B089HDGJ3J</t>
        </is>
      </c>
      <c r="M47" s="19" t="n">
        <v>11.59</v>
      </c>
      <c r="N47" s="19" t="n">
        <v>0</v>
      </c>
      <c r="O47" s="19" t="n">
        <v>14.5</v>
      </c>
      <c r="P47" s="19">
        <f>O47/1.19</f>
        <v/>
      </c>
      <c r="Q47" s="19">
        <f>O47-P47</f>
        <v/>
      </c>
      <c r="R47" s="19">
        <f>O47*0.15</f>
        <v/>
      </c>
      <c r="S47" s="19" t="n">
        <v>3.46</v>
      </c>
      <c r="T47" s="19">
        <f>S47*0.2</f>
        <v/>
      </c>
      <c r="U47" s="19" t="n">
        <v>0.4</v>
      </c>
      <c r="V47" s="19" t="n">
        <v>5.29</v>
      </c>
      <c r="W47" s="19">
        <f>V47*0.2</f>
        <v/>
      </c>
      <c r="X47" s="21">
        <f>O47-Q47-R47-S47-U47-V47+T47+W47</f>
        <v/>
      </c>
      <c r="Y47" s="18" t="n"/>
      <c r="Z47" s="19">
        <f>O47+1.5</f>
        <v/>
      </c>
      <c r="AA47" s="19" t="n"/>
      <c r="AB47" s="19" t="n"/>
      <c r="AC47" s="18" t="n"/>
      <c r="AD47" s="18" t="n"/>
      <c r="AE47" s="13" t="inlineStr">
        <is>
          <t>NOT_UPLOADED</t>
        </is>
      </c>
    </row>
    <row r="48" ht="16" customHeight="1">
      <c r="A48" s="12" t="n">
        <v>8001841861630</v>
      </c>
      <c r="B48" s="12" t="n">
        <v>8001841861630</v>
      </c>
      <c r="C48" s="13" t="n"/>
      <c r="D48" s="14" t="n"/>
      <c r="E48" s="14" t="inlineStr">
        <is>
          <t>ORB-8001841861630</t>
        </is>
      </c>
      <c r="F48" s="12" t="n"/>
      <c r="G48" s="14" t="inlineStr">
        <is>
          <t>Orbico</t>
        </is>
      </c>
      <c r="H48" s="14" t="inlineStr">
        <is>
          <t>Old Spice</t>
        </is>
      </c>
      <c r="I48" s="14" t="inlineStr">
        <is>
          <t>Old Spice Restart Shower Gel with Long-Lasting Fragrance for Men Shower Gel, 400 ml</t>
        </is>
      </c>
      <c r="J48" s="14" t="inlineStr">
        <is>
          <t>No</t>
        </is>
      </c>
      <c r="K48" s="14" t="inlineStr">
        <is>
          <t>https://www.amazon.de/dp/B08VXWYMMK</t>
        </is>
      </c>
      <c r="L48" s="14" t="inlineStr">
        <is>
          <t>B08VXWYMMK</t>
        </is>
      </c>
      <c r="M48" s="15" t="n">
        <v>10.48</v>
      </c>
      <c r="N48" s="15" t="n">
        <v>0</v>
      </c>
      <c r="O48" s="15" t="n">
        <v>13.4</v>
      </c>
      <c r="P48" s="15">
        <f>O48/1.19</f>
        <v/>
      </c>
      <c r="Q48" s="15">
        <f>O48-P48</f>
        <v/>
      </c>
      <c r="R48" s="15">
        <f>O48*0.15</f>
        <v/>
      </c>
      <c r="S48" s="15" t="n">
        <v>2.72</v>
      </c>
      <c r="T48" s="15">
        <f>S48*0.2</f>
        <v/>
      </c>
      <c r="U48" s="15" t="n">
        <v>0.4</v>
      </c>
      <c r="V48" s="15" t="n">
        <v>5.68</v>
      </c>
      <c r="W48" s="15">
        <f>V48*0.2</f>
        <v/>
      </c>
      <c r="X48" s="21">
        <f>O48-Q48-R48-S48-U48-V48+T48+W48</f>
        <v/>
      </c>
      <c r="Y48" s="14" t="n"/>
      <c r="Z48" s="15">
        <f>O48+1.5</f>
        <v/>
      </c>
      <c r="AA48" s="15" t="n"/>
      <c r="AB48" s="15" t="n"/>
      <c r="AC48" s="14" t="n"/>
      <c r="AD48" s="14" t="n"/>
      <c r="AE48" s="13" t="inlineStr">
        <is>
          <t>NOT_UPLOADED</t>
        </is>
      </c>
    </row>
    <row r="49" ht="16" customHeight="1">
      <c r="A49" s="17" t="n">
        <v>4084500978911</v>
      </c>
      <c r="B49" s="17" t="n">
        <v>4084500978911</v>
      </c>
      <c r="C49" s="13" t="n"/>
      <c r="D49" s="18" t="n"/>
      <c r="E49" s="18" t="inlineStr">
        <is>
          <t>ORB-4084500978911</t>
        </is>
      </c>
      <c r="F49" s="17" t="n"/>
      <c r="G49" s="18" t="inlineStr">
        <is>
          <t>Orbico</t>
        </is>
      </c>
      <c r="H49" s="18" t="inlineStr">
        <is>
          <t>Old Spice</t>
        </is>
      </c>
      <c r="I49" s="18" t="inlineStr">
        <is>
          <t>OLD SPICE Gel 400 W Water</t>
        </is>
      </c>
      <c r="J49" s="18" t="inlineStr">
        <is>
          <t>No</t>
        </is>
      </c>
      <c r="K49" s="18" t="inlineStr">
        <is>
          <t>https://www.amazon.de/dp/B01ITPHF00</t>
        </is>
      </c>
      <c r="L49" s="18" t="inlineStr">
        <is>
          <t>B01ITPHF00</t>
        </is>
      </c>
      <c r="M49" s="19" t="n">
        <v>14.58</v>
      </c>
      <c r="N49" s="19" t="n">
        <v>0</v>
      </c>
      <c r="O49" s="19" t="n">
        <v>13.19</v>
      </c>
      <c r="P49" s="19">
        <f>O49/1.19</f>
        <v/>
      </c>
      <c r="Q49" s="19">
        <f>O49-P49</f>
        <v/>
      </c>
      <c r="R49" s="19">
        <f>O49*0.15</f>
        <v/>
      </c>
      <c r="S49" s="19" t="n">
        <v>3.35</v>
      </c>
      <c r="T49" s="19">
        <f>S49*0.2</f>
        <v/>
      </c>
      <c r="U49" s="19" t="n">
        <v>0.4</v>
      </c>
      <c r="V49" s="19" t="n">
        <v>5.68</v>
      </c>
      <c r="W49" s="19">
        <f>V49*0.2</f>
        <v/>
      </c>
      <c r="X49" s="16">
        <f>O49-Q49-R49-S49-U49-V49+T49+W49</f>
        <v/>
      </c>
      <c r="Y49" s="18" t="n"/>
      <c r="Z49" s="19">
        <f>O49+1.5</f>
        <v/>
      </c>
      <c r="AA49" s="19" t="n"/>
      <c r="AB49" s="19" t="n"/>
      <c r="AC49" s="18" t="n"/>
      <c r="AD49" s="18" t="n"/>
      <c r="AE49" s="13" t="inlineStr">
        <is>
          <t>NOT_UPLOADED</t>
        </is>
      </c>
    </row>
    <row r="50" ht="16" customHeight="1">
      <c r="A50" s="12" t="n">
        <v>8700216232746</v>
      </c>
      <c r="B50" s="12" t="n">
        <v>8700216232746</v>
      </c>
      <c r="C50" s="13" t="n"/>
      <c r="D50" s="14" t="n"/>
      <c r="E50" s="14" t="inlineStr">
        <is>
          <t>ORB-8700216232746</t>
        </is>
      </c>
      <c r="F50" s="12" t="n"/>
      <c r="G50" s="14" t="inlineStr">
        <is>
          <t>Orbico</t>
        </is>
      </c>
      <c r="H50" s="14" t="inlineStr">
        <is>
          <t>Old Spice</t>
        </is>
      </c>
      <c r="I50" s="14" t="inlineStr">
        <is>
          <t>Old Spice Rockstar 3-in-1 Shower Gel &amp; Shampoo for Men, 400 ml, Long-Lasting Fresh Fragrance in Perfume Quality, Deep Cleansing for Hair, Facial Body, Gentle Skin Feeling</t>
        </is>
      </c>
      <c r="J50" s="14" t="inlineStr">
        <is>
          <t>No</t>
        </is>
      </c>
      <c r="K50" s="14" t="inlineStr">
        <is>
          <t>https://www.amazon.de/dp/B0CX5BMNK6?th=1</t>
        </is>
      </c>
      <c r="L50" s="14" t="inlineStr">
        <is>
          <t>B0CX5BMNK6</t>
        </is>
      </c>
      <c r="M50" s="15" t="n">
        <v>9.720000000000001</v>
      </c>
      <c r="N50" s="15" t="n">
        <v>0</v>
      </c>
      <c r="O50" s="15" t="n">
        <v>12.6</v>
      </c>
      <c r="P50" s="15">
        <f>O50/1.19</f>
        <v/>
      </c>
      <c r="Q50" s="15">
        <f>O50-P50</f>
        <v/>
      </c>
      <c r="R50" s="15">
        <f>O50*0.15</f>
        <v/>
      </c>
      <c r="S50" s="15" t="n">
        <v>3.46</v>
      </c>
      <c r="T50" s="15">
        <f>S50*0.2</f>
        <v/>
      </c>
      <c r="U50" s="15" t="n">
        <v>0.2</v>
      </c>
      <c r="V50" s="15" t="n">
        <v>4.22</v>
      </c>
      <c r="W50" s="15">
        <f>V50*0.2</f>
        <v/>
      </c>
      <c r="X50" s="21">
        <f>O50-Q50-R50-S50-U50-V50+T50+W50</f>
        <v/>
      </c>
      <c r="Y50" s="14" t="n"/>
      <c r="Z50" s="15">
        <f>O50+1.5</f>
        <v/>
      </c>
      <c r="AA50" s="15" t="n"/>
      <c r="AB50" s="15" t="n"/>
      <c r="AC50" s="14" t="n"/>
      <c r="AD50" s="14" t="n"/>
      <c r="AE50" s="13" t="inlineStr">
        <is>
          <t>NOT_UPLOADED</t>
        </is>
      </c>
    </row>
    <row r="51" ht="16" customHeight="1">
      <c r="A51" s="17" t="n">
        <v>8006540280140</v>
      </c>
      <c r="B51" s="17" t="n">
        <v>8006540280140</v>
      </c>
      <c r="C51" s="13" t="n"/>
      <c r="D51" s="18" t="n"/>
      <c r="E51" s="18" t="inlineStr">
        <is>
          <t>ORB-8006540280140</t>
        </is>
      </c>
      <c r="F51" s="17" t="n"/>
      <c r="G51" s="18" t="inlineStr">
        <is>
          <t>Orbico</t>
        </is>
      </c>
      <c r="H51" s="18" t="inlineStr">
        <is>
          <t>Old Spice</t>
        </is>
      </c>
      <c r="I51" s="18" t="inlineStr">
        <is>
          <t>Old Spice Captain 3-in-1 Shower Gel &amp; Shampoo for Men (675 ml), Body Hair Facial Cleansing Men, Long Lasting Fresh, Lemon, Sandalwood and Sea Air</t>
        </is>
      </c>
      <c r="J51" s="18" t="inlineStr">
        <is>
          <t>No</t>
        </is>
      </c>
      <c r="K51" s="18" t="inlineStr">
        <is>
          <t>https://www.amazon.de/dp/B09HL9SM12</t>
        </is>
      </c>
      <c r="L51" s="18" t="inlineStr">
        <is>
          <t>B09HL9SM12</t>
        </is>
      </c>
      <c r="M51" s="19" t="n">
        <v>18.33</v>
      </c>
      <c r="N51" s="19" t="n">
        <v>0</v>
      </c>
      <c r="O51" s="19" t="n">
        <v>17.9</v>
      </c>
      <c r="P51" s="19">
        <f>O51/1.19</f>
        <v/>
      </c>
      <c r="Q51" s="19">
        <f>O51-P51</f>
        <v/>
      </c>
      <c r="R51" s="19">
        <f>O51*0.15</f>
        <v/>
      </c>
      <c r="S51" s="19" t="n">
        <v>4.23</v>
      </c>
      <c r="T51" s="19">
        <f>S51*0.2</f>
        <v/>
      </c>
      <c r="U51" s="19" t="n">
        <v>0.4</v>
      </c>
      <c r="V51" s="19" t="n">
        <v>8.140000000000001</v>
      </c>
      <c r="W51" s="19">
        <f>V51*0.2</f>
        <v/>
      </c>
      <c r="X51" s="21">
        <f>O51-Q51-R51-S51-U51-V51+T51+W51</f>
        <v/>
      </c>
      <c r="Y51" s="18" t="n"/>
      <c r="Z51" s="19">
        <f>O51+1.5</f>
        <v/>
      </c>
      <c r="AA51" s="19" t="n"/>
      <c r="AB51" s="19" t="n"/>
      <c r="AC51" s="18" t="n"/>
      <c r="AD51" s="18" t="n"/>
      <c r="AE51" s="13" t="inlineStr">
        <is>
          <t>NOT_UPLOADED</t>
        </is>
      </c>
    </row>
    <row r="52" ht="16" customHeight="1">
      <c r="A52" s="12" t="n">
        <v>8006540818862</v>
      </c>
      <c r="B52" s="12" t="n">
        <v>8006540818862</v>
      </c>
      <c r="C52" s="13" t="n"/>
      <c r="D52" s="14" t="n"/>
      <c r="E52" s="14" t="inlineStr">
        <is>
          <t>ORB-8006540818862</t>
        </is>
      </c>
      <c r="F52" s="12" t="n"/>
      <c r="G52" s="14" t="inlineStr">
        <is>
          <t>Orbico</t>
        </is>
      </c>
      <c r="H52" s="14" t="inlineStr">
        <is>
          <t>Old Spice</t>
        </is>
      </c>
      <c r="I52" s="14" t="inlineStr">
        <is>
          <t>Old Spice Whitewater 3-in-1 Shower Gel &amp; Shampoo for Men, 1L, Long-Lasting Fresh Fragrance in Perfume Quality, Deep Cleansing for Hair, Facial Body, Gentle Skin Feeling</t>
        </is>
      </c>
      <c r="J52" s="14" t="inlineStr">
        <is>
          <t>No</t>
        </is>
      </c>
      <c r="K52" s="14" t="inlineStr">
        <is>
          <t>https://www.amazon.de/dp/B0BQJ7LMRQ?th=1</t>
        </is>
      </c>
      <c r="L52" s="14" t="inlineStr">
        <is>
          <t>B0BQJ7LMRQ</t>
        </is>
      </c>
      <c r="M52" s="15" t="n">
        <v>8.25</v>
      </c>
      <c r="N52" s="15" t="n">
        <v>0</v>
      </c>
      <c r="O52" s="15" t="n">
        <v>15.49</v>
      </c>
      <c r="P52" s="15">
        <f>O52/1.19</f>
        <v/>
      </c>
      <c r="Q52" s="15">
        <f>O52-P52</f>
        <v/>
      </c>
      <c r="R52" s="15">
        <f>O52*0.15</f>
        <v/>
      </c>
      <c r="S52" s="15" t="n">
        <v>5.23</v>
      </c>
      <c r="T52" s="15">
        <f>S52*0.2</f>
        <v/>
      </c>
      <c r="U52" s="15" t="n">
        <v>0.2</v>
      </c>
      <c r="V52" s="15" t="n">
        <v>8.800000000000001</v>
      </c>
      <c r="W52" s="15">
        <f>V52*0.2</f>
        <v/>
      </c>
      <c r="X52" s="22">
        <f>O52-Q52-R52-S52-U52-V52+T52+W52</f>
        <v/>
      </c>
      <c r="Y52" s="14" t="n"/>
      <c r="Z52" s="15">
        <f>O52+1.5</f>
        <v/>
      </c>
      <c r="AA52" s="15" t="n"/>
      <c r="AB52" s="15" t="n"/>
      <c r="AC52" s="14" t="n"/>
      <c r="AD52" s="14" t="n"/>
      <c r="AE52" s="13" t="inlineStr">
        <is>
          <t>NOT_UPLOADED</t>
        </is>
      </c>
    </row>
    <row r="53" ht="16" customHeight="1">
      <c r="A53" s="17" t="n">
        <v>8006540818824</v>
      </c>
      <c r="B53" s="17" t="n">
        <v>8006540818824</v>
      </c>
      <c r="C53" s="13" t="n"/>
      <c r="D53" s="18" t="n"/>
      <c r="E53" s="18" t="inlineStr">
        <is>
          <t>ORB-8006540818824</t>
        </is>
      </c>
      <c r="F53" s="17" t="n"/>
      <c r="G53" s="18" t="inlineStr">
        <is>
          <t>Orbico</t>
        </is>
      </c>
      <c r="H53" s="18" t="inlineStr">
        <is>
          <t>Old Spice</t>
        </is>
      </c>
      <c r="I53" s="18" t="inlineStr">
        <is>
          <t>Old Spice Captain 3-in-1 Shower Gel &amp; Shampoo for Men, 1L, Long-Lasting Fresh Fragrance in Perfume Quality, Deep Cleansing for Hair, Face, Body, Gentle Skin Feeling</t>
        </is>
      </c>
      <c r="J53" s="18" t="inlineStr">
        <is>
          <t>No</t>
        </is>
      </c>
      <c r="K53" s="18" t="inlineStr">
        <is>
          <t>https://www.amazon.de/dp/B0BQJBFZT2?th=1</t>
        </is>
      </c>
      <c r="L53" s="18" t="inlineStr">
        <is>
          <t>B0BQJBFZT2</t>
        </is>
      </c>
      <c r="M53" s="19" t="n">
        <v>15.39</v>
      </c>
      <c r="N53" s="19" t="n">
        <v>0</v>
      </c>
      <c r="O53" s="19" t="n">
        <v>15.49</v>
      </c>
      <c r="P53" s="19">
        <f>O53/1.19</f>
        <v/>
      </c>
      <c r="Q53" s="19">
        <f>O53-P53</f>
        <v/>
      </c>
      <c r="R53" s="19">
        <f>O53*0.15</f>
        <v/>
      </c>
      <c r="S53" s="19" t="n">
        <v>6.34</v>
      </c>
      <c r="T53" s="19">
        <f>S53*0.2</f>
        <v/>
      </c>
      <c r="U53" s="19" t="n">
        <v>0.2</v>
      </c>
      <c r="V53" s="19" t="n">
        <v>4.22</v>
      </c>
      <c r="W53" s="19">
        <f>V53*0.2</f>
        <v/>
      </c>
      <c r="X53" s="21">
        <f>O53-Q53-R53-S53-U53-V53+T53+W53</f>
        <v/>
      </c>
      <c r="Y53" s="18" t="n"/>
      <c r="Z53" s="19">
        <f>O53+1.5</f>
        <v/>
      </c>
      <c r="AA53" s="19" t="n"/>
      <c r="AB53" s="19" t="n"/>
      <c r="AC53" s="18" t="n"/>
      <c r="AD53" s="18" t="n"/>
      <c r="AE53" s="13" t="inlineStr">
        <is>
          <t>NOT_UPLOADED</t>
        </is>
      </c>
    </row>
    <row r="54" ht="16" customHeight="1">
      <c r="A54" s="12" t="n">
        <v>5997253515991</v>
      </c>
      <c r="B54" s="12" t="n">
        <v>5997253515991</v>
      </c>
      <c r="C54" s="13" t="n"/>
      <c r="D54" s="14" t="n"/>
      <c r="E54" s="14" t="inlineStr">
        <is>
          <t>ORB-5997253515991</t>
        </is>
      </c>
      <c r="F54" s="12" t="n"/>
      <c r="G54" s="14" t="inlineStr">
        <is>
          <t>Orbico</t>
        </is>
      </c>
      <c r="H54" s="14" t="inlineStr">
        <is>
          <t>Always</t>
        </is>
      </c>
      <c r="I54" s="14" t="inlineStr">
        <is>
          <t>Always Ultra Normal (Size 1) Sanitary Napkin with Wings 50g</t>
        </is>
      </c>
      <c r="J54" s="14" t="inlineStr">
        <is>
          <t>No</t>
        </is>
      </c>
      <c r="K54" s="14" t="inlineStr">
        <is>
          <t>https://www.amazon.de/dp/B00Q8UCHEI</t>
        </is>
      </c>
      <c r="L54" s="14" t="inlineStr">
        <is>
          <t>B00Q8UCHEI</t>
        </is>
      </c>
      <c r="M54" s="15" t="n">
        <v>6.79</v>
      </c>
      <c r="N54" s="15" t="n">
        <v>0</v>
      </c>
      <c r="O54" s="15" t="n">
        <v>6.7</v>
      </c>
      <c r="P54" s="15">
        <f>O54/1.19</f>
        <v/>
      </c>
      <c r="Q54" s="15">
        <f>O54-P54</f>
        <v/>
      </c>
      <c r="R54" s="15">
        <f>O54*0.15</f>
        <v/>
      </c>
      <c r="S54" s="15" t="n">
        <v>1.6</v>
      </c>
      <c r="T54" s="15">
        <f>S54*0.2</f>
        <v/>
      </c>
      <c r="U54" s="15" t="n">
        <v>0.2</v>
      </c>
      <c r="V54" s="15" t="n">
        <v>2.25</v>
      </c>
      <c r="W54" s="15">
        <f>V54*0.2</f>
        <v/>
      </c>
      <c r="X54" s="16">
        <f>O54-Q54-R54-S54-U54-V54+T54+W54</f>
        <v/>
      </c>
      <c r="Y54" s="14" t="n"/>
      <c r="Z54" s="15">
        <f>O54+1.5</f>
        <v/>
      </c>
      <c r="AA54" s="15" t="n"/>
      <c r="AB54" s="15" t="n"/>
      <c r="AC54" s="14" t="n"/>
      <c r="AD54" s="14" t="n"/>
      <c r="AE54" s="13" t="inlineStr">
        <is>
          <t>NOT_UPLOADED</t>
        </is>
      </c>
    </row>
    <row r="55" ht="16" customHeight="1">
      <c r="A55" s="17" t="n">
        <v>4015400403845</v>
      </c>
      <c r="B55" s="17" t="n">
        <v>4015400403845</v>
      </c>
      <c r="C55" s="13" t="n"/>
      <c r="D55" s="18" t="n"/>
      <c r="E55" s="18" t="inlineStr">
        <is>
          <t>ORB-4015400403845</t>
        </is>
      </c>
      <c r="F55" s="17" t="n"/>
      <c r="G55" s="18" t="inlineStr">
        <is>
          <t>Orbico</t>
        </is>
      </c>
      <c r="H55" s="18" t="inlineStr">
        <is>
          <t>Always</t>
        </is>
      </c>
      <c r="I55" s="18" t="inlineStr">
        <is>
          <t>Always Ultra Long (Size 2) Sanitary Napkin with Wings, 50 g, TOALW205</t>
        </is>
      </c>
      <c r="J55" s="18" t="inlineStr">
        <is>
          <t>No</t>
        </is>
      </c>
      <c r="K55" s="18" t="inlineStr">
        <is>
          <t>https://www.amazon.de/dp/B075DGC9NZ</t>
        </is>
      </c>
      <c r="L55" s="18" t="inlineStr">
        <is>
          <t>B075DGC9NZ</t>
        </is>
      </c>
      <c r="M55" s="19" t="n">
        <v>6.79</v>
      </c>
      <c r="N55" s="19" t="n">
        <v>0</v>
      </c>
      <c r="O55" s="19" t="n">
        <v>6.7</v>
      </c>
      <c r="P55" s="19">
        <f>O55/1.19</f>
        <v/>
      </c>
      <c r="Q55" s="19">
        <f>O55-P55</f>
        <v/>
      </c>
      <c r="R55" s="19">
        <f>O55*0.15</f>
        <v/>
      </c>
      <c r="S55" s="19" t="n">
        <v>1.6</v>
      </c>
      <c r="T55" s="19">
        <f>S55*0.2</f>
        <v/>
      </c>
      <c r="U55" s="19" t="n">
        <v>0.2</v>
      </c>
      <c r="V55" s="19" t="n">
        <v>2.25</v>
      </c>
      <c r="W55" s="19">
        <f>V55*0.2</f>
        <v/>
      </c>
      <c r="X55" s="16">
        <f>O55-Q55-R55-S55-U55-V55+T55+W55</f>
        <v/>
      </c>
      <c r="Y55" s="18" t="n"/>
      <c r="Z55" s="19">
        <f>O55+1.5</f>
        <v/>
      </c>
      <c r="AA55" s="19" t="n"/>
      <c r="AB55" s="19" t="n"/>
      <c r="AC55" s="18" t="n"/>
      <c r="AD55" s="18" t="n"/>
      <c r="AE55" s="13" t="inlineStr">
        <is>
          <t>NOT_UPLOADED</t>
        </is>
      </c>
    </row>
    <row r="56" ht="16" customHeight="1">
      <c r="A56" s="12" t="n">
        <v>4015400012306</v>
      </c>
      <c r="B56" s="12" t="n">
        <v>4015400012306</v>
      </c>
      <c r="C56" s="13" t="n"/>
      <c r="D56" s="14" t="n"/>
      <c r="E56" s="14" t="inlineStr">
        <is>
          <t>ORB-4015400012306</t>
        </is>
      </c>
      <c r="F56" s="12" t="n"/>
      <c r="G56" s="14" t="inlineStr">
        <is>
          <t>Orbico</t>
        </is>
      </c>
      <c r="H56" s="14" t="inlineStr">
        <is>
          <t>Always</t>
        </is>
      </c>
      <c r="I56" s="14" t="inlineStr">
        <is>
          <t>ALWAYS Ultra 7's Night with Wings, 0.044901 kg</t>
        </is>
      </c>
      <c r="J56" s="14" t="inlineStr">
        <is>
          <t>No</t>
        </is>
      </c>
      <c r="K56" s="14" t="inlineStr">
        <is>
          <t>https://www.amazon.de/dp/B07BJ5ZV8F</t>
        </is>
      </c>
      <c r="L56" s="14" t="inlineStr">
        <is>
          <t>B07BJ5ZV8F</t>
        </is>
      </c>
      <c r="M56" s="15" t="n">
        <v>7.01</v>
      </c>
      <c r="N56" s="15" t="n">
        <v>0</v>
      </c>
      <c r="O56" s="15" t="n">
        <v>6.7</v>
      </c>
      <c r="P56" s="15">
        <f>O56/1.19</f>
        <v/>
      </c>
      <c r="Q56" s="15">
        <f>O56-P56</f>
        <v/>
      </c>
      <c r="R56" s="15">
        <f>O56*0.15</f>
        <v/>
      </c>
      <c r="S56" s="15" t="n">
        <v>1.6</v>
      </c>
      <c r="T56" s="15">
        <f>S56*0.2</f>
        <v/>
      </c>
      <c r="U56" s="15" t="n">
        <v>0.2</v>
      </c>
      <c r="V56" s="15" t="n">
        <v>2.25</v>
      </c>
      <c r="W56" s="15">
        <f>V56*0.2</f>
        <v/>
      </c>
      <c r="X56" s="16">
        <f>O56-Q56-R56-S56-U56-V56+T56+W56</f>
        <v/>
      </c>
      <c r="Y56" s="14" t="n"/>
      <c r="Z56" s="15">
        <f>O56+1.5</f>
        <v/>
      </c>
      <c r="AA56" s="15" t="n"/>
      <c r="AB56" s="15" t="n"/>
      <c r="AC56" s="14" t="n"/>
      <c r="AD56" s="14" t="n"/>
      <c r="AE56" s="13" t="inlineStr">
        <is>
          <t>NOT_UPLOADED</t>
        </is>
      </c>
    </row>
    <row r="57" ht="16" customHeight="1">
      <c r="A57" s="17" t="n">
        <v>4015400213932</v>
      </c>
      <c r="B57" s="17" t="n">
        <v>4015400213932</v>
      </c>
      <c r="C57" s="13" t="n"/>
      <c r="D57" s="18" t="n"/>
      <c r="E57" s="18" t="inlineStr">
        <is>
          <t>ORB-4015400213932</t>
        </is>
      </c>
      <c r="F57" s="17" t="n"/>
      <c r="G57" s="18" t="inlineStr">
        <is>
          <t>Orbico</t>
        </is>
      </c>
      <c r="H57" s="18" t="inlineStr">
        <is>
          <t>Always</t>
        </is>
      </c>
      <c r="I57" s="18" t="inlineStr">
        <is>
          <t>Always Ultra Sensitive Economy Pack of 2 x 10</t>
        </is>
      </c>
      <c r="J57" s="18" t="inlineStr">
        <is>
          <t>No</t>
        </is>
      </c>
      <c r="K57" s="18" t="inlineStr">
        <is>
          <t>https://www.amazon.de/dp/B004PTZNVI</t>
        </is>
      </c>
      <c r="L57" s="18" t="inlineStr">
        <is>
          <t>B004PTZNVI</t>
        </is>
      </c>
      <c r="M57" s="19" t="n">
        <v>11.25</v>
      </c>
      <c r="N57" s="19" t="n">
        <v>0</v>
      </c>
      <c r="O57" s="19" t="n">
        <v>11.4</v>
      </c>
      <c r="P57" s="19">
        <f>O57/1.19</f>
        <v/>
      </c>
      <c r="Q57" s="19">
        <f>O57-P57</f>
        <v/>
      </c>
      <c r="R57" s="19">
        <f>O57*0.15</f>
        <v/>
      </c>
      <c r="S57" s="19" t="n">
        <v>2.69</v>
      </c>
      <c r="T57" s="19">
        <f>S57*0.2</f>
        <v/>
      </c>
      <c r="U57" s="19" t="n">
        <v>0.2</v>
      </c>
      <c r="V57" s="19" t="n">
        <v>4.22</v>
      </c>
      <c r="W57" s="19">
        <f>V57*0.2</f>
        <v/>
      </c>
      <c r="X57" s="21">
        <f>O57-Q57-R57-S57-U57-V57+T57+W57</f>
        <v/>
      </c>
      <c r="Y57" s="18" t="n"/>
      <c r="Z57" s="19">
        <f>O57+1.5</f>
        <v/>
      </c>
      <c r="AA57" s="19" t="n"/>
      <c r="AB57" s="19" t="n"/>
      <c r="AC57" s="18" t="n"/>
      <c r="AD57" s="18" t="n"/>
      <c r="AE57" s="13" t="inlineStr">
        <is>
          <t>NOT_UPLOADED</t>
        </is>
      </c>
    </row>
    <row r="58" ht="16" customHeight="1">
      <c r="A58" s="12" t="n">
        <v>4015400743545</v>
      </c>
      <c r="B58" s="12" t="n">
        <v>4015400743545</v>
      </c>
      <c r="C58" s="13" t="n"/>
      <c r="D58" s="14" t="n"/>
      <c r="E58" s="14" t="inlineStr">
        <is>
          <t>ORB-4015400743545</t>
        </is>
      </c>
      <c r="F58" s="12" t="n"/>
      <c r="G58" s="14" t="inlineStr">
        <is>
          <t>Orbico</t>
        </is>
      </c>
      <c r="H58" s="14" t="inlineStr">
        <is>
          <t>Always</t>
        </is>
      </c>
      <c r="I58" s="14" t="inlineStr">
        <is>
          <t>Always - normal - set of 1 x 30 napkin fresh dailies fresh &amp; protect (30 napkins)</t>
        </is>
      </c>
      <c r="J58" s="14" t="inlineStr">
        <is>
          <t>No</t>
        </is>
      </c>
      <c r="K58" s="14" t="inlineStr">
        <is>
          <t>https://www.amazon.de/dp/B01NBOMKDJ</t>
        </is>
      </c>
      <c r="L58" s="14" t="inlineStr">
        <is>
          <t>B01NBOMKDJ</t>
        </is>
      </c>
      <c r="M58" s="15" t="n">
        <v>7.38</v>
      </c>
      <c r="N58" s="15" t="n">
        <v>0</v>
      </c>
      <c r="O58" s="15" t="n">
        <v>6.8</v>
      </c>
      <c r="P58" s="15">
        <f>O58/1.19</f>
        <v/>
      </c>
      <c r="Q58" s="15">
        <f>O58-P58</f>
        <v/>
      </c>
      <c r="R58" s="15">
        <f>O58*0.15</f>
        <v/>
      </c>
      <c r="S58" s="15" t="n">
        <v>1.82</v>
      </c>
      <c r="T58" s="15">
        <f>S58*0.2</f>
        <v/>
      </c>
      <c r="U58" s="15" t="n">
        <v>0.2</v>
      </c>
      <c r="V58" s="15" t="n">
        <v>2.25</v>
      </c>
      <c r="W58" s="15">
        <f>V58*0.2</f>
        <v/>
      </c>
      <c r="X58" s="16">
        <f>O58-Q58-R58-S58-U58-V58+T58+W58</f>
        <v/>
      </c>
      <c r="Y58" s="14" t="n"/>
      <c r="Z58" s="15">
        <f>O58+1.5</f>
        <v/>
      </c>
      <c r="AA58" s="15" t="n"/>
      <c r="AB58" s="15" t="n"/>
      <c r="AC58" s="14" t="n"/>
      <c r="AD58" s="14" t="n"/>
      <c r="AE58" s="13" t="inlineStr">
        <is>
          <t>NOT_UPLOADED</t>
        </is>
      </c>
    </row>
    <row r="59" ht="16" customHeight="1">
      <c r="A59" s="17" t="n">
        <v>8006540846513</v>
      </c>
      <c r="B59" s="17" t="n">
        <v>8006540846513</v>
      </c>
      <c r="C59" s="13" t="n"/>
      <c r="D59" s="18" t="n"/>
      <c r="E59" s="18" t="inlineStr">
        <is>
          <t>ORB-8006540846513</t>
        </is>
      </c>
      <c r="F59" s="17" t="n"/>
      <c r="G59" s="18" t="inlineStr">
        <is>
          <t>Orbico</t>
        </is>
      </c>
      <c r="H59" s="18" t="inlineStr">
        <is>
          <t>Always</t>
        </is>
      </c>
      <c r="I59" s="18" t="inlineStr">
        <is>
          <t>always Fresh &amp; Protect Normal 30 Pantiliners</t>
        </is>
      </c>
      <c r="J59" s="18" t="inlineStr">
        <is>
          <t>No</t>
        </is>
      </c>
      <c r="K59" s="18" t="inlineStr">
        <is>
          <t>https://www.amazon.de/dp/B0BRQSTXTD</t>
        </is>
      </c>
      <c r="L59" s="18" t="inlineStr">
        <is>
          <t>B0BRQSTXTD</t>
        </is>
      </c>
      <c r="M59" s="19" t="n">
        <v>0</v>
      </c>
      <c r="N59" s="19" t="n">
        <v>0</v>
      </c>
      <c r="O59" s="19" t="n">
        <v>7.2</v>
      </c>
      <c r="P59" s="19">
        <f>O59/1.19</f>
        <v/>
      </c>
      <c r="Q59" s="19">
        <f>O59-P59</f>
        <v/>
      </c>
      <c r="R59" s="19">
        <f>O59*0.15</f>
        <v/>
      </c>
      <c r="S59" s="19" t="n">
        <v>1.82</v>
      </c>
      <c r="T59" s="19">
        <f>S59*0.2</f>
        <v/>
      </c>
      <c r="U59" s="19" t="n">
        <v>0.2</v>
      </c>
      <c r="V59" s="19" t="n">
        <v>2.25</v>
      </c>
      <c r="W59" s="19">
        <f>V59*0.2</f>
        <v/>
      </c>
      <c r="X59" s="16">
        <f>O59-Q59-R59-S59-U59-V59+T59+W59</f>
        <v/>
      </c>
      <c r="Y59" s="18" t="n"/>
      <c r="Z59" s="19">
        <f>O59+1.5</f>
        <v/>
      </c>
      <c r="AA59" s="19" t="n"/>
      <c r="AB59" s="19" t="n"/>
      <c r="AC59" s="18" t="n"/>
      <c r="AD59" s="18" t="n"/>
      <c r="AE59" s="13" t="inlineStr">
        <is>
          <t>NOT_UPLOADED</t>
        </is>
      </c>
    </row>
    <row r="60" ht="16" customHeight="1">
      <c r="A60" s="12" t="n">
        <v>4015400563747</v>
      </c>
      <c r="B60" s="12" t="n">
        <v>4015400563747</v>
      </c>
      <c r="C60" s="13" t="n"/>
      <c r="D60" s="14" t="n"/>
      <c r="E60" s="14" t="inlineStr">
        <is>
          <t>ORB-4015400563747</t>
        </is>
      </c>
      <c r="F60" s="12" t="n"/>
      <c r="G60" s="14" t="inlineStr">
        <is>
          <t>Orbico</t>
        </is>
      </c>
      <c r="H60" s="14" t="inlineStr">
        <is>
          <t>Always</t>
        </is>
      </c>
      <c r="I60" s="14" t="inlineStr">
        <is>
          <t>Always Dailies Fresh and Protect Normal Panty Liner Pads - Pack of 60</t>
        </is>
      </c>
      <c r="J60" s="14" t="inlineStr">
        <is>
          <t>No</t>
        </is>
      </c>
      <c r="K60" s="14" t="inlineStr">
        <is>
          <t>https://www.amazon.de/dp/B0733N224L</t>
        </is>
      </c>
      <c r="L60" s="14" t="inlineStr">
        <is>
          <t>B0733N224L</t>
        </is>
      </c>
      <c r="M60" s="15" t="n">
        <v>8.81</v>
      </c>
      <c r="N60" s="15" t="n">
        <v>0</v>
      </c>
      <c r="O60" s="15" t="n">
        <v>11.9</v>
      </c>
      <c r="P60" s="15">
        <f>O60/1.19</f>
        <v/>
      </c>
      <c r="Q60" s="15">
        <f>O60-P60</f>
        <v/>
      </c>
      <c r="R60" s="15">
        <f>O60*0.15</f>
        <v/>
      </c>
      <c r="S60" s="15" t="n">
        <v>3.09</v>
      </c>
      <c r="T60" s="15">
        <f>S60*0.2</f>
        <v/>
      </c>
      <c r="U60" s="15" t="n">
        <v>0.2</v>
      </c>
      <c r="V60" s="15" t="n">
        <v>4.22</v>
      </c>
      <c r="W60" s="15">
        <f>V60*0.2</f>
        <v/>
      </c>
      <c r="X60" s="21">
        <f>O60-Q60-R60-S60-U60-V60+T60+W60</f>
        <v/>
      </c>
      <c r="Y60" s="14" t="n"/>
      <c r="Z60" s="15">
        <f>O60+1.5</f>
        <v/>
      </c>
      <c r="AA60" s="15" t="n"/>
      <c r="AB60" s="15" t="n"/>
      <c r="AC60" s="14" t="n"/>
      <c r="AD60" s="14" t="n"/>
      <c r="AE60" s="13" t="inlineStr">
        <is>
          <t>NOT_UPLOADED</t>
        </is>
      </c>
    </row>
    <row r="61" ht="16" customHeight="1">
      <c r="A61" s="17" t="n">
        <v>5054563009968</v>
      </c>
      <c r="B61" s="17" t="n">
        <v>5054563009968</v>
      </c>
      <c r="C61" s="13" t="n"/>
      <c r="D61" s="18" t="n"/>
      <c r="E61" s="18" t="inlineStr">
        <is>
          <t>AMP-5054563009968</t>
        </is>
      </c>
      <c r="F61" s="17" t="n">
        <v>2811027</v>
      </c>
      <c r="G61" s="18" t="inlineStr">
        <is>
          <t>Amperel</t>
        </is>
      </c>
      <c r="H61" s="18" t="inlineStr">
        <is>
          <t>Aquafresh</t>
        </is>
      </c>
      <c r="I61" s="18" t="inlineStr">
        <is>
          <t>AQUAFRESH Intense Clean Toothpaste Do Zêbów Deep Action 75 ml</t>
        </is>
      </c>
      <c r="J61" s="18" t="inlineStr">
        <is>
          <t>No</t>
        </is>
      </c>
      <c r="K61" s="18" t="inlineStr">
        <is>
          <t>https://www.amazon.de/dp/B07CXNGMSR</t>
        </is>
      </c>
      <c r="L61" s="18" t="inlineStr">
        <is>
          <t>B07CXNGMSR</t>
        </is>
      </c>
      <c r="M61" s="19" t="n">
        <v>8.800000000000001</v>
      </c>
      <c r="N61" s="19" t="n">
        <v>0</v>
      </c>
      <c r="O61" s="19" t="n">
        <v>8.390000000000001</v>
      </c>
      <c r="P61" s="19">
        <f>O61/1.19</f>
        <v/>
      </c>
      <c r="Q61" s="19">
        <f>O61-P61</f>
        <v/>
      </c>
      <c r="R61" s="19">
        <f>O61*0.15</f>
        <v/>
      </c>
      <c r="S61" s="19" t="n">
        <v>2.34</v>
      </c>
      <c r="T61" s="19">
        <f>S61*0.2</f>
        <v/>
      </c>
      <c r="U61" s="19" t="n">
        <v>0.4</v>
      </c>
      <c r="V61" s="19" t="n">
        <v>2.8</v>
      </c>
      <c r="W61" s="19">
        <f>V61*0.2</f>
        <v/>
      </c>
      <c r="X61" s="16">
        <f>O61-Q61-R61-S61-U61-V61+T61+W61</f>
        <v/>
      </c>
      <c r="Y61" s="18" t="n"/>
      <c r="Z61" s="19">
        <f>O61+1.5</f>
        <v/>
      </c>
      <c r="AA61" s="19" t="n"/>
      <c r="AB61" s="19" t="n"/>
      <c r="AC61" s="18" t="n"/>
      <c r="AD61" s="18" t="n"/>
      <c r="AE61" s="13" t="inlineStr">
        <is>
          <t>NOT_UPLOADED</t>
        </is>
      </c>
    </row>
    <row r="62" ht="16" customHeight="1">
      <c r="A62" s="12" t="n">
        <v>5054563157164</v>
      </c>
      <c r="B62" s="12" t="n">
        <v>5054563157164</v>
      </c>
      <c r="C62" s="13" t="n"/>
      <c r="D62" s="14" t="n"/>
      <c r="E62" s="14" t="inlineStr">
        <is>
          <t>AMP-5054563157164</t>
        </is>
      </c>
      <c r="F62" s="12" t="n">
        <v>2811047</v>
      </c>
      <c r="G62" s="14" t="inlineStr">
        <is>
          <t>Amperel</t>
        </is>
      </c>
      <c r="H62" s="14" t="inlineStr">
        <is>
          <t>Aquafresh</t>
        </is>
      </c>
      <c r="I62" s="14" t="inlineStr">
        <is>
          <t>AQUAFRESH All in One Crystal White Toothpaste 100 ml</t>
        </is>
      </c>
      <c r="J62" s="14" t="inlineStr">
        <is>
          <t>No</t>
        </is>
      </c>
      <c r="K62" s="14" t="inlineStr">
        <is>
          <t>https://www.amazon.de/dp/B0D86YM8SK</t>
        </is>
      </c>
      <c r="L62" s="14" t="inlineStr">
        <is>
          <t>B0D86YM8SK</t>
        </is>
      </c>
      <c r="M62" s="15" t="n">
        <v>7.51</v>
      </c>
      <c r="N62" s="15" t="n">
        <v>0</v>
      </c>
      <c r="O62" s="15" t="n">
        <v>7.99</v>
      </c>
      <c r="P62" s="15">
        <f>O62/1.19</f>
        <v/>
      </c>
      <c r="Q62" s="15">
        <f>O62-P62</f>
        <v/>
      </c>
      <c r="R62" s="15">
        <f>O62*0.15</f>
        <v/>
      </c>
      <c r="S62" s="15" t="n">
        <v>2.32</v>
      </c>
      <c r="T62" s="15">
        <f>S62*0.2</f>
        <v/>
      </c>
      <c r="U62" s="15" t="n">
        <v>0.4</v>
      </c>
      <c r="V62" s="15" t="n">
        <v>2.4</v>
      </c>
      <c r="W62" s="15">
        <f>V62*0.2</f>
        <v/>
      </c>
      <c r="X62" s="16">
        <f>O62-Q62-R62-S62-U62-V62+T62+W62</f>
        <v/>
      </c>
      <c r="Y62" s="14" t="n"/>
      <c r="Z62" s="15">
        <f>O62+1.5</f>
        <v/>
      </c>
      <c r="AA62" s="15" t="n"/>
      <c r="AB62" s="15" t="n"/>
      <c r="AC62" s="14" t="n"/>
      <c r="AD62" s="14" t="n"/>
      <c r="AE62" s="13" t="inlineStr">
        <is>
          <t>NOT_UPLOADED</t>
        </is>
      </c>
    </row>
    <row r="63" ht="16" customHeight="1">
      <c r="A63" s="17" t="n">
        <v>5054563043511</v>
      </c>
      <c r="B63" s="17" t="n">
        <v>5054563043511</v>
      </c>
      <c r="C63" s="13" t="n"/>
      <c r="D63" s="18" t="n"/>
      <c r="E63" s="18" t="inlineStr">
        <is>
          <t>AMP-5054563043511</t>
        </is>
      </c>
      <c r="F63" s="17" t="n">
        <v>28110131</v>
      </c>
      <c r="G63" s="18" t="inlineStr">
        <is>
          <t>Amperel</t>
        </is>
      </c>
      <c r="H63" s="18" t="inlineStr">
        <is>
          <t>Aquafresh</t>
        </is>
      </c>
      <c r="I63" s="18" t="inlineStr">
        <is>
          <t>AQUAFRESH Toothpaste - Active White, 125 ml</t>
        </is>
      </c>
      <c r="J63" s="18" t="inlineStr">
        <is>
          <t>No</t>
        </is>
      </c>
      <c r="K63" s="18" t="inlineStr">
        <is>
          <t>https://www.amazon.de/dp/B07DR665L2</t>
        </is>
      </c>
      <c r="L63" s="18" t="inlineStr">
        <is>
          <t>B07DR665L2</t>
        </is>
      </c>
      <c r="M63" s="19" t="n">
        <v>7.71</v>
      </c>
      <c r="N63" s="19" t="n">
        <v>0</v>
      </c>
      <c r="O63" s="19" t="n">
        <v>7.79</v>
      </c>
      <c r="P63" s="19">
        <f>O63/1.19</f>
        <v/>
      </c>
      <c r="Q63" s="19">
        <f>O63-P63</f>
        <v/>
      </c>
      <c r="R63" s="19">
        <f>O63*0.15</f>
        <v/>
      </c>
      <c r="S63" s="19" t="n">
        <v>1.76</v>
      </c>
      <c r="T63" s="19">
        <f>S63*0.2</f>
        <v/>
      </c>
      <c r="U63" s="19" t="n">
        <v>0.4</v>
      </c>
      <c r="V63" s="19" t="n">
        <v>2.8</v>
      </c>
      <c r="W63" s="19">
        <f>V63*0.2</f>
        <v/>
      </c>
      <c r="X63" s="16">
        <f>O63-Q63-R63-S63-U63-V63+T63+W63</f>
        <v/>
      </c>
      <c r="Y63" s="18" t="n"/>
      <c r="Z63" s="19">
        <f>O63+1.5</f>
        <v/>
      </c>
      <c r="AA63" s="19" t="n"/>
      <c r="AB63" s="19" t="n"/>
      <c r="AC63" s="18" t="n"/>
      <c r="AD63" s="18" t="n"/>
      <c r="AE63" s="13" t="inlineStr">
        <is>
          <t>NOT_UPLOADED</t>
        </is>
      </c>
    </row>
    <row r="64" ht="16" customHeight="1">
      <c r="A64" s="12" t="n">
        <v>3830029292226</v>
      </c>
      <c r="B64" s="12" t="n">
        <v>3830029292226</v>
      </c>
      <c r="C64" s="13" t="n"/>
      <c r="D64" s="14" t="n"/>
      <c r="E64" s="14" t="inlineStr">
        <is>
          <t>AMP-3830029292226</t>
        </is>
      </c>
      <c r="F64" s="12" t="n">
        <v>2811091</v>
      </c>
      <c r="G64" s="14" t="inlineStr">
        <is>
          <t>Amperel</t>
        </is>
      </c>
      <c r="H64" s="14" t="inlineStr">
        <is>
          <t>Aquafresh</t>
        </is>
      </c>
      <c r="I64" s="14" t="inlineStr">
        <is>
          <t>Aquafresh Patrol Children's Toothpaste Dog 50 ml</t>
        </is>
      </c>
      <c r="J64" s="14" t="inlineStr">
        <is>
          <t>No</t>
        </is>
      </c>
      <c r="K64" s="14" t="inlineStr">
        <is>
          <t>https://www.amazon.de/dp/B0CTHLJ6TC</t>
        </is>
      </c>
      <c r="L64" s="14" t="inlineStr">
        <is>
          <t>B0CTHLJ6TC</t>
        </is>
      </c>
      <c r="M64" s="15" t="n">
        <v>7.38</v>
      </c>
      <c r="N64" s="15" t="n">
        <v>0</v>
      </c>
      <c r="O64" s="15" t="n">
        <v>8.09</v>
      </c>
      <c r="P64" s="15">
        <f>O64/1.19</f>
        <v/>
      </c>
      <c r="Q64" s="15">
        <f>O64-P64</f>
        <v/>
      </c>
      <c r="R64" s="15">
        <f>O64*0.15</f>
        <v/>
      </c>
      <c r="S64" s="15" t="n">
        <v>2.45</v>
      </c>
      <c r="T64" s="15">
        <f>S64*0.2</f>
        <v/>
      </c>
      <c r="U64" s="15" t="n">
        <v>0.4</v>
      </c>
      <c r="V64" s="15" t="n">
        <v>2.65</v>
      </c>
      <c r="W64" s="15">
        <f>V64*0.2</f>
        <v/>
      </c>
      <c r="X64" s="16">
        <f>O64-Q64-R64-S64-U64-V64+T64+W64</f>
        <v/>
      </c>
      <c r="Y64" s="14" t="n"/>
      <c r="Z64" s="15">
        <f>O64+1.5</f>
        <v/>
      </c>
      <c r="AA64" s="15" t="n"/>
      <c r="AB64" s="15" t="n"/>
      <c r="AC64" s="14" t="n"/>
      <c r="AD64" s="14" t="n"/>
      <c r="AE64" s="13" t="inlineStr">
        <is>
          <t>NOT_UPLOADED</t>
        </is>
      </c>
    </row>
    <row r="65" ht="16" customHeight="1">
      <c r="A65" s="17" t="n">
        <v>5054563089472</v>
      </c>
      <c r="B65" s="17" t="n">
        <v>5054563089472</v>
      </c>
      <c r="C65" s="13" t="n"/>
      <c r="D65" s="18" t="n"/>
      <c r="E65" s="18" t="inlineStr">
        <is>
          <t>AMP-5054563089472</t>
        </is>
      </c>
      <c r="F65" s="17" t="n">
        <v>2811095</v>
      </c>
      <c r="G65" s="18" t="inlineStr">
        <is>
          <t>Amperel</t>
        </is>
      </c>
      <c r="H65" s="18" t="inlineStr">
        <is>
          <t>Aquafresh</t>
        </is>
      </c>
      <c r="I65" s="18" t="inlineStr">
        <is>
          <t>Aquafresh Splash 3-8 Years</t>
        </is>
      </c>
      <c r="J65" s="18" t="inlineStr">
        <is>
          <t>No</t>
        </is>
      </c>
      <c r="K65" s="18" t="inlineStr">
        <is>
          <t>https://www.amazon.de/dp/B08D63D9JM</t>
        </is>
      </c>
      <c r="L65" s="18" t="inlineStr">
        <is>
          <t>B08D63D9JM</t>
        </is>
      </c>
      <c r="M65" s="19" t="n">
        <v>6.15</v>
      </c>
      <c r="N65" s="19" t="n">
        <v>0</v>
      </c>
      <c r="O65" s="19" t="n">
        <v>7.99</v>
      </c>
      <c r="P65" s="19">
        <f>O65/1.19</f>
        <v/>
      </c>
      <c r="Q65" s="19">
        <f>O65-P65</f>
        <v/>
      </c>
      <c r="R65" s="19">
        <f>O65*0.15</f>
        <v/>
      </c>
      <c r="S65" s="19" t="n">
        <v>2.34</v>
      </c>
      <c r="T65" s="19">
        <f>S65*0.2</f>
        <v/>
      </c>
      <c r="U65" s="19" t="n">
        <v>0.4</v>
      </c>
      <c r="V65" s="19" t="n">
        <v>2.4</v>
      </c>
      <c r="W65" s="19">
        <f>V65*0.2</f>
        <v/>
      </c>
      <c r="X65" s="16">
        <f>O65-Q65-R65-S65-U65-V65+T65+W65</f>
        <v/>
      </c>
      <c r="Y65" s="18" t="n"/>
      <c r="Z65" s="19">
        <f>O65+1.5</f>
        <v/>
      </c>
      <c r="AA65" s="19" t="n"/>
      <c r="AB65" s="19" t="n"/>
      <c r="AC65" s="18" t="n"/>
      <c r="AD65" s="18" t="n"/>
      <c r="AE65" s="13" t="inlineStr">
        <is>
          <t>NOT_UPLOADED</t>
        </is>
      </c>
    </row>
    <row r="66" ht="16" customHeight="1">
      <c r="A66" s="12" t="n">
        <v>5054563015549</v>
      </c>
      <c r="B66" s="12" t="n">
        <v>5054563015549</v>
      </c>
      <c r="C66" s="13" t="n"/>
      <c r="D66" s="14" t="n"/>
      <c r="E66" s="14" t="inlineStr">
        <is>
          <t>AMP-5054563015549</t>
        </is>
      </c>
      <c r="F66" s="12" t="n"/>
      <c r="G66" s="14" t="inlineStr">
        <is>
          <t>Amperel</t>
        </is>
      </c>
      <c r="H66" s="14" t="inlineStr">
        <is>
          <t>Aquafresh</t>
        </is>
      </c>
      <c r="I66" s="14" t="inlineStr">
        <is>
          <t>Aquafresh Toothbrush 3 Pack</t>
        </is>
      </c>
      <c r="J66" s="14" t="inlineStr">
        <is>
          <t>No</t>
        </is>
      </c>
      <c r="K66" s="14" t="inlineStr">
        <is>
          <t>https://www.amazon.de/dp/B06XB83FQR</t>
        </is>
      </c>
      <c r="L66" s="14" t="inlineStr">
        <is>
          <t>B06XB83FQR</t>
        </is>
      </c>
      <c r="M66" s="15" t="n">
        <v>7.23</v>
      </c>
      <c r="N66" s="15" t="n">
        <v>0</v>
      </c>
      <c r="O66" s="15" t="n">
        <v>7.79</v>
      </c>
      <c r="P66" s="15">
        <f>O66/1.19</f>
        <v/>
      </c>
      <c r="Q66" s="15">
        <f>O66-P66</f>
        <v/>
      </c>
      <c r="R66" s="15">
        <f>O66*0.15</f>
        <v/>
      </c>
      <c r="S66" s="15" t="n">
        <v>1.76</v>
      </c>
      <c r="T66" s="15">
        <f>S66*0.2</f>
        <v/>
      </c>
      <c r="U66" s="15" t="n">
        <v>0.4</v>
      </c>
      <c r="V66" s="15" t="n">
        <v>2.6</v>
      </c>
      <c r="W66" s="15">
        <f>V66*0.2</f>
        <v/>
      </c>
      <c r="X66" s="16">
        <f>O66-Q66-R66-S66-U66-V66+T66+W66</f>
        <v/>
      </c>
      <c r="Y66" s="14" t="n"/>
      <c r="Z66" s="15">
        <f>O66+1.5</f>
        <v/>
      </c>
      <c r="AA66" s="15" t="n"/>
      <c r="AB66" s="15" t="n"/>
      <c r="AC66" s="14" t="n"/>
      <c r="AD66" s="14" t="n"/>
      <c r="AE66" s="13" t="inlineStr">
        <is>
          <t>NOT_UPLOADED</t>
        </is>
      </c>
    </row>
    <row r="67" ht="16" customHeight="1">
      <c r="A67" s="17" t="n">
        <v>7702018520800</v>
      </c>
      <c r="B67" s="17" t="n">
        <v>7702018520800</v>
      </c>
      <c r="C67" s="13" t="n"/>
      <c r="D67" s="18" t="n"/>
      <c r="E67" s="18" t="inlineStr">
        <is>
          <t>ORB-7702018520800</t>
        </is>
      </c>
      <c r="F67" s="17" t="n"/>
      <c r="G67" s="18" t="inlineStr">
        <is>
          <t>Orbico</t>
        </is>
      </c>
      <c r="H67" s="18" t="inlineStr">
        <is>
          <t>Gillete</t>
        </is>
      </c>
      <c r="I67" s="18" t="inlineStr">
        <is>
          <t>Gillette Gel 200ml</t>
        </is>
      </c>
      <c r="J67" s="18" t="inlineStr">
        <is>
          <t>No</t>
        </is>
      </c>
      <c r="K67" s="18" t="inlineStr">
        <is>
          <t>https://www.amazon.de/dp/B09BB8DNF1</t>
        </is>
      </c>
      <c r="L67" s="18" t="inlineStr">
        <is>
          <t>B09BB8DNF1</t>
        </is>
      </c>
      <c r="M67" s="19" t="n">
        <v>11.79</v>
      </c>
      <c r="N67" s="19" t="n">
        <v>0</v>
      </c>
      <c r="O67" s="19" t="n">
        <v>10.99</v>
      </c>
      <c r="P67" s="19">
        <f>O67/1.19</f>
        <v/>
      </c>
      <c r="Q67" s="19">
        <f>O67-P67</f>
        <v/>
      </c>
      <c r="R67" s="19">
        <f>O67*0.15</f>
        <v/>
      </c>
      <c r="S67" s="19" t="n">
        <v>2.84</v>
      </c>
      <c r="T67" s="19">
        <f>S67*0.2</f>
        <v/>
      </c>
      <c r="U67" s="19" t="n">
        <v>0.4</v>
      </c>
      <c r="V67" s="19" t="n">
        <v>4.22</v>
      </c>
      <c r="W67" s="19">
        <f>V67*0.2</f>
        <v/>
      </c>
      <c r="X67" s="16">
        <f>O67-Q67-R67-S67-U67-V67+T67+W67</f>
        <v/>
      </c>
      <c r="Y67" s="18" t="n"/>
      <c r="Z67" s="19">
        <f>O67+1.5</f>
        <v/>
      </c>
      <c r="AA67" s="19" t="n"/>
      <c r="AB67" s="19" t="n"/>
      <c r="AC67" s="18" t="n"/>
      <c r="AD67" s="18" t="n"/>
      <c r="AE67" s="13" t="inlineStr">
        <is>
          <t>NOT_UPLOADED</t>
        </is>
      </c>
    </row>
    <row r="68" ht="16" customHeight="1">
      <c r="A68" s="12" t="n">
        <v>8710103985082</v>
      </c>
      <c r="B68" s="12" t="n">
        <v>8710103985082</v>
      </c>
      <c r="C68" s="13" t="n"/>
      <c r="D68" s="14" t="inlineStr">
        <is>
          <t>SCY961/02</t>
        </is>
      </c>
      <c r="E68" s="14" t="inlineStr">
        <is>
          <t>AX-8710103985082</t>
        </is>
      </c>
      <c r="F68" s="12" t="inlineStr">
        <is>
          <t>00A.0590.001</t>
        </is>
      </c>
      <c r="G68" s="14" t="inlineStr">
        <is>
          <t>IVENTAS</t>
        </is>
      </c>
      <c r="H68" s="14" t="inlineStr">
        <is>
          <t>Avent</t>
        </is>
      </c>
      <c r="I68" s="14" t="inlineStr">
        <is>
          <t>Philips Avent Natural Response Sauger – 2x Sauger für Babyflaschen mit Durchflussstärke 1, für Neugeborene ab 0 Monaten, BPA-frei (Modell SCY961/02)</t>
        </is>
      </c>
      <c r="J68" s="14" t="inlineStr">
        <is>
          <t>No</t>
        </is>
      </c>
      <c r="K68" s="14" t="inlineStr">
        <is>
          <t>https://www.amazon.de/-/en/Philips-Avent-Natural-Response-Sauger/dp/B0BWFMMPPC/ref=sr_1_1?crid=12J1TR3OFMRBR&amp;dib=eyJ2IjoiMSJ9.mjcMBUjW5pcmu1PBlSb65IeYOTOs_3rkCAJT9T-ux_I0HIyTiTExL2n2n5ide5QXsBshvtfYqTouZnmbyIvNEnkK90DJNpb8C9ekxmHmP_8wGegaXP8kOo1-HTg81OHyPAOE3cDlz0JcHqJUG39tQ6gRPzyDyQNy1BIdziZOscs3G9ktP2qHtJd25ve2n2kf6yWswaW6_o7YODDNtj3OAwxGqCaT-9TtA5hlUveQPgEp3qebSL7pb8yKSjya4nrFiTbdYFcmgTjiyjGgxMAZaMbVMXpvrQjnS59gGP8NPqteG4G4V47swUJZ6G7xwEENFqvgm9pvNe7RKSRj3S9F63ciw3nWph-SexqyZkcILGm9MAnF24vj4ZwJ21u58xZ368Fei1MI3qrMg53wWimsB529z5PPrvutahzqitXCdka9VlZ-OtmQGv67aqGlhUfm.9XEMhwtBD-DY0Ye4Wu565_MMZKcDbNdnCrUR_V71I58&amp;dib_tag=se&amp;keywords=Avent%2B%D0%91%D0%B8%D0%B1%D0%B5%D1%80%D0%BE%D0%BD%2BNatural%2BResponse%2B-%2B%D0%BF%D0%BE%D1%82%D0%BE%D0%BA%2B1%2B(0%D0%BC)%2C%2B2%2B%D0%B1%D1%80.&amp;qid=1742282293&amp;sprefix=avent%2B%D0%B1%D0%B8%D0%B1%D0%B5%D1%80%D0%BE%D0%BD%2Bnatural%2Bresponse%2B-%2B%D0%BF%D0%BE%D1%82%D0%BE%D0%BA%2B1%2B0%D0%BC%2B2%2B%D0%B1%D1%80.%2Caps%2C180&amp;sr=8-1&amp;th=1</t>
        </is>
      </c>
      <c r="L68" s="14" t="inlineStr">
        <is>
          <t>B0BWFMMPPC</t>
        </is>
      </c>
      <c r="M68" s="15" t="n">
        <v>14.5</v>
      </c>
      <c r="N68" s="15" t="n">
        <v>5.95</v>
      </c>
      <c r="O68" s="15" t="n">
        <v>13.45</v>
      </c>
      <c r="P68" s="15">
        <f>O68/1.19</f>
        <v/>
      </c>
      <c r="Q68" s="15">
        <f>O68-P68</f>
        <v/>
      </c>
      <c r="R68" s="15">
        <f>O68*0.15</f>
        <v/>
      </c>
      <c r="S68" s="15" t="n">
        <v>6.46</v>
      </c>
      <c r="T68" s="15">
        <f>S68*0.2</f>
        <v/>
      </c>
      <c r="U68" s="15" t="n">
        <v>0.4</v>
      </c>
      <c r="V68" s="15" t="n">
        <v>2.15</v>
      </c>
      <c r="W68" s="15">
        <f>V68*0.2</f>
        <v/>
      </c>
      <c r="X68" s="16">
        <f>O68-Q68-R68-S68-U68-V68+T68+W68</f>
        <v/>
      </c>
      <c r="Y68" s="14" t="n"/>
      <c r="Z68" s="15">
        <f>O68+1.5</f>
        <v/>
      </c>
      <c r="AA68" s="15" t="n"/>
      <c r="AB68" s="15" t="n"/>
      <c r="AC68" s="14" t="n"/>
      <c r="AD68" s="14" t="n"/>
      <c r="AE68" s="13" t="inlineStr">
        <is>
          <t>NOT_UPLOADED</t>
        </is>
      </c>
    </row>
    <row r="69" ht="16" customHeight="1">
      <c r="A69" s="17" t="n">
        <v>8710103985105</v>
      </c>
      <c r="B69" s="17" t="n">
        <v>8710103985105</v>
      </c>
      <c r="C69" s="13" t="n"/>
      <c r="D69" s="18" t="inlineStr">
        <is>
          <t>SCY962/02</t>
        </is>
      </c>
      <c r="E69" s="18" t="inlineStr">
        <is>
          <t>AX-8710103985105</t>
        </is>
      </c>
      <c r="F69" s="17" t="inlineStr">
        <is>
          <t>00A.0591.001</t>
        </is>
      </c>
      <c r="G69" s="18" t="inlineStr">
        <is>
          <t>IVENTAS</t>
        </is>
      </c>
      <c r="H69" s="18" t="inlineStr">
        <is>
          <t>Avent</t>
        </is>
      </c>
      <c r="I69" s="18" t="inlineStr">
        <is>
          <t>Philips Avent Natural Response Sauger – 2x Sauger für Babyflaschen mit Durchflussstärke 2, für Neugeborene ab 0 Monaten, BPA-frei (Modell SCY962/02)</t>
        </is>
      </c>
      <c r="J69" s="18" t="inlineStr">
        <is>
          <t>No</t>
        </is>
      </c>
      <c r="K69" s="18" t="inlineStr">
        <is>
          <t>https://www.amazon.de/-/en/Philips-Avent-Natural-Response-Sauger/dp/B0BWFNZTNP/ref=sr_1_1?crid=22D4YZWU3IO0Y&amp;dib=eyJ2IjoiMSJ9.HQruEnEdBXrPk-t08TN0Fw7_OjE-iKCFZ75pJHJ04UaxrVhwZEuYF_Umz7B65z6y8buQkgIhpq0Zp4rm8CY8GbzFwg83EU3eSogs_L86fJjjbol_JDzUok4CkmRKorYXBzLzyCB8KUSdvywIUm2RDCX1IGCUnq2yrrjCOvM-mnl16Pcfk5VwTsUuApdrsIEKo5NsoulPWUy9kilGuWqthCh1ZQt3bNLW8HqD4RA-e_W_U1DxB1i5neTpg1L_nM3njOFB7huCMTN59Bfmb95V6KuIiv85h92xJzBF58A41NKXFfu0v_4Nqd0bJnf4ATJITaARM2LcBHvCk6QFrXcuXb5dKG5p0f0PqBwWyXaelnjHea8BQeIysOHkeMZeBrW_I_is9wOCMGdC-23owvcpYWE7yxYQ7VIX9y5huOEjkHjzzk588NcVyTtYtplFvVHx.zfHNveDjCowCdi19jU26-Jpv6odpLuIanBc9dFNz9M8&amp;dib_tag=se&amp;keywords=Avent%2B%D0%91%D0%B8%D0%B1%D0%B5%D1%80%D0%BE%D0%BD%2BNatural%2BResponse%2B-%2B%D0%BF%D0%BE%D1%82%D0%BE%D0%BA%2B2%2B(0%D0%BC%2B)%2C%2B2%2B%D0%B1%D1%80&amp;qid=1742283172&amp;sprefix=avent%2B%D0%B1%D0%B8%D0%B1%D0%B5%D1%80%D0%BE%D0%BD%2Bnatural%2Bresponse%2B-%2B%D0%BF%D0%BE%D1%82%D0%BE%D0%BA%2B2%2B0%D0%BC%2B%2B2%2B%D0%B1%D1%80%2Caps%2C154&amp;sr=8-1&amp;th=1</t>
        </is>
      </c>
      <c r="L69" s="18" t="inlineStr">
        <is>
          <t>B0BWFNZTNP</t>
        </is>
      </c>
      <c r="M69" s="19" t="n">
        <v>16.29</v>
      </c>
      <c r="N69" s="19" t="n">
        <v>6.99</v>
      </c>
      <c r="O69" s="19" t="n">
        <v>13.45</v>
      </c>
      <c r="P69" s="19">
        <f>O69/1.19</f>
        <v/>
      </c>
      <c r="Q69" s="19">
        <f>O69-P69</f>
        <v/>
      </c>
      <c r="R69" s="19">
        <f>O69*0.15</f>
        <v/>
      </c>
      <c r="S69" s="19" t="n">
        <v>6.46</v>
      </c>
      <c r="T69" s="19">
        <f>S69*0.2</f>
        <v/>
      </c>
      <c r="U69" s="19" t="n">
        <v>0.4</v>
      </c>
      <c r="V69" s="19" t="n">
        <v>2.14</v>
      </c>
      <c r="W69" s="19">
        <f>V69*0.2</f>
        <v/>
      </c>
      <c r="X69" s="21">
        <f>O69-Q69-R69-S69-U69-V69+T69+W69</f>
        <v/>
      </c>
      <c r="Y69" s="18" t="n"/>
      <c r="Z69" s="19">
        <f>O69+1.5</f>
        <v/>
      </c>
      <c r="AA69" s="19" t="n"/>
      <c r="AB69" s="19" t="n"/>
      <c r="AC69" s="18" t="n"/>
      <c r="AD69" s="18" t="n"/>
      <c r="AE69" s="13" t="inlineStr">
        <is>
          <t>NOT_UPLOADED</t>
        </is>
      </c>
    </row>
    <row r="70" ht="16" customHeight="1">
      <c r="A70" s="12" t="n">
        <v>8710103985129</v>
      </c>
      <c r="B70" s="12" t="n">
        <v>8710103985129</v>
      </c>
      <c r="C70" s="13" t="n"/>
      <c r="D70" s="14" t="inlineStr">
        <is>
          <t>SCY963/02</t>
        </is>
      </c>
      <c r="E70" s="14" t="inlineStr">
        <is>
          <t>AX-8710103985129</t>
        </is>
      </c>
      <c r="F70" s="12" t="inlineStr">
        <is>
          <t>00A.0592.001</t>
        </is>
      </c>
      <c r="G70" s="14" t="inlineStr">
        <is>
          <t>IVENTAS</t>
        </is>
      </c>
      <c r="H70" s="14" t="inlineStr">
        <is>
          <t>Avent</t>
        </is>
      </c>
      <c r="I70" s="14" t="inlineStr">
        <is>
          <t>Philips Avent Natural Response Sauger – 2x Sauger für Babyflaschen mit Durchflussstärke 3, für Neugeborene ab 1 Monat, BPA-frei (Modell SCY963/02)</t>
        </is>
      </c>
      <c r="J70" s="14" t="inlineStr">
        <is>
          <t>No</t>
        </is>
      </c>
      <c r="K70" s="14" t="inlineStr">
        <is>
          <t>https://www.amazon.de/-/en/Philips-Avent-Natural-Response-Sauger/dp/B0BWFPQB3H/ref=sr_1_1?crid=1NDVVMFB7S1AD&amp;dib=eyJ2IjoiMSJ9.Xs58nEsLYQ4xlUOCYZAmLFwdEpPo6dxUMFsbb2ydPaQl4VvoT2RuyYB-VqqRV72XOdIh8wNIIULALeH5yxKlmNajeLNG9_hY_1oofodGBX9u2FP18EaEuVNo0JgABEcT2DGr63j6NWB-faA7INO0-5nbB4fsGTHHXoOu4-vySf4ubjrYQZy7FrReM0Oah9C8tXALdmUcHFV0nniSFWI0CHApvrsQ8MjjvMg7UVMKMXUK6I82WrkxRHocSYNoOBzqjosNzkI7LukRUKviBBm2a-fquzFJY4K5cQKk8LJh5Oh_x2zJc581CMxy6nNV_kpb-rHjNlj5ls6nuOJj588rkXSJYc5qwIC4MZ7JIzmJpmzI2_q3HH7LK1wJa9EACUoyhZxI7insLG1LPjAWNdI_mMHNT2y-8jewyl7g14j84yGAHwhViyB5iwDtH-ZLNUie.3DLZWVEWTrSP_UVt-01XolMBxK9ijVzoju5ZtYExWrI&amp;dib_tag=se&amp;keywords=Avent%2B%D0%91%D0%B8%D0%B1%D0%B5%D1%80%D0%BE%D0%BD%2BNatural%2BResponse%2B-%2B%D0%BF%D0%BE%D1%82%D0%BE%D0%BA%2B3%2B(1%D0%BC%2B)%2C%2B2%2B%D0%B1%D1%80.&amp;qid=1742283301&amp;sprefix=avent%2B%D0%B1%D0%B8%D0%B1%D0%B5%D1%80%D0%BE%D0%BD%2Bnatural%2Bresponse%2B-%2B%D0%BF%D0%BE%D1%82%D0%BE%D0%BA%2B3%2B1%D0%BC%2B%2B2%2B%D0%B1%D1%80.%2Caps%2C167&amp;sr=8-1&amp;th=1</t>
        </is>
      </c>
      <c r="L70" s="14" t="inlineStr">
        <is>
          <t>B0BWFPQB3H</t>
        </is>
      </c>
      <c r="M70" s="15" t="n">
        <v>15.32</v>
      </c>
      <c r="N70" s="15" t="n">
        <v>5.95</v>
      </c>
      <c r="O70" s="15" t="n">
        <v>13.45</v>
      </c>
      <c r="P70" s="15">
        <f>O70/1.19</f>
        <v/>
      </c>
      <c r="Q70" s="15">
        <f>O70-P70</f>
        <v/>
      </c>
      <c r="R70" s="15">
        <f>O70*0.15</f>
        <v/>
      </c>
      <c r="S70" s="15" t="n">
        <v>6.46</v>
      </c>
      <c r="T70" s="15">
        <f>S70*0.2</f>
        <v/>
      </c>
      <c r="U70" s="15" t="n">
        <v>0.4</v>
      </c>
      <c r="V70" s="15" t="n">
        <v>2.14</v>
      </c>
      <c r="W70" s="15">
        <f>V70*0.2</f>
        <v/>
      </c>
      <c r="X70" s="21">
        <f>O70-Q70-R70-S70-U70-V70+T70+W70</f>
        <v/>
      </c>
      <c r="Y70" s="14" t="n"/>
      <c r="Z70" s="15">
        <f>O70+1.5</f>
        <v/>
      </c>
      <c r="AA70" s="15" t="n"/>
      <c r="AB70" s="15" t="n"/>
      <c r="AC70" s="14" t="n"/>
      <c r="AD70" s="14" t="n"/>
      <c r="AE70" s="13" t="inlineStr">
        <is>
          <t>NOT_UPLOADED</t>
        </is>
      </c>
    </row>
    <row r="71" ht="16" customHeight="1">
      <c r="A71" s="17" t="n">
        <v>8710103985143</v>
      </c>
      <c r="B71" s="17" t="n">
        <v>8710103985143</v>
      </c>
      <c r="C71" s="13" t="n"/>
      <c r="D71" s="18" t="inlineStr">
        <is>
          <t>SCY964/02</t>
        </is>
      </c>
      <c r="E71" s="18" t="inlineStr">
        <is>
          <t>AX-8710103985143</t>
        </is>
      </c>
      <c r="F71" s="17" t="inlineStr">
        <is>
          <t>00A.0593.001</t>
        </is>
      </c>
      <c r="G71" s="18" t="inlineStr">
        <is>
          <t>IVENTAS</t>
        </is>
      </c>
      <c r="H71" s="18" t="inlineStr">
        <is>
          <t>Avent</t>
        </is>
      </c>
      <c r="I71" s="18" t="inlineStr">
        <is>
          <t>Philips Avent Natural Response Sauger – 2x Sauger für Babyflaschen mit Durchflussstärke 4, für Babys ab 3 Monaten, BPA-frei (Modell SCY964/02)</t>
        </is>
      </c>
      <c r="J71" s="18" t="inlineStr">
        <is>
          <t>No</t>
        </is>
      </c>
      <c r="K71" s="18" t="inlineStr">
        <is>
          <t>https://www.amazon.de/-/en/Philips-Avent-Natural-Response-Sauger/dp/B0BWFP3RXD/ref=sr_1_1?crid=2PAQQZ4IZY4C1&amp;dib=eyJ2IjoiMSJ9.ae0sZO63AwceONjb4AWrF2QPj8P88uWlZ1Bekw3LnjRH6SBYI-TAI2sZrK5jT73XH1j4q6YBEZeDyPta2ZqLxyKsTruAbvDugAH4smU8ECNEj0Uvu9XoTa7N1cmmUeq9Mh_Rm5wp0cwpkRLG8NUITH0zoND9ySI29TednFkH5VDleDdiU4Ne2VtpkCBexCLdcZ8HI1Xc_EAM8OzYmm27hzzzV-iRaxIgjTOP7k-f02PxEeXBLoO1HFtCFpYydTNVbplO5sxEZ2DBu3fEvH1USQr4OisAIkcQ0r5RYKpyOGbwCzJYWj6nXEKruhmlkTI2rzSh4LNIgv_E7E99tCWiehmp4F0x3v1JBU_Lr3i44A4y2PEHkeiyLFK5vPuK0gb32nqcZxi82tmrImQwN4jMmPXW1RwAfC6LKYfIdifJyo5_jjWRxbLc3zZw6RY2vV0h.LX3OiM3YXiHrEAHNM6dRocqq3LJlYx_1WtE4dyo8GpM&amp;dib_tag=se&amp;keywords=Avent%2B%D0%91%D0%B8%D0%B1%D0%B5%D1%80%D0%BE%D0%BD%2BNatural%2BResponse%2B-%2B%D0%BF%D0%BE%D1%82%D0%BE%D0%BA%2B4%2B(3%D0%BC%2B)%2C%2B2%2B%D0%B1%D1%80.&amp;qid=1742283495&amp;sprefix=avent%2B%D0%B1%D0%B8%D0%B1%D0%B5%D1%80%D0%BE%D0%BD%2Bnatural%2Bresponse%2B-%2B%D0%BF%D0%BE%D1%82%D0%BE%D0%BA%2B4%2B3%D0%BC%2B%2B2%2B%D0%B1%D1%80.%2Caps%2C170&amp;sr=8-1&amp;th=1</t>
        </is>
      </c>
      <c r="L71" s="18" t="inlineStr">
        <is>
          <t>B0BWFP3RXD</t>
        </is>
      </c>
      <c r="M71" s="19" t="n">
        <v>16.48</v>
      </c>
      <c r="N71" s="19" t="n">
        <v>5.95</v>
      </c>
      <c r="O71" s="19" t="n">
        <v>13.45</v>
      </c>
      <c r="P71" s="19">
        <f>O71/1.19</f>
        <v/>
      </c>
      <c r="Q71" s="19">
        <f>O71-P71</f>
        <v/>
      </c>
      <c r="R71" s="19">
        <f>O71*0.15</f>
        <v/>
      </c>
      <c r="S71" s="19" t="n">
        <v>6.04</v>
      </c>
      <c r="T71" s="19">
        <f>S71*0.2</f>
        <v/>
      </c>
      <c r="U71" s="19" t="n">
        <v>0.4</v>
      </c>
      <c r="V71" s="19" t="n">
        <v>2.14</v>
      </c>
      <c r="W71" s="19">
        <f>V71*0.2</f>
        <v/>
      </c>
      <c r="X71" s="21">
        <f>O71-Q71-R71-S71-U71-V71+T71+W71</f>
        <v/>
      </c>
      <c r="Y71" s="18" t="n"/>
      <c r="Z71" s="19">
        <f>O71+1.5</f>
        <v/>
      </c>
      <c r="AA71" s="19" t="n"/>
      <c r="AB71" s="19" t="n"/>
      <c r="AC71" s="18" t="n"/>
      <c r="AD71" s="18" t="n"/>
      <c r="AE71" s="13" t="inlineStr">
        <is>
          <t>NOT_UPLOADED</t>
        </is>
      </c>
    </row>
    <row r="72" ht="16" customHeight="1">
      <c r="A72" s="12" t="n">
        <v>8710103985167</v>
      </c>
      <c r="B72" s="12" t="n">
        <v>8710103989639</v>
      </c>
      <c r="C72" s="13" t="n"/>
      <c r="D72" s="14" t="inlineStr">
        <is>
          <t>SCY903/01</t>
        </is>
      </c>
      <c r="E72" s="14" t="inlineStr">
        <is>
          <t>AX-8710103985167</t>
        </is>
      </c>
      <c r="F72" s="12" t="inlineStr">
        <is>
          <t>00A.0572.001</t>
        </is>
      </c>
      <c r="G72" s="14" t="inlineStr">
        <is>
          <t>IVENTAS</t>
        </is>
      </c>
      <c r="H72" s="14" t="inlineStr">
        <is>
          <t>Avent</t>
        </is>
      </c>
      <c r="I72" s="14" t="inlineStr">
        <is>
          <t>Philips Avent Natural Response Babyflasche – Babyflasche, 260 ml, für Neugeborene ab 1 Monat, BPA-frei (Modell SCY903/01)</t>
        </is>
      </c>
      <c r="J72" s="14" t="inlineStr">
        <is>
          <t>No</t>
        </is>
      </c>
      <c r="K72" s="14" t="inlineStr">
        <is>
          <t>https://www.amazon.de/-/en/Philips-Avent-Babyflaschen-Natural-Response/dp/B0BWFMQMV8/ref=sr_1_2?crid=S2FKSYEEYV9L&amp;dib=eyJ2IjoiMSJ9.O-9OQWqbHLEABRO3s9LSh3GUm4d2_bCli1i9BHc7shs5JcudY3Io2pkxjHgt39UNTTwXsoB4pdngE753DlgBRvzTcRI7L3ka1ye9-7ken6C8PDKeSy2druKwM7ILxe_RiE6pkWFl8aXtyr1jiQ0OWlqbzE1XdHMXpcnNCpwhrrEj0uFgWO--dW2OOW5vUFfrkRPrEFgWx9AiHbUFgaqBzVfm3NuT2M7QnY4AfBQYbwRTqx09LYUUQHhMvsIVcrZcTwlNXVAb5PaD4cnKACK8gV13v7L6YgNxoJAjEqK0SjnckvwOg4yHddt9NJXkivc6tyaegPLcwRsVnHbXUGK1D7gjzhUIyLJaa_GNRK5OBuhCyStkCJZg99Gpxi7u_A5FBJ-Yi4UJRBUwQ7ed7IKITNFyxxX_W52k5hjX3NdH3Q3UqyY2XtUn4AF6SDtRPt9M.mmIX2Vn7LILDmraI8KazazwNQ1SVnPQzzBpWS0OUfQM&amp;dib_tag=se&amp;keywords=Avent%2B%D0%91%D1%83%D1%82%D0%B8%D0%BB%D0%BA%D0%B0%2BNatural%2BResponse%2B260%2Bml%2C%2B1%2B%D0%BC%2B%2B%D1%81%2B%D0%B1%D0%B8%D0%B1%D0%B5%D1%80%D0%BE%D0%BD%2B%D1%81%2B%D0%BF%D0%BE%D1%82%D0%BE%D0%BA%2B2&amp;qid=1742284459&amp;sprefix=avent%2B%D0%B1%D1%83%D1%82%D0%B8%D0%BB%D0%BA%D0%B0%2Bnatural%2Bresponse%2B260%2Bml%2B1%2B%D0%BC%2B%2B%D1%81%2B%D0%B1%D0%B8%D0%B1%D0%B5%D1%80%D0%BE%D0%BD%2B%D1%81%2B%D0%BF%D0%BE%D1%82%D0%BE%D0%BA%2B2%2Caps%2C130&amp;sr=8-2&amp;th=1</t>
        </is>
      </c>
      <c r="L72" s="14" t="inlineStr">
        <is>
          <t>B0BWFMQMV8</t>
        </is>
      </c>
      <c r="M72" s="15" t="n">
        <v>18.69</v>
      </c>
      <c r="N72" s="15" t="n">
        <v>9.94</v>
      </c>
      <c r="O72" s="15" t="n">
        <v>15.9</v>
      </c>
      <c r="P72" s="15">
        <f>O72/1.19</f>
        <v/>
      </c>
      <c r="Q72" s="15">
        <f>O72-P72</f>
        <v/>
      </c>
      <c r="R72" s="15">
        <f>O72*0.15</f>
        <v/>
      </c>
      <c r="S72" s="15" t="n">
        <v>6.52</v>
      </c>
      <c r="T72" s="15">
        <f>S72*0.2</f>
        <v/>
      </c>
      <c r="U72" s="15" t="n">
        <v>0.4</v>
      </c>
      <c r="V72" s="15" t="n">
        <v>2.6</v>
      </c>
      <c r="W72" s="15">
        <f>V72*0.2</f>
        <v/>
      </c>
      <c r="X72" s="21">
        <f>O72-Q72-R72-S72-U72-V72+T72+W72</f>
        <v/>
      </c>
      <c r="Y72" s="14" t="n"/>
      <c r="Z72" s="15">
        <f>O72+1.5</f>
        <v/>
      </c>
      <c r="AA72" s="15" t="n"/>
      <c r="AB72" s="15" t="n"/>
      <c r="AC72" s="14" t="n"/>
      <c r="AD72" s="14" t="n"/>
      <c r="AE72" s="13" t="inlineStr">
        <is>
          <t>NOT_UPLOADED</t>
        </is>
      </c>
    </row>
    <row r="73" ht="16" customHeight="1">
      <c r="A73" s="17" t="n">
        <v>8710103985181</v>
      </c>
      <c r="B73" s="17" t="n">
        <v>8710103990444</v>
      </c>
      <c r="C73" s="13" t="n"/>
      <c r="D73" s="18" t="inlineStr">
        <is>
          <t>SCY900/01</t>
        </is>
      </c>
      <c r="E73" s="18" t="inlineStr">
        <is>
          <t>AX-8710103985181</t>
        </is>
      </c>
      <c r="F73" s="17" t="inlineStr">
        <is>
          <t>00A.0570.001</t>
        </is>
      </c>
      <c r="G73" s="18" t="inlineStr">
        <is>
          <t>IVENTAS</t>
        </is>
      </c>
      <c r="H73" s="18" t="inlineStr">
        <is>
          <t>Avent</t>
        </is>
      </c>
      <c r="I73" s="18" t="inlineStr">
        <is>
          <t>Philips Avent Natural Response Babyflasche – Babyflasche, 125 ml, für Neugeborene ab 0 Monaten, BPA-frei (Modell SCY900/01)</t>
        </is>
      </c>
      <c r="J73" s="18" t="inlineStr">
        <is>
          <t>No</t>
        </is>
      </c>
      <c r="K73" s="18" t="inlineStr">
        <is>
          <t>https://www.amazon.de/-/en/Philips-Avent-Babyflaschen-Natural-Response/dp/B0BWFNJKN4/ref=sr_1_2?crid=S2FKSYEEYV9L&amp;dib=eyJ2IjoiMSJ9.O-9OQWqbHLEABRO3s9LSh3GUm4d2_bCli1i9BHc7shs5JcudY3Io2pkxjHgt39UNTTwXsoB4pdngE753DlgBRvzTcRI7L3ka1ye9-7ken6C8PDKeSy2druKwM7ILxe_RiE6pkWFl8aXtyr1jiQ0OWlqbzE1XdHMXpcnNCpwhrrEj0uFgWO--dW2OOW5vUFfrkRPrEFgWx9AiHbUFgaqBzVfm3NuT2M7QnY4AfBQYbwRTqx09LYUUQHhMvsIVcrZcTwlNXVAb5PaD4cnKACK8gV13v7L6YgNxoJAjEqK0SjnckvwOg4yHddt9NJXkivc6tyaegPLcwRsVnHbXUGK1D7gjzhUIyLJaa_GNRK5OBuhCyStkCJZg99Gpxi7u_A5FBJ-Yi4UJRBUwQ7ed7IKITNFyxxX_W52k5hjX3NdH3Q3UqyY2XtUn4AF6SDtRPt9M.mmIX2Vn7LILDmraI8KazazwNQ1SVnPQzzBpWS0OUfQM&amp;dib_tag=se&amp;keywords=Avent%2B%D0%91%D1%83%D1%82%D0%B8%D0%BB%D0%BA%D0%B0%2BNatural%2BResponse%2B260%2Bml%2C%2B1%2B%D0%BC%2B%2B%D1%81%2B%D0%B1%D0%B8%D0%B1%D0%B5%D1%80%D0%BE%D0%BD%2B%D1%81%2B%D0%BF%D0%BE%D1%82%D0%BE%D0%BA%2B2&amp;qid=1742284459&amp;sprefix=avent%2B%D0%B1%D1%83%D1%82%D0%B8%D0%BB%D0%BA%D0%B0%2Bnatural%2Bresponse%2B260%2Bml%2B1%2B%D0%BC%2B%2B%D1%81%2B%D0%B1%D0%B8%D0%B1%D0%B5%D1%80%D0%BE%D0%BD%2B%D1%81%2B%D0%BF%D0%BE%D1%82%D0%BE%D0%BA%2B2%2Caps%2C130&amp;sr=8-2&amp;th=1</t>
        </is>
      </c>
      <c r="L73" s="18" t="inlineStr">
        <is>
          <t>B0BWFNJKN4</t>
        </is>
      </c>
      <c r="M73" s="19" t="n">
        <v>19.35</v>
      </c>
      <c r="N73" s="19" t="n">
        <v>8.949999999999999</v>
      </c>
      <c r="O73" s="19" t="n">
        <v>14.8</v>
      </c>
      <c r="P73" s="19">
        <f>O73/1.19</f>
        <v/>
      </c>
      <c r="Q73" s="19">
        <f>O73-P73</f>
        <v/>
      </c>
      <c r="R73" s="19">
        <f>O73*0.15</f>
        <v/>
      </c>
      <c r="S73" s="19" t="n">
        <v>5.98</v>
      </c>
      <c r="T73" s="19">
        <f>S73*0.2</f>
        <v/>
      </c>
      <c r="U73" s="19" t="n">
        <v>0.4</v>
      </c>
      <c r="V73" s="19" t="n">
        <v>2.5</v>
      </c>
      <c r="W73" s="19">
        <f>V73*0.2</f>
        <v/>
      </c>
      <c r="X73" s="21">
        <f>O73-Q73-R73-S73-U73-V73+T73+W73</f>
        <v/>
      </c>
      <c r="Y73" s="18" t="n"/>
      <c r="Z73" s="19">
        <f>O73+1.5</f>
        <v/>
      </c>
      <c r="AA73" s="19" t="n"/>
      <c r="AB73" s="19" t="n"/>
      <c r="AC73" s="18" t="n"/>
      <c r="AD73" s="18" t="n"/>
      <c r="AE73" s="13" t="inlineStr">
        <is>
          <t>NOT_UPLOADED</t>
        </is>
      </c>
    </row>
    <row r="74" ht="16" customHeight="1">
      <c r="A74" s="12" t="n">
        <v>8710103845768</v>
      </c>
      <c r="B74" s="12" t="n">
        <v>8710103845768</v>
      </c>
      <c r="C74" s="13" t="n"/>
      <c r="D74" s="14" t="inlineStr">
        <is>
          <t>SCF254/13</t>
        </is>
      </c>
      <c r="E74" s="14" t="inlineStr">
        <is>
          <t>AX-8710103845768</t>
        </is>
      </c>
      <c r="F74" s="12" t="inlineStr">
        <is>
          <t>00A.0477.001</t>
        </is>
      </c>
      <c r="G74" s="14" t="inlineStr">
        <is>
          <t>IVENTAS</t>
        </is>
      </c>
      <c r="H74" s="14" t="inlineStr">
        <is>
          <t>Avent</t>
        </is>
      </c>
      <c r="I74" s="14" t="inlineStr">
        <is>
          <t>Philips Avent Einweg-Stilleinlagen, Ultra-Komfort und Sicherheit, 100 Stück, weiß (Modell SCF254/13)</t>
        </is>
      </c>
      <c r="J74" s="14" t="inlineStr">
        <is>
          <t>No</t>
        </is>
      </c>
      <c r="K74" s="14" t="inlineStr">
        <is>
          <t>https://www.amazon.de/100-Einweg-Pads-Tag-Nacht-Philips/dp/B079GZBV4N/ref=sr_1_1?__mk_de_DE=%C3%85M%C3%85%C5%BD%C3%95%C3%91&amp;crid=GSWS07BOOGP8&amp;dib=eyJ2IjoiMSJ9.4KBGjlA_KcILAWzxF_mrTQ.AiecqgK5m2hxE4f2acj8o5hXa4Na6s_JLUIBK9wMx9k&amp;dib_tag=se&amp;keywords=8710103845768&amp;qid=1709556768&amp;sprefix=8710103845768%2Caps%2C99&amp;sr=8-1&amp;th=1</t>
        </is>
      </c>
      <c r="L74" s="14" t="inlineStr">
        <is>
          <t>B079GZBV4N</t>
        </is>
      </c>
      <c r="M74" s="15" t="n">
        <v>21.24</v>
      </c>
      <c r="N74" s="15" t="n"/>
      <c r="O74" s="15" t="n">
        <v>23.96</v>
      </c>
      <c r="P74" s="15">
        <f>O74/1.19</f>
        <v/>
      </c>
      <c r="Q74" s="15">
        <f>O74-P74</f>
        <v/>
      </c>
      <c r="R74" s="15">
        <f>O74*0.15</f>
        <v/>
      </c>
      <c r="S74" s="15" t="n">
        <v>8.83</v>
      </c>
      <c r="T74" s="15">
        <f>S74*0.2</f>
        <v/>
      </c>
      <c r="U74" s="15" t="n">
        <v>0.4</v>
      </c>
      <c r="V74" s="15" t="n">
        <v>6.4</v>
      </c>
      <c r="W74" s="15">
        <f>V74*0.2</f>
        <v/>
      </c>
      <c r="X74" s="21">
        <f>O74-Q74-R74-S74-U74-V74+T74+W74</f>
        <v/>
      </c>
      <c r="Y74" s="14" t="n"/>
      <c r="Z74" s="15">
        <f>O74+1.5</f>
        <v/>
      </c>
      <c r="AA74" s="15" t="n"/>
      <c r="AB74" s="15" t="n">
        <v>0</v>
      </c>
      <c r="AC74" s="14" t="n"/>
      <c r="AD74" s="14" t="n"/>
      <c r="AE74" s="13" t="inlineStr">
        <is>
          <t>NOT_UPLOADED</t>
        </is>
      </c>
    </row>
    <row r="75" ht="16" customHeight="1">
      <c r="A75" s="17" t="n">
        <v>8710103980438</v>
      </c>
      <c r="B75" s="17" t="n">
        <v>8710103845805</v>
      </c>
      <c r="C75" s="13" t="n"/>
      <c r="D75" s="18" t="inlineStr">
        <is>
          <t>SCF254/61</t>
        </is>
      </c>
      <c r="E75" s="18" t="inlineStr">
        <is>
          <t>AX-8710103980438</t>
        </is>
      </c>
      <c r="F75" s="17" t="inlineStr">
        <is>
          <t>00A.0476.001</t>
        </is>
      </c>
      <c r="G75" s="18" t="inlineStr">
        <is>
          <t>IVENTAS</t>
        </is>
      </c>
      <c r="H75" s="18" t="inlineStr">
        <is>
          <t>Avent</t>
        </is>
      </c>
      <c r="I75" s="18" t="inlineStr">
        <is>
          <t>Philips Avent Einweg-Stilleinlagen, Ultra-Komfort und Sicherheit, 60 Stück, weiß (Modell SCF254/61)</t>
        </is>
      </c>
      <c r="J75" s="18" t="inlineStr">
        <is>
          <t>No</t>
        </is>
      </c>
      <c r="K75" s="18" t="inlineStr">
        <is>
          <t>https://www.amazon.de/Philips-Avent-Komfort-Stilleinlagen-SCF254-saugf%C3%A4higer/dp/B0788CC2Y1/ref=sr_1_1?__mk_de_DE=%C3%85M%C3%85%C5%BD%C3%95%C3%91&amp;crid=26DTNKEYAD3K4&amp;dib=eyJ2IjoiMSJ9.P3pv-aPH89pDb1Ub9-vbiVXZDMM8HoMY2OwGbEenp_g.Le1kpVqlIDlkenP1D80FR8VONs1bUNLlXoCWV7XrpE4&amp;dib_tag=se&amp;keywords=8710103980438&amp;qid=1709556559&amp;sprefix=8710103980438%2Caps%2C195&amp;sr=8-1&amp;th=1</t>
        </is>
      </c>
      <c r="L75" s="18" t="inlineStr">
        <is>
          <t>B0788CC2Y1</t>
        </is>
      </c>
      <c r="M75" s="19" t="n">
        <v>15.48</v>
      </c>
      <c r="N75" s="19" t="n">
        <v>6.99</v>
      </c>
      <c r="O75" s="19" t="n">
        <v>17.9</v>
      </c>
      <c r="P75" s="19">
        <f>O75/1.19</f>
        <v/>
      </c>
      <c r="Q75" s="19">
        <f>O75-P75</f>
        <v/>
      </c>
      <c r="R75" s="19">
        <f>O75*0.15</f>
        <v/>
      </c>
      <c r="S75" s="19" t="n">
        <v>6.1</v>
      </c>
      <c r="T75" s="19">
        <f>S75*0.2</f>
        <v/>
      </c>
      <c r="U75" s="19" t="n">
        <v>0.4</v>
      </c>
      <c r="V75" s="19" t="n">
        <v>5</v>
      </c>
      <c r="W75" s="19">
        <f>V75*0.2</f>
        <v/>
      </c>
      <c r="X75" s="21">
        <f>O75-Q75-R75-S75-U75-V75+T75+W75</f>
        <v/>
      </c>
      <c r="Y75" s="18" t="n"/>
      <c r="Z75" s="19">
        <f>O75+1.5</f>
        <v/>
      </c>
      <c r="AA75" s="19" t="n">
        <v>7.43</v>
      </c>
      <c r="AB75" s="19" t="n"/>
      <c r="AC75" s="18" t="n"/>
      <c r="AD75" s="18" t="n"/>
      <c r="AE75" s="13" t="inlineStr">
        <is>
          <t>NOT_UPLOADED</t>
        </is>
      </c>
    </row>
    <row r="76" ht="16" customHeight="1">
      <c r="A76" s="12" t="n">
        <v>4103040111180</v>
      </c>
      <c r="B76" s="12" t="n">
        <v>4103040111180</v>
      </c>
      <c r="C76" s="13" t="n"/>
      <c r="D76" s="14" t="n"/>
      <c r="E76" s="14" t="inlineStr">
        <is>
          <t>ORB-4103040111180</t>
        </is>
      </c>
      <c r="F76" s="12" t="n">
        <v>1100006493</v>
      </c>
      <c r="G76" s="14" t="inlineStr">
        <is>
          <t>Orbico</t>
        </is>
      </c>
      <c r="H76" s="14" t="inlineStr">
        <is>
          <t>Sebamed</t>
        </is>
      </c>
      <c r="I76" s="14" t="inlineStr">
        <is>
          <t>SEBAMED Cleansing Bar, 100 g</t>
        </is>
      </c>
      <c r="J76" s="14" t="inlineStr">
        <is>
          <t>No</t>
        </is>
      </c>
      <c r="K76" s="14" t="inlineStr">
        <is>
          <t>https://www.amazon.de/SEBAMED-Cleansing-Bar-100-g/dp/B001RYUEIG/ref=sr_1_1?__mk_de_DE=%C3%85M%C3%85%C5%BD%C3%95%C3%91&amp;crid=CW4L2QIPFB7K&amp;dib=eyJ2IjoiMSJ9.LaC3cmoEGdNTWaOfXRC0yg.Kk7PpNxbSu5tmGxGxFvOTvbmrkSiO1QlKDT8jmsC6lU&amp;dib_tag=se&amp;keywords=B001RYUEIG&amp;qid=1757406917&amp;s=beauty&amp;sprefix=b001ryueig%2Cbeauty%2C180&amp;sr=1-1&amp;th=1</t>
        </is>
      </c>
      <c r="L76" s="14" t="inlineStr">
        <is>
          <t>B001RYUEIG</t>
        </is>
      </c>
      <c r="M76" s="15" t="n">
        <v>14.62</v>
      </c>
      <c r="N76" s="15" t="n">
        <v>0</v>
      </c>
      <c r="O76" s="15" t="n">
        <v>9.9</v>
      </c>
      <c r="P76" s="15">
        <f>O76/1.19</f>
        <v/>
      </c>
      <c r="Q76" s="15">
        <f>O76-P76</f>
        <v/>
      </c>
      <c r="R76" s="15">
        <f>O76*0.15</f>
        <v/>
      </c>
      <c r="S76" s="15" t="n">
        <v>3.65</v>
      </c>
      <c r="T76" s="15">
        <f>S76*0.2</f>
        <v/>
      </c>
      <c r="U76" s="15" t="n">
        <v>0.2</v>
      </c>
      <c r="V76" s="15" t="n">
        <v>2.65</v>
      </c>
      <c r="W76" s="15">
        <f>V76*0.2</f>
        <v/>
      </c>
      <c r="X76" s="16">
        <f>O76-Q76-R76-S76-U76-V76+T76+W76</f>
        <v/>
      </c>
      <c r="Y76" s="14" t="n"/>
      <c r="Z76" s="15">
        <f>O76+1.5</f>
        <v/>
      </c>
      <c r="AA76" s="15" t="n"/>
      <c r="AB76" s="15" t="n"/>
      <c r="AC76" s="14" t="n"/>
      <c r="AD76" s="14" t="n"/>
      <c r="AE76" s="13" t="inlineStr">
        <is>
          <t>NOT_UPLOADED</t>
        </is>
      </c>
    </row>
    <row r="77" ht="16" customHeight="1">
      <c r="A77" s="17" t="n">
        <v>5060493185559</v>
      </c>
      <c r="B77" s="17" t="n">
        <v>4103040111180</v>
      </c>
      <c r="C77" s="20" t="inlineStr">
        <is>
          <t>PACK X6</t>
        </is>
      </c>
      <c r="D77" s="18" t="n"/>
      <c r="E77" s="18" t="inlineStr">
        <is>
          <t>ORB-5060493185559</t>
        </is>
      </c>
      <c r="F77" s="17" t="n">
        <v>1100006493</v>
      </c>
      <c r="G77" s="18" t="inlineStr">
        <is>
          <t>Orbico</t>
        </is>
      </c>
      <c r="H77" s="18" t="inlineStr">
        <is>
          <t>Sebamed</t>
        </is>
      </c>
      <c r="I77" s="18" t="inlineStr">
        <is>
          <t>6 x Sebamed Cleansing Bar</t>
        </is>
      </c>
      <c r="J77" s="18" t="inlineStr">
        <is>
          <t>No</t>
        </is>
      </c>
      <c r="K77" s="18" t="inlineStr">
        <is>
          <t>https://www.amazon.de/Sebamed-Reinigend-Riegel-Pers%C3%B6nliche-pers%C3%B6nliche/dp/B0057UNBWM/ref=sr_1_1?__mk_de_DE=%C3%85M%C3%85%C5%BD%C3%95%C3%91&amp;crid=NZUC905HFFHU&amp;dib=eyJ2IjoiMSJ9.ju_vfdu4pGHPkh35_G7zyQ.yCdJ6dHZlXMPo1Et7L5uqUtRTEeXCy7Lf6QsZmK_UFo&amp;dib_tag=se&amp;keywords=B0057UNBWM&amp;qid=1757406667&amp;s=beauty&amp;sprefix=b0057unbwm%2Cbeauty%2C213&amp;sr=1-1</t>
        </is>
      </c>
      <c r="L77" s="18" t="inlineStr">
        <is>
          <t>B0057UNBWM</t>
        </is>
      </c>
      <c r="M77" s="19" t="n"/>
      <c r="N77" s="19" t="n"/>
      <c r="O77" s="19" t="n">
        <v>39.9</v>
      </c>
      <c r="P77" s="19">
        <f>O77/1.19</f>
        <v/>
      </c>
      <c r="Q77" s="19">
        <f>O77-P77</f>
        <v/>
      </c>
      <c r="R77" s="19">
        <f>O77*0.15</f>
        <v/>
      </c>
      <c r="S77" s="19" t="n">
        <v>21.88</v>
      </c>
      <c r="T77" s="19">
        <f>S77*0.2</f>
        <v/>
      </c>
      <c r="U77" s="19" t="n">
        <v>0.2</v>
      </c>
      <c r="V77" s="19" t="n">
        <v>6.85</v>
      </c>
      <c r="W77" s="19">
        <f>V77*0.2</f>
        <v/>
      </c>
      <c r="X77" s="21">
        <f>O77-Q77-R77-S77-U77-V77+T77+W77</f>
        <v/>
      </c>
      <c r="Y77" s="18" t="n"/>
      <c r="Z77" s="19">
        <f>O77+1.5</f>
        <v/>
      </c>
      <c r="AA77" s="19" t="n"/>
      <c r="AB77" s="19" t="n"/>
      <c r="AC77" s="18" t="n"/>
      <c r="AD77" s="18" t="n"/>
      <c r="AE77" s="13" t="inlineStr">
        <is>
          <t>NOT_UPLOADED</t>
        </is>
      </c>
    </row>
    <row r="78" ht="16" customHeight="1">
      <c r="A78" s="12" t="n">
        <v>850039001000</v>
      </c>
      <c r="B78" s="12" t="n">
        <v>4103040111180</v>
      </c>
      <c r="C78" s="13" t="n"/>
      <c r="D78" s="14" t="n"/>
      <c r="E78" s="14" t="inlineStr">
        <is>
          <t>ORB-0850039001000</t>
        </is>
      </c>
      <c r="F78" s="12" t="n">
        <v>1100006493</v>
      </c>
      <c r="G78" s="14" t="inlineStr">
        <is>
          <t>Orbico</t>
        </is>
      </c>
      <c r="H78" s="14" t="inlineStr">
        <is>
          <t>Sebamed</t>
        </is>
      </c>
      <c r="I78" s="14" t="inlineStr">
        <is>
          <t>Sebamed Soap-Free Cleansing Bar For Sensitive Skin 3.5 Ounce Box</t>
        </is>
      </c>
      <c r="J78" s="14" t="inlineStr">
        <is>
          <t>No</t>
        </is>
      </c>
      <c r="K78" s="14" t="inlineStr">
        <is>
          <t>https://www.amazon.de/-/en/Sebamed-Soap-Free-Cleansing-Sensitive-Ounce/dp/B001O28QF4/ref=sr_1_21?dib=eyJ2IjoiMSJ9.7H00nBjTudOSw39C6BkQT7ekvhyoC1K10t95EKgsxQ6R-g4lvkK6JepFkKZisMucRQTS1kS3-Ai5rBoxGAXJkJPkwrWg4op8-RO72S7NJ2byrw_xD-Rr7ZLlCf-6-EQC90AQl_FaeTuOQ9U143hYcuk13_F7gf4O7z4cxX9E2dO67xamshQWCuCJ_VR4iIdBSJcUffwhPfjLI3du-eNihTd-XbT-HRoZ08LGy_O0eEjiKP1Q9x_QKgk36Jr_IsqlwFu19oyhPFFLQ5zWKYSCNHtaWgEaL6lFm-hUNvPLyL8.ukkibVvd2zvGLO66TEF4WjaoXAvApHeIgldxIZ2IoAY&amp;dib_tag=se&amp;keywords=sebamed+cleansing+bar&amp;qid=1757406443&amp;sr=8-21</t>
        </is>
      </c>
      <c r="L78" s="14" t="inlineStr">
        <is>
          <t>B001O28QF4</t>
        </is>
      </c>
      <c r="M78" s="15" t="n"/>
      <c r="N78" s="15" t="n"/>
      <c r="O78" s="15" t="n">
        <v>15.7</v>
      </c>
      <c r="P78" s="15">
        <f>O78/1.19</f>
        <v/>
      </c>
      <c r="Q78" s="15">
        <f>O78-P78</f>
        <v/>
      </c>
      <c r="R78" s="15">
        <f>O78*0.15</f>
        <v/>
      </c>
      <c r="S78" s="15" t="n">
        <v>3.65</v>
      </c>
      <c r="T78" s="15">
        <f>S78*0.2</f>
        <v/>
      </c>
      <c r="U78" s="15" t="n">
        <v>0.2</v>
      </c>
      <c r="V78" s="15" t="n">
        <v>2.4</v>
      </c>
      <c r="W78" s="15">
        <f>V78*0.2</f>
        <v/>
      </c>
      <c r="X78" s="21">
        <f>O78-Q78-R78-S78-U78-V78+T78+W78</f>
        <v/>
      </c>
      <c r="Y78" s="14" t="n"/>
      <c r="Z78" s="15">
        <f>O78+1.5</f>
        <v/>
      </c>
      <c r="AA78" s="15" t="n"/>
      <c r="AB78" s="15" t="n"/>
      <c r="AC78" s="14" t="n"/>
      <c r="AD78" s="14" t="n"/>
      <c r="AE78" s="13" t="inlineStr">
        <is>
          <t>NOT_UPLOADED</t>
        </is>
      </c>
    </row>
    <row r="79" ht="16" customHeight="1">
      <c r="A79" s="17" t="n">
        <v>4103040111746</v>
      </c>
      <c r="B79" s="17" t="n">
        <v>4103040111746</v>
      </c>
      <c r="C79" s="13" t="n"/>
      <c r="D79" s="18" t="n"/>
      <c r="E79" s="18" t="inlineStr">
        <is>
          <t>ORB-4103040111746</t>
        </is>
      </c>
      <c r="F79" s="17" t="n"/>
      <c r="G79" s="18" t="inlineStr">
        <is>
          <t>Orbico</t>
        </is>
      </c>
      <c r="H79" s="18" t="inlineStr">
        <is>
          <t>Sebamed</t>
        </is>
      </c>
      <c r="I79" s="18" t="inlineStr">
        <is>
          <t>SEBAMED Reinigungsseife 150 g</t>
        </is>
      </c>
      <c r="J79" s="18" t="inlineStr">
        <is>
          <t>No</t>
        </is>
      </c>
      <c r="K79" s="18" t="inlineStr">
        <is>
          <t>SEBAMED Reinigungsseife 150 g</t>
        </is>
      </c>
      <c r="L79" s="18" t="inlineStr">
        <is>
          <t>B000LNCBEO</t>
        </is>
      </c>
      <c r="M79" s="19" t="n">
        <v>10.53</v>
      </c>
      <c r="N79" s="19" t="n">
        <v>0</v>
      </c>
      <c r="O79" s="19" t="n">
        <v>11.99</v>
      </c>
      <c r="P79" s="19">
        <f>O79/1.19</f>
        <v/>
      </c>
      <c r="Q79" s="19">
        <f>O79-P79</f>
        <v/>
      </c>
      <c r="R79" s="19">
        <f>O79*0.15</f>
        <v/>
      </c>
      <c r="S79" s="19" t="n">
        <v>4.35</v>
      </c>
      <c r="T79" s="19">
        <f>S79*0.2</f>
        <v/>
      </c>
      <c r="U79" s="19" t="n">
        <v>0.2</v>
      </c>
      <c r="V79" s="19" t="n">
        <v>2.7</v>
      </c>
      <c r="W79" s="19">
        <f>V79*0.2</f>
        <v/>
      </c>
      <c r="X79" s="21">
        <f>O79-Q79-R79-S79-U79-V79+T79+W79</f>
        <v/>
      </c>
      <c r="Y79" s="18" t="n"/>
      <c r="Z79" s="19">
        <f>O79+1.5</f>
        <v/>
      </c>
      <c r="AA79" s="19" t="n"/>
      <c r="AB79" s="19" t="n"/>
      <c r="AC79" s="18" t="n"/>
      <c r="AD79" s="18" t="n"/>
      <c r="AE79" s="13" t="inlineStr">
        <is>
          <t>NOT_UPLOADED</t>
        </is>
      </c>
    </row>
    <row r="80" ht="16" customHeight="1">
      <c r="A80" s="12" t="n">
        <v>4103040901491</v>
      </c>
      <c r="B80" s="12" t="n">
        <v>4103040901491</v>
      </c>
      <c r="C80" s="13" t="n"/>
      <c r="D80" s="14" t="n"/>
      <c r="E80" s="14" t="inlineStr">
        <is>
          <t>ORB-4103040901491</t>
        </is>
      </c>
      <c r="F80" s="12" t="n"/>
      <c r="G80" s="14" t="inlineStr">
        <is>
          <t>Orbico</t>
        </is>
      </c>
      <c r="H80" s="14" t="inlineStr">
        <is>
          <t>Sebamed</t>
        </is>
      </c>
      <c r="I80" s="14" t="inlineStr">
        <is>
          <t>Sebamed Sebamed Olive Soap Face &amp; Body Wash 200ml</t>
        </is>
      </c>
      <c r="J80" s="14" t="inlineStr">
        <is>
          <t>No</t>
        </is>
      </c>
      <c r="K80" s="14" t="inlineStr">
        <is>
          <t>Sebamed Sebamed Olive Soap Face&amp;Body Wash 200ml</t>
        </is>
      </c>
      <c r="L80" s="14" t="inlineStr">
        <is>
          <t>B07L7RR2LN</t>
        </is>
      </c>
      <c r="M80" s="15" t="n">
        <v>15.4</v>
      </c>
      <c r="N80" s="15" t="n">
        <v>0</v>
      </c>
      <c r="O80" s="15" t="n">
        <v>17.09</v>
      </c>
      <c r="P80" s="15">
        <f>O80/1.19</f>
        <v/>
      </c>
      <c r="Q80" s="15">
        <f>O80-P80</f>
        <v/>
      </c>
      <c r="R80" s="15">
        <f>O80*0.15</f>
        <v/>
      </c>
      <c r="S80" s="15" t="n">
        <v>7.5</v>
      </c>
      <c r="T80" s="15">
        <f>S80*0.2</f>
        <v/>
      </c>
      <c r="U80" s="15" t="n">
        <v>0.2</v>
      </c>
      <c r="V80" s="15" t="n">
        <v>4.22</v>
      </c>
      <c r="W80" s="15">
        <f>V80*0.2</f>
        <v/>
      </c>
      <c r="X80" s="21">
        <f>O80-Q80-R80-S80-U80-V80+T80+W80</f>
        <v/>
      </c>
      <c r="Y80" s="14" t="n"/>
      <c r="Z80" s="15">
        <f>O80+1.5</f>
        <v/>
      </c>
      <c r="AA80" s="15" t="n"/>
      <c r="AB80" s="15" t="n"/>
      <c r="AC80" s="14" t="n"/>
      <c r="AD80" s="14" t="n"/>
      <c r="AE80" s="13" t="inlineStr">
        <is>
          <t>NOT_UPLOADED</t>
        </is>
      </c>
    </row>
    <row r="81" ht="16" customHeight="1">
      <c r="A81" s="17" t="n">
        <v>4103040897916</v>
      </c>
      <c r="B81" s="17" t="n">
        <v>4103040897916</v>
      </c>
      <c r="C81" s="13" t="n"/>
      <c r="D81" s="18" t="n"/>
      <c r="E81" s="18" t="inlineStr">
        <is>
          <t>ORB-4103040897916</t>
        </is>
      </c>
      <c r="F81" s="17" t="n"/>
      <c r="G81" s="18" t="inlineStr">
        <is>
          <t>Orbico</t>
        </is>
      </c>
      <c r="H81" s="18" t="inlineStr">
        <is>
          <t>Sebamed</t>
        </is>
      </c>
      <c r="I81" s="18" t="inlineStr">
        <is>
          <t>Sebamed Sebamed Shower Gel Spa 200ml</t>
        </is>
      </c>
      <c r="J81" s="18" t="inlineStr">
        <is>
          <t>No</t>
        </is>
      </c>
      <c r="K81" s="18" t="inlineStr">
        <is>
          <t>Sebamed Sebamed Shower Gel Spa 200ml</t>
        </is>
      </c>
      <c r="L81" s="18" t="inlineStr">
        <is>
          <t>B00TQGTLRW</t>
        </is>
      </c>
      <c r="M81" s="19" t="n">
        <v>15.71</v>
      </c>
      <c r="N81" s="19" t="n">
        <v>0</v>
      </c>
      <c r="O81" s="19" t="n">
        <v>16.99</v>
      </c>
      <c r="P81" s="19">
        <f>O81/1.19</f>
        <v/>
      </c>
      <c r="Q81" s="19">
        <f>O81-P81</f>
        <v/>
      </c>
      <c r="R81" s="19">
        <f>O81*0.15</f>
        <v/>
      </c>
      <c r="S81" s="19" t="n">
        <v>7.71</v>
      </c>
      <c r="T81" s="19">
        <f>S81*0.2</f>
        <v/>
      </c>
      <c r="U81" s="19" t="n">
        <v>0.2</v>
      </c>
      <c r="V81" s="19" t="n">
        <v>4.22</v>
      </c>
      <c r="W81" s="19">
        <f>V81*0.2</f>
        <v/>
      </c>
      <c r="X81" s="16">
        <f>O81-Q81-R81-S81-U81-V81+T81+W81</f>
        <v/>
      </c>
      <c r="Y81" s="18" t="n"/>
      <c r="Z81" s="19">
        <f>O81+1.5</f>
        <v/>
      </c>
      <c r="AA81" s="19" t="n"/>
      <c r="AB81" s="19" t="n"/>
      <c r="AC81" s="18" t="n"/>
      <c r="AD81" s="18" t="n"/>
      <c r="AE81" s="13" t="inlineStr">
        <is>
          <t>NOT_UPLOADED</t>
        </is>
      </c>
    </row>
    <row r="82" ht="16" customHeight="1">
      <c r="A82" s="12" t="n">
        <v>4103040107312</v>
      </c>
      <c r="B82" s="12" t="n">
        <v>4103040107312</v>
      </c>
      <c r="C82" s="13" t="n"/>
      <c r="D82" s="14" t="n"/>
      <c r="E82" s="14" t="inlineStr">
        <is>
          <t>ORB-4103040107312</t>
        </is>
      </c>
      <c r="F82" s="12" t="n"/>
      <c r="G82" s="14" t="inlineStr">
        <is>
          <t>Orbico</t>
        </is>
      </c>
      <c r="H82" s="14" t="inlineStr">
        <is>
          <t>Sebamed</t>
        </is>
      </c>
      <c r="I82" s="14" t="inlineStr">
        <is>
          <t>Sebamed Sebamed Shower Gel Fresh 200ml</t>
        </is>
      </c>
      <c r="J82" s="14" t="inlineStr">
        <is>
          <t>No</t>
        </is>
      </c>
      <c r="K82" s="14" t="inlineStr">
        <is>
          <t>Sebamed Sebamed Shower Gel Fresh 200ml</t>
        </is>
      </c>
      <c r="L82" s="14" t="inlineStr">
        <is>
          <t>B0015X79I2</t>
        </is>
      </c>
      <c r="M82" s="15" t="n">
        <v>16.13</v>
      </c>
      <c r="N82" s="15" t="n">
        <v>0</v>
      </c>
      <c r="O82" s="15" t="n">
        <v>17.2</v>
      </c>
      <c r="P82" s="15">
        <f>O82/1.19</f>
        <v/>
      </c>
      <c r="Q82" s="15">
        <f>O82-P82</f>
        <v/>
      </c>
      <c r="R82" s="15">
        <f>O82*0.15</f>
        <v/>
      </c>
      <c r="S82" s="15" t="n">
        <v>7.49</v>
      </c>
      <c r="T82" s="15">
        <f>S82*0.2</f>
        <v/>
      </c>
      <c r="U82" s="15" t="n">
        <v>0.2</v>
      </c>
      <c r="V82" s="15" t="n">
        <v>3.64</v>
      </c>
      <c r="W82" s="15">
        <f>V82*0.2</f>
        <v/>
      </c>
      <c r="X82" s="21">
        <f>O82-Q82-R82-S82-U82-V82+T82+W82</f>
        <v/>
      </c>
      <c r="Y82" s="14" t="n"/>
      <c r="Z82" s="15">
        <f>O82+1.5</f>
        <v/>
      </c>
      <c r="AA82" s="15" t="n"/>
      <c r="AB82" s="15" t="n"/>
      <c r="AC82" s="14" t="n"/>
      <c r="AD82" s="14" t="n"/>
      <c r="AE82" s="13" t="inlineStr">
        <is>
          <t>NOT_UPLOADED</t>
        </is>
      </c>
    </row>
    <row r="83" ht="16" customHeight="1">
      <c r="A83" s="17" t="n">
        <v>4103040900951</v>
      </c>
      <c r="B83" s="17" t="n">
        <v>4103040900951</v>
      </c>
      <c r="C83" s="13" t="n"/>
      <c r="D83" s="18" t="n"/>
      <c r="E83" s="18" t="inlineStr">
        <is>
          <t>ORB-4103040900951</t>
        </is>
      </c>
      <c r="F83" s="17" t="n"/>
      <c r="G83" s="18" t="inlineStr">
        <is>
          <t>Orbico</t>
        </is>
      </c>
      <c r="H83" s="18" t="inlineStr">
        <is>
          <t>Sebamed</t>
        </is>
      </c>
      <c r="I83" s="18" t="inlineStr">
        <is>
          <t>Sebamed Sebamed Scalp Activating Shampoo</t>
        </is>
      </c>
      <c r="J83" s="18" t="inlineStr">
        <is>
          <t>No</t>
        </is>
      </c>
      <c r="K83" s="18" t="inlineStr">
        <is>
          <t>Sebamed Sebamed Scalp Activating Shampoo</t>
        </is>
      </c>
      <c r="L83" s="18" t="inlineStr">
        <is>
          <t>B003S3I0GM</t>
        </is>
      </c>
      <c r="M83" s="19" t="n">
        <v>19.04</v>
      </c>
      <c r="N83" s="19" t="n">
        <v>0</v>
      </c>
      <c r="O83" s="19" t="n">
        <v>19.8</v>
      </c>
      <c r="P83" s="19">
        <f>O83/1.19</f>
        <v/>
      </c>
      <c r="Q83" s="19">
        <f>O83-P83</f>
        <v/>
      </c>
      <c r="R83" s="19">
        <f>O83*0.15</f>
        <v/>
      </c>
      <c r="S83" s="19" t="n">
        <v>10</v>
      </c>
      <c r="T83" s="19">
        <f>S83*0.2</f>
        <v/>
      </c>
      <c r="U83" s="19" t="n">
        <v>0.2</v>
      </c>
      <c r="V83" s="19" t="n">
        <v>4.22</v>
      </c>
      <c r="W83" s="19">
        <f>V83*0.2</f>
        <v/>
      </c>
      <c r="X83" s="21">
        <f>O83-Q83-R83-S83-U83-V83+T83+W83</f>
        <v/>
      </c>
      <c r="Y83" s="18" t="n"/>
      <c r="Z83" s="19">
        <f>O83+1.5</f>
        <v/>
      </c>
      <c r="AA83" s="19" t="n"/>
      <c r="AB83" s="19" t="n"/>
      <c r="AC83" s="18" t="n"/>
      <c r="AD83" s="18" t="n"/>
      <c r="AE83" s="13" t="inlineStr">
        <is>
          <t>NOT_UPLOADED</t>
        </is>
      </c>
    </row>
    <row r="84" ht="16" customHeight="1">
      <c r="A84" s="12" t="n">
        <v>4103040018137</v>
      </c>
      <c r="B84" s="12" t="n">
        <v>4103040018137</v>
      </c>
      <c r="C84" s="13" t="n"/>
      <c r="D84" s="14" t="n"/>
      <c r="E84" s="14" t="inlineStr">
        <is>
          <t>ORB-4103040018137</t>
        </is>
      </c>
      <c r="F84" s="12" t="n">
        <v>1100006518</v>
      </c>
      <c r="G84" s="14" t="inlineStr">
        <is>
          <t>Orbico</t>
        </is>
      </c>
      <c r="H84" s="14" t="inlineStr">
        <is>
          <t>Sebamed</t>
        </is>
      </c>
      <c r="I84" s="14" t="inlineStr">
        <is>
          <t>SEBAMED LIP DEFENSE CEREZA STICK 4.8 GR. SPF 30</t>
        </is>
      </c>
      <c r="J84" s="14" t="inlineStr">
        <is>
          <t>No</t>
        </is>
      </c>
      <c r="K84" s="14" t="inlineStr">
        <is>
          <t>SEBAMED LIP DEFENSE CEREZA STICK 4.8 GR. SPF 30</t>
        </is>
      </c>
      <c r="L84" s="14" t="inlineStr">
        <is>
          <t>B07S3MT9BX</t>
        </is>
      </c>
      <c r="M84" s="15" t="n">
        <v>8.699999999999999</v>
      </c>
      <c r="N84" s="15" t="n">
        <v>0</v>
      </c>
      <c r="O84" s="15" t="n">
        <v>8.4</v>
      </c>
      <c r="P84" s="15">
        <f>O84/1.19</f>
        <v/>
      </c>
      <c r="Q84" s="15">
        <f>O84-P84</f>
        <v/>
      </c>
      <c r="R84" s="15">
        <f>O84*0.15</f>
        <v/>
      </c>
      <c r="S84" s="15" t="n">
        <v>3.07</v>
      </c>
      <c r="T84" s="15">
        <f>S84*0.2</f>
        <v/>
      </c>
      <c r="U84" s="15" t="n">
        <v>0.4</v>
      </c>
      <c r="V84" s="15" t="n">
        <v>1.84</v>
      </c>
      <c r="W84" s="15">
        <f>V84*0.2</f>
        <v/>
      </c>
      <c r="X84" s="16">
        <f>O84-Q84-R84-S84-U84-V84+T84+W84</f>
        <v/>
      </c>
      <c r="Y84" s="14" t="n"/>
      <c r="Z84" s="15">
        <f>O84+1.5</f>
        <v/>
      </c>
      <c r="AA84" s="15" t="n"/>
      <c r="AB84" s="15" t="n"/>
      <c r="AC84" s="14" t="n"/>
      <c r="AD84" s="14" t="n"/>
      <c r="AE84" s="13" t="inlineStr">
        <is>
          <t>NOT_UPLOADED</t>
        </is>
      </c>
    </row>
    <row r="85" ht="16" customHeight="1">
      <c r="A85" s="17" t="n">
        <v>4103040018113</v>
      </c>
      <c r="B85" s="17" t="n">
        <v>4103040018113</v>
      </c>
      <c r="C85" s="13" t="n"/>
      <c r="D85" s="18" t="n"/>
      <c r="E85" s="18" t="inlineStr">
        <is>
          <t>ORB-4103040018113</t>
        </is>
      </c>
      <c r="F85" s="17" t="n">
        <v>1100006517</v>
      </c>
      <c r="G85" s="18" t="inlineStr">
        <is>
          <t>Orbico</t>
        </is>
      </c>
      <c r="H85" s="18" t="inlineStr">
        <is>
          <t>Sebamed</t>
        </is>
      </c>
      <c r="I85" s="18" t="inlineStr">
        <is>
          <t>SEBAMED LIP DEFENSE FRESA STICK 4.8 GR. SPF 30</t>
        </is>
      </c>
      <c r="J85" s="18" t="inlineStr">
        <is>
          <t>No</t>
        </is>
      </c>
      <c r="K85" s="18" t="inlineStr">
        <is>
          <t>SEBAMED LIP DEFENSE FRESA STICK 4.8 GR. SPF 30</t>
        </is>
      </c>
      <c r="L85" s="18" t="inlineStr">
        <is>
          <t>B07S1H87QS</t>
        </is>
      </c>
      <c r="M85" s="19" t="n">
        <v>9</v>
      </c>
      <c r="N85" s="19" t="n">
        <v>0</v>
      </c>
      <c r="O85" s="19" t="n">
        <v>8.300000000000001</v>
      </c>
      <c r="P85" s="19">
        <f>O85/1.19</f>
        <v/>
      </c>
      <c r="Q85" s="19">
        <f>O85-P85</f>
        <v/>
      </c>
      <c r="R85" s="19">
        <f>O85*0.15</f>
        <v/>
      </c>
      <c r="S85" s="19" t="n">
        <v>3.01</v>
      </c>
      <c r="T85" s="19">
        <f>S85*0.2</f>
        <v/>
      </c>
      <c r="U85" s="19" t="n">
        <v>0.4</v>
      </c>
      <c r="V85" s="19" t="n">
        <v>1.96</v>
      </c>
      <c r="W85" s="19">
        <f>V85*0.2</f>
        <v/>
      </c>
      <c r="X85" s="16">
        <f>O85-Q85-R85-S85-U85-V85+T85+W85</f>
        <v/>
      </c>
      <c r="Y85" s="18" t="n"/>
      <c r="Z85" s="19">
        <f>O85+1.5</f>
        <v/>
      </c>
      <c r="AA85" s="19" t="n"/>
      <c r="AB85" s="19" t="n"/>
      <c r="AC85" s="18" t="n"/>
      <c r="AD85" s="18" t="n"/>
      <c r="AE85" s="13" t="inlineStr">
        <is>
          <t>NOT_UPLOADED</t>
        </is>
      </c>
    </row>
    <row r="86" ht="16" customHeight="1">
      <c r="A86" s="12" t="n">
        <v>4103040126481</v>
      </c>
      <c r="B86" s="12" t="n">
        <v>4103040126481</v>
      </c>
      <c r="C86" s="13" t="n"/>
      <c r="D86" s="14" t="n"/>
      <c r="E86" s="14" t="inlineStr">
        <is>
          <t>ORB-4103040126481</t>
        </is>
      </c>
      <c r="F86" s="12" t="n">
        <v>1100006516</v>
      </c>
      <c r="G86" s="14" t="inlineStr">
        <is>
          <t>Orbico</t>
        </is>
      </c>
      <c r="H86" s="14" t="inlineStr">
        <is>
          <t>Sebamed</t>
        </is>
      </c>
      <c r="I86" s="14" t="inlineStr">
        <is>
          <t>Sebamed Classic Range Sebamed Lip Defense LSF 30, 4,8 g</t>
        </is>
      </c>
      <c r="J86" s="14" t="inlineStr">
        <is>
          <t>No</t>
        </is>
      </c>
      <c r="K86" s="14" t="inlineStr">
        <is>
          <t>Sebamed Classic Range Sebamed Lip Defense LSF 30, 4,8 g</t>
        </is>
      </c>
      <c r="L86" s="14" t="inlineStr">
        <is>
          <t>B00YEC6NZ6</t>
        </is>
      </c>
      <c r="M86" s="15" t="n">
        <v>9.640000000000001</v>
      </c>
      <c r="N86" s="15" t="n">
        <v>0</v>
      </c>
      <c r="O86" s="15" t="n">
        <v>8.199999999999999</v>
      </c>
      <c r="P86" s="15">
        <f>O86/1.19</f>
        <v/>
      </c>
      <c r="Q86" s="15">
        <f>O86-P86</f>
        <v/>
      </c>
      <c r="R86" s="15">
        <f>O86*0.15</f>
        <v/>
      </c>
      <c r="S86" s="15" t="n">
        <v>2.92</v>
      </c>
      <c r="T86" s="15">
        <f>S86*0.2</f>
        <v/>
      </c>
      <c r="U86" s="15" t="n">
        <v>0.4</v>
      </c>
      <c r="V86" s="15" t="n">
        <v>1.84</v>
      </c>
      <c r="W86" s="15">
        <f>V86*0.2</f>
        <v/>
      </c>
      <c r="X86" s="16">
        <f>O86-Q86-R86-S86-U86-V86+T86+W86</f>
        <v/>
      </c>
      <c r="Y86" s="14" t="n"/>
      <c r="Z86" s="15">
        <f>O86+1.5</f>
        <v/>
      </c>
      <c r="AA86" s="15" t="n"/>
      <c r="AB86" s="15" t="n"/>
      <c r="AC86" s="14" t="n"/>
      <c r="AD86" s="14" t="n"/>
      <c r="AE86" s="13" t="inlineStr">
        <is>
          <t>NOT_UPLOADED</t>
        </is>
      </c>
    </row>
    <row r="87" ht="16" customHeight="1">
      <c r="A87" s="17" t="n">
        <v>4103040001481</v>
      </c>
      <c r="B87" s="17" t="n">
        <v>4103040126481</v>
      </c>
      <c r="C87" s="13" t="n"/>
      <c r="D87" s="18" t="n"/>
      <c r="E87" s="18" t="inlineStr">
        <is>
          <t>ORB-4103040001481</t>
        </is>
      </c>
      <c r="F87" s="17" t="n">
        <v>1100006516</v>
      </c>
      <c r="G87" s="18" t="inlineStr">
        <is>
          <t>Orbico</t>
        </is>
      </c>
      <c r="H87" s="18" t="inlineStr">
        <is>
          <t>Sebamed</t>
        </is>
      </c>
      <c r="I87" s="18" t="inlineStr">
        <is>
          <t>Sebamed Lippenpflegestift „Schützende Lipppenpflege“ mit LSF 30, 4,8 g</t>
        </is>
      </c>
      <c r="J87" s="18" t="inlineStr">
        <is>
          <t>No</t>
        </is>
      </c>
      <c r="K87" s="18" t="inlineStr">
        <is>
          <t>https://www.amazon.de/Sebamed-Lippenpflegestift-Sch%C3%BCtzende-Lipppenpflege-mit/dp/B00FZVAFKY/ref=sr_1_1?__mk_de_DE=%C3%85M%C3%85%C5%BD%C3%95%C3%91&amp;crid=6QZ945SYOU2V&amp;dib=eyJ2IjoiMSJ9.JHYOB2YgKxWfYpgV5KIZHg.NXzkuXY1vCPKyk0sTULJmBlP0yBxCwWYmUnL7qu0JNQ&amp;dib_tag=se&amp;keywords=B00FZVAFKY&amp;qid=1757528991&amp;s=luxury-beauty&amp;sprefix=b00fzvafky%2Cluxury-beauty%2C140&amp;sr=1-1</t>
        </is>
      </c>
      <c r="L87" s="18" t="inlineStr">
        <is>
          <t>B00FZVAFKY</t>
        </is>
      </c>
      <c r="M87" s="19" t="n"/>
      <c r="N87" s="19" t="n"/>
      <c r="O87" s="19" t="n">
        <v>7.85</v>
      </c>
      <c r="P87" s="19">
        <f>O87/1.19</f>
        <v/>
      </c>
      <c r="Q87" s="19">
        <f>O87-P87</f>
        <v/>
      </c>
      <c r="R87" s="19">
        <f>O87*0.15</f>
        <v/>
      </c>
      <c r="S87" s="19" t="n">
        <v>2.92</v>
      </c>
      <c r="T87" s="19">
        <f>S87*0.2</f>
        <v/>
      </c>
      <c r="U87" s="19" t="n">
        <v>0.4</v>
      </c>
      <c r="V87" s="19" t="n">
        <v>1.84</v>
      </c>
      <c r="W87" s="19">
        <f>V87*0.2</f>
        <v/>
      </c>
      <c r="X87" s="16">
        <f>O87-Q87-R87-S87-U87-V87+T87+W87</f>
        <v/>
      </c>
      <c r="Y87" s="18" t="n"/>
      <c r="Z87" s="19">
        <f>O87+1.5</f>
        <v/>
      </c>
      <c r="AA87" s="19" t="n"/>
      <c r="AB87" s="19" t="n"/>
      <c r="AC87" s="18" t="n"/>
      <c r="AD87" s="18" t="n"/>
      <c r="AE87" s="13" t="inlineStr">
        <is>
          <t>NOT_UPLOADED</t>
        </is>
      </c>
    </row>
    <row r="88" ht="16" customHeight="1">
      <c r="A88" s="12" t="n">
        <v>4103040001481</v>
      </c>
      <c r="B88" s="12" t="n">
        <v>4103040126481</v>
      </c>
      <c r="C88" s="20" t="inlineStr">
        <is>
          <t>PACK X 3</t>
        </is>
      </c>
      <c r="D88" s="14" t="n"/>
      <c r="E88" s="14" t="inlineStr">
        <is>
          <t>ORB-41030400014813</t>
        </is>
      </c>
      <c r="F88" s="12" t="n">
        <v>1100006516</v>
      </c>
      <c r="G88" s="14" t="inlineStr">
        <is>
          <t>Orbico</t>
        </is>
      </c>
      <c r="H88" s="14" t="inlineStr">
        <is>
          <t>Sebamed</t>
        </is>
      </c>
      <c r="I88" s="14" t="inlineStr">
        <is>
          <t>3 Sebamed Stick Lippen Lip Defense SPF 30 4,8 g</t>
        </is>
      </c>
      <c r="J88" s="14" t="inlineStr">
        <is>
          <t>No</t>
        </is>
      </c>
      <c r="K88" s="14" t="inlineStr">
        <is>
          <t>https://www.amazon.de/Sebamed-Stick-Lippen-Lip-Defense/dp/B0765B4MRF/ref=sr_1_1?__mk_de_DE=%C3%85M%C3%85%C5%BD%C3%95%C3%91&amp;crid=3179TG6L7QB9N&amp;dib=eyJ2IjoiMSJ9.2-W8sqfvKVxZgISf50V0gw.g7yDrjEllE66JKy4cfWgXI0ZzRtlvdsZE-J_qdqjiyg&amp;dib_tag=se&amp;keywords=B0765B4MRF&amp;qid=1757529953&amp;s=luxury-beauty&amp;sprefix=b0765b4mrf%2Cluxury-beauty%2C155&amp;sr=1-1</t>
        </is>
      </c>
      <c r="L88" s="14" t="inlineStr">
        <is>
          <t>B0765B4MRF</t>
        </is>
      </c>
      <c r="M88" s="15" t="n">
        <v>18.86</v>
      </c>
      <c r="N88" s="15" t="n"/>
      <c r="O88" s="15" t="n">
        <v>18.75</v>
      </c>
      <c r="P88" s="15">
        <f>O88/1.19</f>
        <v/>
      </c>
      <c r="Q88" s="15">
        <f>O88-P88</f>
        <v/>
      </c>
      <c r="R88" s="15">
        <f>O88*0.15</f>
        <v/>
      </c>
      <c r="S88" s="15" t="n">
        <v>9</v>
      </c>
      <c r="T88" s="15">
        <f>S88*0.2</f>
        <v/>
      </c>
      <c r="U88" s="15" t="n">
        <v>0.4</v>
      </c>
      <c r="V88" s="15" t="n">
        <v>2.2</v>
      </c>
      <c r="W88" s="15">
        <f>V88*0.2</f>
        <v/>
      </c>
      <c r="X88" s="21">
        <f>O88-Q88-R88-S88-U88-V88+T88+W88</f>
        <v/>
      </c>
      <c r="Y88" s="14" t="n"/>
      <c r="Z88" s="15">
        <f>O88+1.5</f>
        <v/>
      </c>
      <c r="AA88" s="15" t="n"/>
      <c r="AB88" s="15" t="n"/>
      <c r="AC88" s="14" t="n"/>
      <c r="AD88" s="14" t="n"/>
      <c r="AE88" s="13" t="inlineStr">
        <is>
          <t>NOT_UPLOADED</t>
        </is>
      </c>
    </row>
    <row r="89" ht="16" customHeight="1">
      <c r="A89" s="17" t="n">
        <v>4103040001481</v>
      </c>
      <c r="B89" s="17" t="n">
        <v>4103040126481</v>
      </c>
      <c r="C89" s="20" t="inlineStr">
        <is>
          <t>PACK X 6</t>
        </is>
      </c>
      <c r="D89" s="18" t="n"/>
      <c r="E89" s="18" t="inlineStr">
        <is>
          <t>ORB-41030400014816</t>
        </is>
      </c>
      <c r="F89" s="17" t="n">
        <v>1100006516</v>
      </c>
      <c r="G89" s="18" t="inlineStr">
        <is>
          <t>Orbico</t>
        </is>
      </c>
      <c r="H89" s="18" t="inlineStr">
        <is>
          <t>Sebamed</t>
        </is>
      </c>
      <c r="I89" s="18" t="inlineStr">
        <is>
          <t>6 Sebamed Stick Lippen Lip Defense SPF 30 4,8 g</t>
        </is>
      </c>
      <c r="J89" s="18" t="inlineStr">
        <is>
          <t>No</t>
        </is>
      </c>
      <c r="K89" s="18" t="inlineStr">
        <is>
          <t>https://www.amazon.de/Sebamed-Stick-Lippen-Lip-Defense/dp/B0765D7LKX/ref=sr_1_1?__mk_de_DE=%C3%85M%C3%85%C5%BD%C3%95%C3%91&amp;crid=VS85SK97764T&amp;dib=eyJ2IjoiMSJ9.TxMOnnkiFj3ButLBj1zE2w.wjJQgDDgd9-GLpKx2_vr1amQjSppTIl-MBUDUyBwNSw&amp;dib_tag=se&amp;keywords=B0765D7LKX&amp;qid=1757530396&amp;s=luxury-beauty&amp;sprefix=b0765d7lkx%2Cluxury-beauty%2C174&amp;sr=1-1</t>
        </is>
      </c>
      <c r="L89" s="18" t="inlineStr">
        <is>
          <t>B0765D7LKX</t>
        </is>
      </c>
      <c r="M89" s="19" t="n">
        <v>29.26</v>
      </c>
      <c r="N89" s="19" t="n"/>
      <c r="O89" s="19" t="n">
        <v>33.3</v>
      </c>
      <c r="P89" s="19">
        <f>O89/1.19</f>
        <v/>
      </c>
      <c r="Q89" s="19">
        <f>O89-P89</f>
        <v/>
      </c>
      <c r="R89" s="19">
        <f>O89*0.15</f>
        <v/>
      </c>
      <c r="S89" s="19" t="n">
        <v>18</v>
      </c>
      <c r="T89" s="19">
        <f>S89*0.2</f>
        <v/>
      </c>
      <c r="U89" s="19" t="n">
        <v>0.4</v>
      </c>
      <c r="V89" s="19" t="n">
        <v>3</v>
      </c>
      <c r="W89" s="19">
        <f>V89*0.2</f>
        <v/>
      </c>
      <c r="X89" s="21">
        <f>O89-Q89-R89-S89-U89-V89+T89+W89</f>
        <v/>
      </c>
      <c r="Y89" s="18" t="n"/>
      <c r="Z89" s="19">
        <f>O89+1.5</f>
        <v/>
      </c>
      <c r="AA89" s="19" t="n"/>
      <c r="AB89" s="19" t="n"/>
      <c r="AC89" s="18" t="n"/>
      <c r="AD89" s="18" t="n"/>
      <c r="AE89" s="13" t="inlineStr">
        <is>
          <t>NOT_UPLOADED</t>
        </is>
      </c>
    </row>
    <row r="90" ht="16" customHeight="1">
      <c r="A90" s="12" t="n">
        <v>4103040018670</v>
      </c>
      <c r="B90" s="12" t="n">
        <v>4103040018670</v>
      </c>
      <c r="C90" s="13" t="n"/>
      <c r="D90" s="14" t="n"/>
      <c r="E90" s="14" t="inlineStr">
        <is>
          <t>ORB-4103040018670</t>
        </is>
      </c>
      <c r="F90" s="12" t="n"/>
      <c r="G90" s="14" t="inlineStr">
        <is>
          <t>Orbico</t>
        </is>
      </c>
      <c r="H90" s="14" t="inlineStr">
        <is>
          <t>Sebamed</t>
        </is>
      </c>
      <c r="I90" s="14" t="inlineStr">
        <is>
          <t>Sebamed Clear Face Care Gel by Kodiake</t>
        </is>
      </c>
      <c r="J90" s="14" t="inlineStr">
        <is>
          <t>No</t>
        </is>
      </c>
      <c r="K90" s="14" t="inlineStr">
        <is>
          <t>Sebamed Clear Face Care Gel by Kodiake</t>
        </is>
      </c>
      <c r="L90" s="14" t="inlineStr">
        <is>
          <t>B01AE1ZW20</t>
        </is>
      </c>
      <c r="M90" s="15" t="n">
        <v>0</v>
      </c>
      <c r="N90" s="15" t="n">
        <v>0</v>
      </c>
      <c r="O90" s="15" t="n">
        <v>13.99</v>
      </c>
      <c r="P90" s="15">
        <f>O90/1.19</f>
        <v/>
      </c>
      <c r="Q90" s="15">
        <f>O90-P90</f>
        <v/>
      </c>
      <c r="R90" s="15">
        <f>O90*0.15</f>
        <v/>
      </c>
      <c r="S90" s="15" t="n">
        <v>5</v>
      </c>
      <c r="T90" s="15">
        <f>S90*0.2</f>
        <v/>
      </c>
      <c r="U90" s="15" t="n">
        <v>0.2</v>
      </c>
      <c r="V90" s="15" t="n">
        <v>4.22</v>
      </c>
      <c r="W90" s="15">
        <f>V90*0.2</f>
        <v/>
      </c>
      <c r="X90" s="21">
        <f>O90-Q90-R90-S90-U90-V90+T90+W90</f>
        <v/>
      </c>
      <c r="Y90" s="14" t="n"/>
      <c r="Z90" s="15">
        <f>O90+1.5</f>
        <v/>
      </c>
      <c r="AA90" s="15" t="n"/>
      <c r="AB90" s="15" t="n"/>
      <c r="AC90" s="14" t="n"/>
      <c r="AD90" s="14" t="n"/>
      <c r="AE90" s="13" t="inlineStr">
        <is>
          <t>NOT_UPLOADED</t>
        </is>
      </c>
    </row>
    <row r="91" ht="16" customHeight="1">
      <c r="A91" s="17" t="n">
        <v>4103040906021</v>
      </c>
      <c r="B91" s="17" t="n">
        <v>4103040906021</v>
      </c>
      <c r="C91" s="13" t="n"/>
      <c r="D91" s="18" t="n"/>
      <c r="E91" s="18" t="inlineStr">
        <is>
          <t>ORB-4103040906021</t>
        </is>
      </c>
      <c r="F91" s="17" t="n"/>
      <c r="G91" s="18" t="inlineStr">
        <is>
          <t>Orbico</t>
        </is>
      </c>
      <c r="H91" s="18" t="inlineStr">
        <is>
          <t>Sebamed</t>
        </is>
      </c>
      <c r="I91" s="18" t="inlineStr">
        <is>
          <t>Sebamed Heil- und Schutzsalbe - 50 ml</t>
        </is>
      </c>
      <c r="J91" s="18" t="inlineStr">
        <is>
          <t>No</t>
        </is>
      </c>
      <c r="K91" s="18" t="inlineStr">
        <is>
          <t>Sebamed Heil- und Schutzsalbe - 50 ml</t>
        </is>
      </c>
      <c r="L91" s="18" t="inlineStr">
        <is>
          <t>B00UZ90PLU</t>
        </is>
      </c>
      <c r="M91" s="19" t="n">
        <v>17.31</v>
      </c>
      <c r="N91" s="19" t="n">
        <v>0</v>
      </c>
      <c r="O91" s="19" t="n">
        <v>14.2</v>
      </c>
      <c r="P91" s="19">
        <f>O91/1.19</f>
        <v/>
      </c>
      <c r="Q91" s="19">
        <f>O91-P91</f>
        <v/>
      </c>
      <c r="R91" s="19">
        <f>O91*0.15</f>
        <v/>
      </c>
      <c r="S91" s="19" t="n">
        <v>9</v>
      </c>
      <c r="T91" s="19">
        <f>S91*0.2</f>
        <v/>
      </c>
      <c r="U91" s="19" t="n">
        <v>0.4</v>
      </c>
      <c r="V91" s="19" t="n">
        <v>2.26</v>
      </c>
      <c r="W91" s="19">
        <f>V91*0.2</f>
        <v/>
      </c>
      <c r="X91" s="22">
        <f>O91-Q91-R91-S91-U91-V91+T91+W91</f>
        <v/>
      </c>
      <c r="Y91" s="18" t="n"/>
      <c r="Z91" s="19">
        <f>O91+1.5</f>
        <v/>
      </c>
      <c r="AA91" s="19" t="n"/>
      <c r="AB91" s="19" t="n"/>
      <c r="AC91" s="18" t="n"/>
      <c r="AD91" s="18" t="n"/>
      <c r="AE91" s="13" t="inlineStr">
        <is>
          <t>NOT_UPLOADED</t>
        </is>
      </c>
    </row>
    <row r="92" ht="16" customHeight="1">
      <c r="A92" s="12" t="n">
        <v>4103040110855</v>
      </c>
      <c r="B92" s="12" t="n">
        <v>4103040110855</v>
      </c>
      <c r="C92" s="13" t="n"/>
      <c r="D92" s="14" t="n"/>
      <c r="E92" s="14" t="inlineStr">
        <is>
          <t>ORB-4103040110855</t>
        </is>
      </c>
      <c r="F92" s="12" t="n"/>
      <c r="G92" s="14" t="inlineStr">
        <is>
          <t>Orbico</t>
        </is>
      </c>
      <c r="H92" s="14" t="inlineStr">
        <is>
          <t>Sebamed</t>
        </is>
      </c>
      <c r="I92" s="14" t="inlineStr">
        <is>
          <t>Sebamed Moisturizing cream 50 ml</t>
        </is>
      </c>
      <c r="J92" s="14" t="inlineStr">
        <is>
          <t>No</t>
        </is>
      </c>
      <c r="K92" s="14" t="inlineStr">
        <is>
          <t>Sebamed Moisturizing cream 50 ml</t>
        </is>
      </c>
      <c r="L92" s="14" t="inlineStr">
        <is>
          <t>B01MS4QAB6</t>
        </is>
      </c>
      <c r="M92" s="15" t="n">
        <v>14.99</v>
      </c>
      <c r="N92" s="15" t="n">
        <v>0</v>
      </c>
      <c r="O92" s="15" t="n">
        <v>17.79</v>
      </c>
      <c r="P92" s="15">
        <f>O92/1.19</f>
        <v/>
      </c>
      <c r="Q92" s="15">
        <f>O92-P92</f>
        <v/>
      </c>
      <c r="R92" s="15">
        <f>O92*0.15</f>
        <v/>
      </c>
      <c r="S92" s="15" t="n">
        <v>5.76</v>
      </c>
      <c r="T92" s="15">
        <f>S92*0.2</f>
        <v/>
      </c>
      <c r="U92" s="15" t="n">
        <v>0.4</v>
      </c>
      <c r="V92" s="15" t="n">
        <v>2.24</v>
      </c>
      <c r="W92" s="15">
        <f>V92*0.2</f>
        <v/>
      </c>
      <c r="X92" s="21">
        <f>O92-Q92-R92-S92-U92-V92+T92+W92</f>
        <v/>
      </c>
      <c r="Y92" s="14" t="n"/>
      <c r="Z92" s="15">
        <f>O92+1.5</f>
        <v/>
      </c>
      <c r="AA92" s="15" t="n"/>
      <c r="AB92" s="15" t="n"/>
      <c r="AC92" s="14" t="n"/>
      <c r="AD92" s="14" t="n"/>
      <c r="AE92" s="13" t="inlineStr">
        <is>
          <t>NOT_UPLOADED</t>
        </is>
      </c>
    </row>
    <row r="93" ht="16" customHeight="1">
      <c r="A93" s="17" t="n">
        <v>4103040186430</v>
      </c>
      <c r="B93" s="17" t="n">
        <v>4103040186430</v>
      </c>
      <c r="C93" s="13" t="n"/>
      <c r="D93" s="18" t="n"/>
      <c r="E93" s="18" t="inlineStr">
        <is>
          <t>ORB-4103040186430</t>
        </is>
      </c>
      <c r="F93" s="17" t="n"/>
      <c r="G93" s="18" t="inlineStr">
        <is>
          <t>Orbico</t>
        </is>
      </c>
      <c r="H93" s="18" t="inlineStr">
        <is>
          <t>Sebamed</t>
        </is>
      </c>
      <c r="I93" s="18" t="inlineStr">
        <is>
          <t>Sebamed Sebamed Men After Shave Balm 100ml</t>
        </is>
      </c>
      <c r="J93" s="18" t="inlineStr">
        <is>
          <t>No</t>
        </is>
      </c>
      <c r="K93" s="18" t="inlineStr">
        <is>
          <t>Sebamed Sebamed Men After Shave Balm 100ml</t>
        </is>
      </c>
      <c r="L93" s="18" t="inlineStr">
        <is>
          <t>B00E267HPY</t>
        </is>
      </c>
      <c r="M93" s="19" t="n">
        <v>14.97</v>
      </c>
      <c r="N93" s="19" t="n">
        <v>0</v>
      </c>
      <c r="O93" s="19" t="n">
        <v>14.97</v>
      </c>
      <c r="P93" s="19">
        <f>O93/1.19</f>
        <v/>
      </c>
      <c r="Q93" s="19">
        <f>O93-P93</f>
        <v/>
      </c>
      <c r="R93" s="19">
        <f>O93*0.15</f>
        <v/>
      </c>
      <c r="S93" s="19" t="n">
        <v>7.39</v>
      </c>
      <c r="T93" s="19">
        <f>S93*0.2</f>
        <v/>
      </c>
      <c r="U93" s="19" t="n">
        <v>0.2</v>
      </c>
      <c r="V93" s="19" t="n">
        <v>2.65</v>
      </c>
      <c r="W93" s="19">
        <f>V93*0.2</f>
        <v/>
      </c>
      <c r="X93" s="21">
        <f>O93-Q93-R93-S93-U93-V93+T93+W93</f>
        <v/>
      </c>
      <c r="Y93" s="18" t="n"/>
      <c r="Z93" s="19">
        <f>O93+1.5</f>
        <v/>
      </c>
      <c r="AA93" s="19" t="n"/>
      <c r="AB93" s="19" t="n"/>
      <c r="AC93" s="18" t="n"/>
      <c r="AD93" s="18" t="n"/>
      <c r="AE93" s="13" t="inlineStr">
        <is>
          <t>NOT_UPLOADED</t>
        </is>
      </c>
    </row>
    <row r="94" ht="16" customHeight="1">
      <c r="A94" s="12" t="n">
        <v>4103040123206</v>
      </c>
      <c r="B94" s="12" t="n">
        <v>4103040123206</v>
      </c>
      <c r="C94" s="13" t="n"/>
      <c r="D94" s="14" t="n"/>
      <c r="E94" s="14" t="inlineStr">
        <is>
          <t>ORB-4103040123206</t>
        </is>
      </c>
      <c r="F94" s="12" t="n"/>
      <c r="G94" s="14" t="inlineStr">
        <is>
          <t>Orbico</t>
        </is>
      </c>
      <c r="H94" s="14" t="inlineStr">
        <is>
          <t>Sebamed</t>
        </is>
      </c>
      <c r="I94" s="14" t="inlineStr">
        <is>
          <t>Seba Med Crema Manos Uñas 75Ml</t>
        </is>
      </c>
      <c r="J94" s="14" t="inlineStr">
        <is>
          <t>No</t>
        </is>
      </c>
      <c r="K94" s="14" t="inlineStr">
        <is>
          <t>Seba Med Crema Manos Uñas 75Ml</t>
        </is>
      </c>
      <c r="L94" s="14" t="inlineStr">
        <is>
          <t>B00M75BLPO</t>
        </is>
      </c>
      <c r="M94" s="15" t="n">
        <v>7.84</v>
      </c>
      <c r="N94" s="15" t="n">
        <v>0</v>
      </c>
      <c r="O94" s="15" t="n">
        <v>16.3</v>
      </c>
      <c r="P94" s="15">
        <f>O94/1.19</f>
        <v/>
      </c>
      <c r="Q94" s="15">
        <f>O94-P94</f>
        <v/>
      </c>
      <c r="R94" s="15">
        <f>O94*0.15</f>
        <v/>
      </c>
      <c r="S94" s="15" t="n">
        <v>5.71</v>
      </c>
      <c r="T94" s="15">
        <f>S94*0.2</f>
        <v/>
      </c>
      <c r="U94" s="15" t="n">
        <v>0.2</v>
      </c>
      <c r="V94" s="15" t="n">
        <v>4.22</v>
      </c>
      <c r="W94" s="15">
        <f>V94*0.2</f>
        <v/>
      </c>
      <c r="X94" s="21">
        <f>O94-Q94-R94-S94-U94-V94+T94+W94</f>
        <v/>
      </c>
      <c r="Y94" s="14" t="n"/>
      <c r="Z94" s="15">
        <f>O94+1.5</f>
        <v/>
      </c>
      <c r="AA94" s="15" t="n"/>
      <c r="AB94" s="15" t="n"/>
      <c r="AC94" s="14" t="n"/>
      <c r="AD94" s="14" t="n"/>
      <c r="AE94" s="13" t="inlineStr">
        <is>
          <t>NOT_UPLOADED</t>
        </is>
      </c>
    </row>
    <row r="95" ht="16" customHeight="1">
      <c r="A95" s="17" t="n">
        <v>4103040908339</v>
      </c>
      <c r="B95" s="17" t="n">
        <v>4103040908339</v>
      </c>
      <c r="C95" s="13" t="n"/>
      <c r="D95" s="18" t="n"/>
      <c r="E95" s="18" t="inlineStr">
        <is>
          <t>ORB-4103040908339</t>
        </is>
      </c>
      <c r="F95" s="17" t="n"/>
      <c r="G95" s="18" t="inlineStr">
        <is>
          <t>Orbico</t>
        </is>
      </c>
      <c r="H95" s="18" t="inlineStr">
        <is>
          <t>Sebamed</t>
        </is>
      </c>
      <c r="I95" s="18" t="inlineStr">
        <is>
          <t>Sebamed cracked heels balm 75 ml</t>
        </is>
      </c>
      <c r="J95" s="18" t="inlineStr">
        <is>
          <t>No</t>
        </is>
      </c>
      <c r="K95" s="18" t="inlineStr">
        <is>
          <t>Sebamed cracked heels balm 75 ml</t>
        </is>
      </c>
      <c r="L95" s="18" t="inlineStr">
        <is>
          <t>B01N6O4VY1</t>
        </is>
      </c>
      <c r="M95" s="19" t="n">
        <v>14.86</v>
      </c>
      <c r="N95" s="19" t="n">
        <v>0</v>
      </c>
      <c r="O95" s="19" t="n">
        <v>15.8</v>
      </c>
      <c r="P95" s="19">
        <f>O95/1.19</f>
        <v/>
      </c>
      <c r="Q95" s="19">
        <f>O95-P95</f>
        <v/>
      </c>
      <c r="R95" s="19">
        <f>O95*0.15</f>
        <v/>
      </c>
      <c r="S95" s="19" t="n">
        <v>6.43</v>
      </c>
      <c r="T95" s="19">
        <f>S95*0.2</f>
        <v/>
      </c>
      <c r="U95" s="19" t="n">
        <v>0.2</v>
      </c>
      <c r="V95" s="19" t="n">
        <v>4.22</v>
      </c>
      <c r="W95" s="19">
        <f>V95*0.2</f>
        <v/>
      </c>
      <c r="X95" s="21">
        <f>O95-Q95-R95-S95-U95-V95+T95+W95</f>
        <v/>
      </c>
      <c r="Y95" s="18" t="n"/>
      <c r="Z95" s="19">
        <f>O95+1.5</f>
        <v/>
      </c>
      <c r="AA95" s="19" t="n"/>
      <c r="AB95" s="19" t="n"/>
      <c r="AC95" s="18" t="n"/>
      <c r="AD95" s="18" t="n"/>
      <c r="AE95" s="13" t="inlineStr">
        <is>
          <t>NOT_UPLOADED</t>
        </is>
      </c>
    </row>
    <row r="96" ht="16" customHeight="1">
      <c r="A96" s="12" t="n">
        <v>4103040112439</v>
      </c>
      <c r="B96" s="12" t="n">
        <v>4103040112439</v>
      </c>
      <c r="C96" s="13" t="n"/>
      <c r="D96" s="14" t="n"/>
      <c r="E96" s="14" t="inlineStr">
        <is>
          <t>ORB-4103040112439</t>
        </is>
      </c>
      <c r="F96" s="12" t="n"/>
      <c r="G96" s="14" t="inlineStr">
        <is>
          <t>Orbico</t>
        </is>
      </c>
      <c r="H96" s="14" t="inlineStr">
        <is>
          <t>Sebamed</t>
        </is>
      </c>
      <c r="I96" s="14" t="inlineStr">
        <is>
          <t>Sebamed Lotion 200ml</t>
        </is>
      </c>
      <c r="J96" s="14" t="inlineStr">
        <is>
          <t>No</t>
        </is>
      </c>
      <c r="K96" s="14" t="inlineStr">
        <is>
          <t>Sebamed Lotion 200ml</t>
        </is>
      </c>
      <c r="L96" s="14" t="inlineStr">
        <is>
          <t>B0015X79J6</t>
        </is>
      </c>
      <c r="M96" s="15" t="n">
        <v>11.16</v>
      </c>
      <c r="N96" s="15" t="n">
        <v>0</v>
      </c>
      <c r="O96" s="15" t="n">
        <v>15.6</v>
      </c>
      <c r="P96" s="15">
        <f>O96/1.19</f>
        <v/>
      </c>
      <c r="Q96" s="15">
        <f>O96-P96</f>
        <v/>
      </c>
      <c r="R96" s="15">
        <f>O96*0.15</f>
        <v/>
      </c>
      <c r="S96" s="15" t="n">
        <v>6.23</v>
      </c>
      <c r="T96" s="15">
        <f>S96*0.2</f>
        <v/>
      </c>
      <c r="U96" s="15" t="n">
        <v>0.2</v>
      </c>
      <c r="V96" s="15" t="n">
        <v>4.22</v>
      </c>
      <c r="W96" s="15">
        <f>V96*0.2</f>
        <v/>
      </c>
      <c r="X96" s="21">
        <f>O96-Q96-R96-S96-U96-V96+T96+W96</f>
        <v/>
      </c>
      <c r="Y96" s="14" t="n"/>
      <c r="Z96" s="15">
        <f>O96+1.5</f>
        <v/>
      </c>
      <c r="AA96" s="15" t="n"/>
      <c r="AB96" s="15" t="n"/>
      <c r="AC96" s="14" t="n"/>
      <c r="AD96" s="14" t="n"/>
      <c r="AE96" s="13" t="inlineStr">
        <is>
          <t>NOT_UPLOADED</t>
        </is>
      </c>
    </row>
    <row r="97" ht="16" customHeight="1">
      <c r="A97" s="17" t="n">
        <v>4103040106926</v>
      </c>
      <c r="B97" s="17" t="n">
        <v>4103040106926</v>
      </c>
      <c r="C97" s="13" t="n"/>
      <c r="D97" s="18" t="n"/>
      <c r="E97" s="18" t="inlineStr">
        <is>
          <t>ORB-4103040106926</t>
        </is>
      </c>
      <c r="F97" s="17" t="n"/>
      <c r="G97" s="18" t="inlineStr">
        <is>
          <t>Orbico</t>
        </is>
      </c>
      <c r="H97" s="18" t="inlineStr">
        <is>
          <t>Sebamed</t>
        </is>
      </c>
      <c r="I97" s="18" t="inlineStr">
        <is>
          <t>Sensitive Skin Nourishing</t>
        </is>
      </c>
      <c r="J97" s="18" t="inlineStr">
        <is>
          <t>No</t>
        </is>
      </c>
      <c r="K97" s="18" t="inlineStr">
        <is>
          <t>Sensitive Skin Nourishing</t>
        </is>
      </c>
      <c r="L97" s="18" t="inlineStr">
        <is>
          <t>B00E27EMGK</t>
        </is>
      </c>
      <c r="M97" s="19" t="n">
        <v>0</v>
      </c>
      <c r="N97" s="19" t="n">
        <v>0</v>
      </c>
      <c r="O97" s="19" t="n">
        <v>17.3</v>
      </c>
      <c r="P97" s="19">
        <f>O97/1.19</f>
        <v/>
      </c>
      <c r="Q97" s="19">
        <f>O97-P97</f>
        <v/>
      </c>
      <c r="R97" s="19">
        <f>O97*0.15</f>
        <v/>
      </c>
      <c r="S97" s="19" t="n">
        <v>6.43</v>
      </c>
      <c r="T97" s="19">
        <f>S97*0.2</f>
        <v/>
      </c>
      <c r="U97" s="19" t="n">
        <v>0.2</v>
      </c>
      <c r="V97" s="19" t="n">
        <v>4.22</v>
      </c>
      <c r="W97" s="19">
        <f>V97*0.2</f>
        <v/>
      </c>
      <c r="X97" s="21">
        <f>O97-Q97-R97-S97-U97-V97+T97+W97</f>
        <v/>
      </c>
      <c r="Y97" s="18" t="n"/>
      <c r="Z97" s="19">
        <f>O97+1.5</f>
        <v/>
      </c>
      <c r="AA97" s="19" t="n"/>
      <c r="AB97" s="19" t="n"/>
      <c r="AC97" s="18" t="n"/>
      <c r="AD97" s="18" t="n"/>
      <c r="AE97" s="13" t="inlineStr">
        <is>
          <t>NOT_UPLOADED</t>
        </is>
      </c>
    </row>
    <row r="98" ht="16" customHeight="1">
      <c r="A98" s="12" t="n">
        <v>4103040141330</v>
      </c>
      <c r="B98" s="12" t="n">
        <v>4103040141330</v>
      </c>
      <c r="C98" s="13" t="n"/>
      <c r="D98" s="14" t="n"/>
      <c r="E98" s="14" t="inlineStr">
        <is>
          <t>ORB-4103040141330</t>
        </is>
      </c>
      <c r="F98" s="12" t="n">
        <v>1100006533</v>
      </c>
      <c r="G98" s="14" t="inlineStr">
        <is>
          <t>Orbico</t>
        </is>
      </c>
      <c r="H98" s="14" t="inlineStr">
        <is>
          <t>Sebamed</t>
        </is>
      </c>
      <c r="I98" s="14" t="inlineStr">
        <is>
          <t>Sebamed Sensitive Balsam Deo Roll-On, 50 ml</t>
        </is>
      </c>
      <c r="J98" s="14" t="inlineStr">
        <is>
          <t>No</t>
        </is>
      </c>
      <c r="K98" s="14" t="inlineStr">
        <is>
          <t>Sebamed Sensitive Balsam Deo Roll-On, 50 ml</t>
        </is>
      </c>
      <c r="L98" s="14" t="inlineStr">
        <is>
          <t>B00TTW2K8U</t>
        </is>
      </c>
      <c r="M98" s="15" t="n">
        <v>5.98</v>
      </c>
      <c r="N98" s="15" t="n">
        <v>0</v>
      </c>
      <c r="O98" s="15" t="n">
        <v>13.2</v>
      </c>
      <c r="P98" s="15">
        <f>O98/1.19</f>
        <v/>
      </c>
      <c r="Q98" s="15">
        <f>O98-P98</f>
        <v/>
      </c>
      <c r="R98" s="15">
        <f>O98*0.15</f>
        <v/>
      </c>
      <c r="S98" s="15" t="n">
        <v>5.34</v>
      </c>
      <c r="T98" s="15">
        <f>S98*0.2</f>
        <v/>
      </c>
      <c r="U98" s="15" t="n">
        <v>0.4</v>
      </c>
      <c r="V98" s="15" t="n">
        <v>2.72</v>
      </c>
      <c r="W98" s="15">
        <f>V98*0.2</f>
        <v/>
      </c>
      <c r="X98" s="21">
        <f>O98-Q98-R98-S98-U98-V98+T98+W98</f>
        <v/>
      </c>
      <c r="Y98" s="14" t="n"/>
      <c r="Z98" s="15">
        <f>O98+1.5</f>
        <v/>
      </c>
      <c r="AA98" s="15" t="n"/>
      <c r="AB98" s="15" t="n"/>
      <c r="AC98" s="14" t="n"/>
      <c r="AD98" s="14" t="n"/>
      <c r="AE98" s="13" t="inlineStr">
        <is>
          <t>NOT_UPLOADED</t>
        </is>
      </c>
    </row>
    <row r="99" ht="16" customHeight="1">
      <c r="A99" s="17" t="n">
        <v>4103040158819</v>
      </c>
      <c r="B99" s="17" t="n">
        <v>4103040158819</v>
      </c>
      <c r="C99" s="13" t="n"/>
      <c r="D99" s="18" t="n"/>
      <c r="E99" s="18" t="inlineStr">
        <is>
          <t>ORB-4103040158819</t>
        </is>
      </c>
      <c r="F99" s="17" t="n">
        <v>1100006534</v>
      </c>
      <c r="G99" s="18" t="inlineStr">
        <is>
          <t>Orbico</t>
        </is>
      </c>
      <c r="H99" s="18" t="inlineStr">
        <is>
          <t>Sebamed</t>
        </is>
      </c>
      <c r="I99" s="18" t="inlineStr">
        <is>
          <t>Sebamed Sebamed Deo Roll On Sensitive For Men 50ml</t>
        </is>
      </c>
      <c r="J99" s="18" t="inlineStr">
        <is>
          <t>No</t>
        </is>
      </c>
      <c r="K99" s="18" t="inlineStr">
        <is>
          <t>Sebamed Sebamed Deo Roll On Sensitive For Men 50ml</t>
        </is>
      </c>
      <c r="L99" s="18" t="inlineStr">
        <is>
          <t>B00E5PKP38</t>
        </is>
      </c>
      <c r="M99" s="19" t="n">
        <v>12.5</v>
      </c>
      <c r="N99" s="19" t="n">
        <v>0</v>
      </c>
      <c r="O99" s="19" t="n">
        <v>12.8</v>
      </c>
      <c r="P99" s="19">
        <f>O99/1.19</f>
        <v/>
      </c>
      <c r="Q99" s="19">
        <f>O99-P99</f>
        <v/>
      </c>
      <c r="R99" s="19">
        <f>O99*0.15</f>
        <v/>
      </c>
      <c r="S99" s="19" t="n">
        <v>5.34</v>
      </c>
      <c r="T99" s="19">
        <f>S99*0.2</f>
        <v/>
      </c>
      <c r="U99" s="19" t="n">
        <v>0.4</v>
      </c>
      <c r="V99" s="19" t="n">
        <v>2.65</v>
      </c>
      <c r="W99" s="19">
        <f>V99*0.2</f>
        <v/>
      </c>
      <c r="X99" s="21">
        <f>O99-Q99-R99-S99-U99-V99+T99+W99</f>
        <v/>
      </c>
      <c r="Y99" s="18" t="n"/>
      <c r="Z99" s="19">
        <f>O99+1.5</f>
        <v/>
      </c>
      <c r="AA99" s="19" t="n"/>
      <c r="AB99" s="19" t="n"/>
      <c r="AC99" s="18" t="n"/>
      <c r="AD99" s="18" t="n"/>
      <c r="AE99" s="13" t="inlineStr">
        <is>
          <t>NOT_UPLOADED</t>
        </is>
      </c>
    </row>
    <row r="100" ht="16" customHeight="1">
      <c r="A100" s="12" t="n">
        <v>4103040167910</v>
      </c>
      <c r="B100" s="12" t="n">
        <v>4103040167910</v>
      </c>
      <c r="C100" s="13" t="n"/>
      <c r="D100" s="14" t="n"/>
      <c r="E100" s="14" t="inlineStr">
        <is>
          <t>ORB-4103040167910</t>
        </is>
      </c>
      <c r="F100" s="12" t="n"/>
      <c r="G100" s="14" t="inlineStr">
        <is>
          <t>Orbico</t>
        </is>
      </c>
      <c r="H100" s="14" t="inlineStr">
        <is>
          <t>Sebamed</t>
        </is>
      </c>
      <c r="I100" s="14" t="inlineStr">
        <is>
          <t>Sebamed Aufbau Wasch-Emulsion Anti Dry</t>
        </is>
      </c>
      <c r="J100" s="14" t="inlineStr">
        <is>
          <t>No</t>
        </is>
      </c>
      <c r="K100" s="14" t="inlineStr">
        <is>
          <t>Sebamed Aufbau Wasch-Emulsion Anti Dry</t>
        </is>
      </c>
      <c r="L100" s="14" t="inlineStr">
        <is>
          <t>B003NTLNQK</t>
        </is>
      </c>
      <c r="M100" s="15" t="n">
        <v>19.76</v>
      </c>
      <c r="N100" s="15" t="n">
        <v>0</v>
      </c>
      <c r="O100" s="15" t="n">
        <v>19.3</v>
      </c>
      <c r="P100" s="15">
        <f>O100/1.19</f>
        <v/>
      </c>
      <c r="Q100" s="15">
        <f>O100-P100</f>
        <v/>
      </c>
      <c r="R100" s="15">
        <f>O100*0.15</f>
        <v/>
      </c>
      <c r="S100" s="15" t="n">
        <v>8.74</v>
      </c>
      <c r="T100" s="15">
        <f>S100*0.2</f>
        <v/>
      </c>
      <c r="U100" s="15" t="n">
        <v>0.4</v>
      </c>
      <c r="V100" s="15" t="n">
        <v>4.03</v>
      </c>
      <c r="W100" s="15">
        <f>V100*0.2</f>
        <v/>
      </c>
      <c r="X100" s="21">
        <f>O100-Q100-R100-S100-U100-V100+T100+W100</f>
        <v/>
      </c>
      <c r="Y100" s="14" t="n"/>
      <c r="Z100" s="15">
        <f>O100+1.5</f>
        <v/>
      </c>
      <c r="AA100" s="15" t="n"/>
      <c r="AB100" s="15" t="n"/>
      <c r="AC100" s="14" t="n"/>
      <c r="AD100" s="14" t="n"/>
      <c r="AE100" s="13" t="inlineStr">
        <is>
          <t>NOT_UPLOADED</t>
        </is>
      </c>
    </row>
    <row r="101" ht="16" customHeight="1">
      <c r="A101" s="17" t="n">
        <v>4103040898104</v>
      </c>
      <c r="B101" s="17" t="n">
        <v>4103040898104</v>
      </c>
      <c r="C101" s="13" t="n"/>
      <c r="D101" s="18" t="n"/>
      <c r="E101" s="18" t="inlineStr">
        <is>
          <t>ORB-4103040898104</t>
        </is>
      </c>
      <c r="F101" s="17" t="n"/>
      <c r="G101" s="18" t="inlineStr">
        <is>
          <t>Orbico</t>
        </is>
      </c>
      <c r="H101" s="18" t="inlineStr">
        <is>
          <t>Sebamed</t>
        </is>
      </c>
      <c r="I101" s="18" t="inlineStr">
        <is>
          <t>Sebamed Anti-Dry Revitalizing Shampoo, 200 ml</t>
        </is>
      </c>
      <c r="J101" s="18" t="inlineStr">
        <is>
          <t>No</t>
        </is>
      </c>
      <c r="K101" s="18" t="inlineStr">
        <is>
          <t>Sebamed Anti-Dry Revitalizing Shampoo, 200 ml</t>
        </is>
      </c>
      <c r="L101" s="18" t="inlineStr">
        <is>
          <t>B00BE1ZUN6</t>
        </is>
      </c>
      <c r="M101" s="19" t="n">
        <v>19.97</v>
      </c>
      <c r="N101" s="19" t="n">
        <v>0</v>
      </c>
      <c r="O101" s="19" t="n">
        <v>19.7</v>
      </c>
      <c r="P101" s="19">
        <f>O101/1.19</f>
        <v/>
      </c>
      <c r="Q101" s="19">
        <f>O101-P101</f>
        <v/>
      </c>
      <c r="R101" s="19">
        <f>O101*0.15</f>
        <v/>
      </c>
      <c r="S101" s="19" t="n">
        <v>9.140000000000001</v>
      </c>
      <c r="T101" s="19">
        <f>S101*0.2</f>
        <v/>
      </c>
      <c r="U101" s="19" t="n">
        <v>0.2</v>
      </c>
      <c r="V101" s="19" t="n">
        <v>4.22</v>
      </c>
      <c r="W101" s="19">
        <f>V101*0.2</f>
        <v/>
      </c>
      <c r="X101" s="21">
        <f>O101-Q101-R101-S101-U101-V101+T101+W101</f>
        <v/>
      </c>
      <c r="Y101" s="18" t="n"/>
      <c r="Z101" s="19">
        <f>O101+1.5</f>
        <v/>
      </c>
      <c r="AA101" s="19" t="n"/>
      <c r="AB101" s="19" t="n"/>
      <c r="AC101" s="18" t="n"/>
      <c r="AD101" s="18" t="n"/>
      <c r="AE101" s="13" t="inlineStr">
        <is>
          <t>NOT_UPLOADED</t>
        </is>
      </c>
    </row>
    <row r="102" ht="16" customHeight="1">
      <c r="A102" s="12" t="n">
        <v>4103040167972</v>
      </c>
      <c r="B102" s="12" t="n">
        <v>4103040167972</v>
      </c>
      <c r="C102" s="13" t="n"/>
      <c r="D102" s="14" t="n"/>
      <c r="E102" s="14" t="inlineStr">
        <is>
          <t>ORB-4103040167972</t>
        </is>
      </c>
      <c r="F102" s="12" t="n">
        <v>1100006527</v>
      </c>
      <c r="G102" s="14" t="inlineStr">
        <is>
          <t>Orbico</t>
        </is>
      </c>
      <c r="H102" s="14" t="inlineStr">
        <is>
          <t>Sebamed</t>
        </is>
      </c>
      <c r="I102" s="14" t="inlineStr">
        <is>
          <t>Seba Med Anti - Dry Hydrating Lotion 200ml</t>
        </is>
      </c>
      <c r="J102" s="14" t="inlineStr">
        <is>
          <t>No</t>
        </is>
      </c>
      <c r="K102" s="14" t="inlineStr">
        <is>
          <t>Seba Med Anti - Dry Hydrating Lotion 200ml</t>
        </is>
      </c>
      <c r="L102" s="14" t="inlineStr">
        <is>
          <t>B00871DHXG</t>
        </is>
      </c>
      <c r="M102" s="15" t="n">
        <v>16.53</v>
      </c>
      <c r="N102" s="15" t="n">
        <v>0</v>
      </c>
      <c r="O102" s="15" t="n">
        <v>18.1</v>
      </c>
      <c r="P102" s="15">
        <f>O102/1.19</f>
        <v/>
      </c>
      <c r="Q102" s="15">
        <f>O102-P102</f>
        <v/>
      </c>
      <c r="R102" s="15">
        <f>O102*0.15</f>
        <v/>
      </c>
      <c r="S102" s="15" t="n">
        <v>8.109999999999999</v>
      </c>
      <c r="T102" s="15">
        <f>S102*0.2</f>
        <v/>
      </c>
      <c r="U102" s="15" t="n">
        <v>0.2</v>
      </c>
      <c r="V102" s="15" t="n">
        <v>3.96</v>
      </c>
      <c r="W102" s="15">
        <f>V102*0.2</f>
        <v/>
      </c>
      <c r="X102" s="21">
        <f>O102-Q102-R102-S102-U102-V102+T102+W102</f>
        <v/>
      </c>
      <c r="Y102" s="14" t="n"/>
      <c r="Z102" s="15">
        <f>O102+1.5</f>
        <v/>
      </c>
      <c r="AA102" s="15" t="n"/>
      <c r="AB102" s="15" t="n"/>
      <c r="AC102" s="14" t="n"/>
      <c r="AD102" s="14" t="n"/>
      <c r="AE102" s="13" t="inlineStr">
        <is>
          <t>NOT_UPLOADED</t>
        </is>
      </c>
    </row>
    <row r="103" ht="16" customHeight="1">
      <c r="A103" s="17" t="n">
        <v>4103040167958</v>
      </c>
      <c r="B103" s="17" t="n">
        <v>4103040167958</v>
      </c>
      <c r="C103" s="13" t="n"/>
      <c r="D103" s="18" t="n"/>
      <c r="E103" s="18" t="inlineStr">
        <is>
          <t>ORB-4103040167958</t>
        </is>
      </c>
      <c r="F103" s="17" t="n"/>
      <c r="G103" s="18" t="inlineStr">
        <is>
          <t>Orbico</t>
        </is>
      </c>
      <c r="H103" s="18" t="inlineStr">
        <is>
          <t>Sebamed</t>
        </is>
      </c>
      <c r="I103" s="18" t="inlineStr">
        <is>
          <t>Sebamed Sebamed Anti Dry Day Defence Cream 50ml</t>
        </is>
      </c>
      <c r="J103" s="18" t="inlineStr">
        <is>
          <t>No</t>
        </is>
      </c>
      <c r="K103" s="18" t="inlineStr">
        <is>
          <t>Sebamed Sebamed Anti Dry Day Defence Cream 50ml</t>
        </is>
      </c>
      <c r="L103" s="18" t="inlineStr">
        <is>
          <t>B003NTJMPE</t>
        </is>
      </c>
      <c r="M103" s="19" t="n">
        <v>0</v>
      </c>
      <c r="N103" s="19" t="n">
        <v>0</v>
      </c>
      <c r="O103" s="19" t="n">
        <v>25.89</v>
      </c>
      <c r="P103" s="19">
        <f>O103/1.19</f>
        <v/>
      </c>
      <c r="Q103" s="19">
        <f>O103-P103</f>
        <v/>
      </c>
      <c r="R103" s="19">
        <f>O103*0.15</f>
        <v/>
      </c>
      <c r="S103" s="19" t="n">
        <v>14.8</v>
      </c>
      <c r="T103" s="19">
        <f>S103*0.2</f>
        <v/>
      </c>
      <c r="U103" s="19" t="n">
        <v>0.2</v>
      </c>
      <c r="V103" s="19" t="n">
        <v>4.22</v>
      </c>
      <c r="W103" s="19">
        <f>V103*0.2</f>
        <v/>
      </c>
      <c r="X103" s="21">
        <f>O103-Q103-R103-S103-U103-V103+T103+W103</f>
        <v/>
      </c>
      <c r="Y103" s="18" t="n"/>
      <c r="Z103" s="19">
        <f>O103+1.5</f>
        <v/>
      </c>
      <c r="AA103" s="19" t="n"/>
      <c r="AB103" s="19" t="n"/>
      <c r="AC103" s="18" t="n"/>
      <c r="AD103" s="18" t="n"/>
      <c r="AE103" s="13" t="inlineStr">
        <is>
          <t>NOT_UPLOADED</t>
        </is>
      </c>
    </row>
    <row r="104" ht="16" customHeight="1">
      <c r="A104" s="12" t="n">
        <v>4103040921963</v>
      </c>
      <c r="B104" s="12" t="n">
        <v>4103040921963</v>
      </c>
      <c r="C104" s="13" t="n"/>
      <c r="D104" s="14" t="n"/>
      <c r="E104" s="14" t="n"/>
      <c r="F104" s="12" t="n">
        <v>1100006514</v>
      </c>
      <c r="G104" s="14" t="inlineStr">
        <is>
          <t>Orbico</t>
        </is>
      </c>
      <c r="H104" s="14" t="inlineStr">
        <is>
          <t>Sebamed</t>
        </is>
      </c>
      <c r="I104" s="14" t="inlineStr">
        <is>
          <t>Sebamed Anti Stretch Mark Cream 200ml</t>
        </is>
      </c>
      <c r="J104" s="14" t="inlineStr">
        <is>
          <t>No</t>
        </is>
      </c>
      <c r="K104" s="14" t="inlineStr">
        <is>
          <t>https://www.amazon.de/-/en/Sebamed-Anti-Stretch-Cream-200ml/dp/B00871CQOM/ref=sr_1_1?crid=1Y0HFDC7ES1QL&amp;dib=eyJ2IjoiMSJ9.OHrW0u9Uf5nihlgFZ7pUbA.BBm2B50BUR7nXy7Pfqk0PlwmTuhe7_8CXu0F_73mxRo&amp;dib_tag=se&amp;keywords=4103040921963&amp;qid=1765216026&amp;sprefix=4103040921963%2Caps%2C209&amp;sr=8-1</t>
        </is>
      </c>
      <c r="L104" s="14" t="inlineStr">
        <is>
          <t>B00871CQOM</t>
        </is>
      </c>
      <c r="M104" s="15" t="n">
        <v>0</v>
      </c>
      <c r="N104" s="15" t="n">
        <v>0</v>
      </c>
      <c r="O104" s="15" t="n">
        <v>25.1</v>
      </c>
      <c r="P104" s="15">
        <f>O104/1.19</f>
        <v/>
      </c>
      <c r="Q104" s="15">
        <f>O104-P104</f>
        <v/>
      </c>
      <c r="R104" s="15">
        <f>O104*0.15</f>
        <v/>
      </c>
      <c r="S104" s="15" t="n">
        <v>14.07</v>
      </c>
      <c r="T104" s="15">
        <f>S104*0.2</f>
        <v/>
      </c>
      <c r="U104" s="15" t="n">
        <v>0.2</v>
      </c>
      <c r="V104" s="15" t="n">
        <v>3.5</v>
      </c>
      <c r="W104" s="15">
        <f>V104*0.2</f>
        <v/>
      </c>
      <c r="X104" s="21">
        <f>O104-Q104-R104-S104-U104-V104+T104+W104</f>
        <v/>
      </c>
      <c r="Y104" s="14" t="n"/>
      <c r="Z104" s="15">
        <f>O104+1.5</f>
        <v/>
      </c>
      <c r="AA104" s="15" t="n"/>
      <c r="AB104" s="15" t="n"/>
      <c r="AC104" s="14" t="n"/>
      <c r="AD104" s="14" t="n"/>
      <c r="AE104" s="13" t="inlineStr">
        <is>
          <t>NOT_UPLOADED</t>
        </is>
      </c>
    </row>
    <row r="105" ht="16" customHeight="1">
      <c r="A105" s="17" t="n">
        <v>4103040134974</v>
      </c>
      <c r="B105" s="17" t="n">
        <v>4103040134974</v>
      </c>
      <c r="C105" s="20" t="inlineStr">
        <is>
          <t>PACK X 3</t>
        </is>
      </c>
      <c r="D105" s="18" t="n"/>
      <c r="E105" s="18" t="inlineStr">
        <is>
          <t>ORB-4103040134974</t>
        </is>
      </c>
      <c r="F105" s="17" t="n">
        <v>1100006535</v>
      </c>
      <c r="G105" s="18" t="inlineStr">
        <is>
          <t>Orbico</t>
        </is>
      </c>
      <c r="H105" s="18" t="inlineStr">
        <is>
          <t>Sebamed</t>
        </is>
      </c>
      <c r="I105" s="18" t="inlineStr">
        <is>
          <t>Sebamed Klar Gesicht Cleansing Bar 100 G Packung von 3</t>
        </is>
      </c>
      <c r="J105" s="18" t="inlineStr">
        <is>
          <t>No</t>
        </is>
      </c>
      <c r="K105" s="18" t="inlineStr">
        <is>
          <t>Sebamed Klar Gesicht Cl;eansing Bar 100 G Packung von 3)</t>
        </is>
      </c>
      <c r="L105" s="18" t="inlineStr">
        <is>
          <t>B008S0RK6Q</t>
        </is>
      </c>
      <c r="M105" s="19" t="n">
        <v>27</v>
      </c>
      <c r="N105" s="19" t="n">
        <v>0</v>
      </c>
      <c r="O105" s="19" t="n">
        <v>23.95</v>
      </c>
      <c r="P105" s="19">
        <f>O105/1.19</f>
        <v/>
      </c>
      <c r="Q105" s="19">
        <f>O105-P105</f>
        <v/>
      </c>
      <c r="R105" s="19">
        <f>O105*0.15</f>
        <v/>
      </c>
      <c r="S105" s="19" t="n">
        <v>9.32</v>
      </c>
      <c r="T105" s="19">
        <f>S105*0.2</f>
        <v/>
      </c>
      <c r="U105" s="19" t="n">
        <v>0.4</v>
      </c>
      <c r="V105" s="19" t="n">
        <v>4.8</v>
      </c>
      <c r="W105" s="19">
        <f>V105*0.2</f>
        <v/>
      </c>
      <c r="X105" s="21">
        <f>O105-Q105-R105-S105-U105-V105+T105+W105</f>
        <v/>
      </c>
      <c r="Y105" s="18" t="n"/>
      <c r="Z105" s="19">
        <f>O105+1.5</f>
        <v/>
      </c>
      <c r="AA105" s="19" t="n"/>
      <c r="AB105" s="19" t="n"/>
      <c r="AC105" s="18" t="n"/>
      <c r="AD105" s="18" t="n"/>
      <c r="AE105" s="13" t="inlineStr">
        <is>
          <t>NOT_UPLOADED</t>
        </is>
      </c>
    </row>
    <row r="106" ht="16" customHeight="1">
      <c r="A106" s="12" t="n">
        <v>4103040135025</v>
      </c>
      <c r="B106" s="12" t="n">
        <v>4103040135025</v>
      </c>
      <c r="C106" s="13" t="n"/>
      <c r="D106" s="14" t="n"/>
      <c r="E106" s="14" t="inlineStr">
        <is>
          <t>ORB-4103040135025</t>
        </is>
      </c>
      <c r="F106" s="12" t="n">
        <v>1100006538</v>
      </c>
      <c r="G106" s="14" t="inlineStr">
        <is>
          <t>Orbico</t>
        </is>
      </c>
      <c r="H106" s="14" t="inlineStr">
        <is>
          <t>Sebamed</t>
        </is>
      </c>
      <c r="I106" s="14" t="inlineStr">
        <is>
          <t>Sebamed Clear Face anti-Pimple Gel stick 10ml - (Pack of 2)</t>
        </is>
      </c>
      <c r="J106" s="14" t="inlineStr">
        <is>
          <t>No</t>
        </is>
      </c>
      <c r="K106" s="14" t="inlineStr">
        <is>
          <t>https://www.amazon.de/-/en/Sebamed-Clear-Face-Anti-Pimple-Gel/dp/B003NTJKHY/ref=sr_1_1?crid=2CT8CO9NZ5UK1&amp;dib=eyJ2IjoiMSJ9.5ZyuoOP-Frw4XeDpiWWF8g.FpXC_vidkmcDMJyw-3DCL_6oITd4vhVhWybEr_tnMN4&amp;dib_tag=se&amp;keywords=B003NTJKHY&amp;qid=1765212220&amp;sprefix=b003ntjkhy%2Caps%2C211&amp;sr=8-1</t>
        </is>
      </c>
      <c r="L106" s="14" t="inlineStr">
        <is>
          <t>B003NTJKHY</t>
        </is>
      </c>
      <c r="M106" s="15" t="n">
        <v>11.4</v>
      </c>
      <c r="N106" s="15" t="n">
        <v>0</v>
      </c>
      <c r="O106" s="15" t="n">
        <v>11.45</v>
      </c>
      <c r="P106" s="15">
        <f>O106/1.19</f>
        <v/>
      </c>
      <c r="Q106" s="15">
        <f>O106-P106</f>
        <v/>
      </c>
      <c r="R106" s="15">
        <f>O106*0.15</f>
        <v/>
      </c>
      <c r="S106" s="15" t="n">
        <v>3.94</v>
      </c>
      <c r="T106" s="15">
        <f>S106*0.2</f>
        <v/>
      </c>
      <c r="U106" s="15" t="n">
        <v>0.4</v>
      </c>
      <c r="V106" s="15" t="n">
        <v>1.92</v>
      </c>
      <c r="W106" s="15">
        <f>V106*0.2</f>
        <v/>
      </c>
      <c r="X106" s="21">
        <f>O106-Q106-R106-S106-U106-V106+T106+W106</f>
        <v/>
      </c>
      <c r="Y106" s="14" t="n"/>
      <c r="Z106" s="15">
        <f>O106+1.5</f>
        <v/>
      </c>
      <c r="AA106" s="15" t="n"/>
      <c r="AB106" s="15" t="n"/>
      <c r="AC106" s="14" t="n"/>
      <c r="AD106" s="14" t="n"/>
      <c r="AE106" s="13" t="inlineStr">
        <is>
          <t>NOT_UPLOADED</t>
        </is>
      </c>
    </row>
    <row r="107" ht="16" customHeight="1">
      <c r="A107" s="17" t="n">
        <v>4103040147752</v>
      </c>
      <c r="B107" s="17" t="n">
        <v>4103040147752</v>
      </c>
      <c r="C107" s="13" t="n"/>
      <c r="D107" s="18" t="n"/>
      <c r="E107" s="18" t="inlineStr">
        <is>
          <t>ORB-4103040147752</t>
        </is>
      </c>
      <c r="F107" s="17" t="n">
        <v>1100006577</v>
      </c>
      <c r="G107" s="18" t="inlineStr">
        <is>
          <t>Orbico</t>
        </is>
      </c>
      <c r="H107" s="18" t="inlineStr">
        <is>
          <t>Sebamed</t>
        </is>
      </c>
      <c r="I107" s="18" t="inlineStr">
        <is>
          <t>Sebamed Sebamed Coloured Anti-Pimple Cream 10ml</t>
        </is>
      </c>
      <c r="J107" s="18" t="inlineStr">
        <is>
          <t>No</t>
        </is>
      </c>
      <c r="K107" s="18" t="inlineStr">
        <is>
          <t>Sebamed Sebamed Coloured Anti-Pimple Cream 10ml</t>
        </is>
      </c>
      <c r="L107" s="18" t="inlineStr">
        <is>
          <t>B00XE4KQ0I</t>
        </is>
      </c>
      <c r="M107" s="19" t="n">
        <v>12.4</v>
      </c>
      <c r="N107" s="19" t="n">
        <v>0</v>
      </c>
      <c r="O107" s="19" t="n">
        <v>12.2</v>
      </c>
      <c r="P107" s="19">
        <f>O107/1.19</f>
        <v/>
      </c>
      <c r="Q107" s="19">
        <f>O107-P107</f>
        <v/>
      </c>
      <c r="R107" s="19">
        <f>O107*0.15</f>
        <v/>
      </c>
      <c r="S107" s="19" t="n">
        <v>5.55</v>
      </c>
      <c r="T107" s="19">
        <f>S107*0.2</f>
        <v/>
      </c>
      <c r="U107" s="19" t="n">
        <v>0.4</v>
      </c>
      <c r="V107" s="19" t="n">
        <v>1.96</v>
      </c>
      <c r="W107" s="19">
        <f>V107*0.2</f>
        <v/>
      </c>
      <c r="X107" s="21">
        <f>O107-Q107-R107-S107-U107-V107+T107+W107</f>
        <v/>
      </c>
      <c r="Y107" s="18" t="n"/>
      <c r="Z107" s="19">
        <f>O107+1.5</f>
        <v/>
      </c>
      <c r="AA107" s="19" t="n"/>
      <c r="AB107" s="19" t="n"/>
      <c r="AC107" s="18" t="n"/>
      <c r="AD107" s="18" t="n"/>
      <c r="AE107" s="13" t="inlineStr">
        <is>
          <t>NOT_UPLOADED</t>
        </is>
      </c>
    </row>
    <row r="108" ht="16" customHeight="1">
      <c r="A108" s="12" t="n">
        <v>4103040135049</v>
      </c>
      <c r="B108" s="12" t="n">
        <v>4103040135049</v>
      </c>
      <c r="C108" s="13" t="n"/>
      <c r="D108" s="14" t="n"/>
      <c r="E108" s="14" t="inlineStr">
        <is>
          <t>ORB-4103040135049</t>
        </is>
      </c>
      <c r="F108" s="12" t="n"/>
      <c r="G108" s="14" t="inlineStr">
        <is>
          <t>Orbico</t>
        </is>
      </c>
      <c r="H108" s="14" t="inlineStr">
        <is>
          <t>Sebamed</t>
        </is>
      </c>
      <c r="I108" s="14" t="inlineStr">
        <is>
          <t>Sebamed Clear Face Deep Cleansing Facial Toner, 150 ml</t>
        </is>
      </c>
      <c r="J108" s="14" t="inlineStr">
        <is>
          <t>No</t>
        </is>
      </c>
      <c r="K108" s="14" t="inlineStr">
        <is>
          <t>https://www.amazon.de/dp/B07C59ZJ5X</t>
        </is>
      </c>
      <c r="L108" s="14" t="inlineStr">
        <is>
          <t>B07C59ZJ5X</t>
        </is>
      </c>
      <c r="M108" s="15" t="n">
        <v>0</v>
      </c>
      <c r="N108" s="15" t="n">
        <v>0</v>
      </c>
      <c r="O108" s="15" t="n">
        <v>15.76</v>
      </c>
      <c r="P108" s="15">
        <f>O108/1.19</f>
        <v/>
      </c>
      <c r="Q108" s="15">
        <f>O108-P108</f>
        <v/>
      </c>
      <c r="R108" s="15">
        <f>O108*0.15</f>
        <v/>
      </c>
      <c r="S108" s="15" t="n">
        <v>6.29</v>
      </c>
      <c r="T108" s="15">
        <f>S108*0.2</f>
        <v/>
      </c>
      <c r="U108" s="15" t="n">
        <v>0.2</v>
      </c>
      <c r="V108" s="15" t="n">
        <v>4.22</v>
      </c>
      <c r="W108" s="15">
        <f>V108*0.2</f>
        <v/>
      </c>
      <c r="X108" s="21">
        <f>O108-Q108-R108-S108-U108-V108+T108+W108</f>
        <v/>
      </c>
      <c r="Y108" s="14" t="n"/>
      <c r="Z108" s="15">
        <f>O108+1.5</f>
        <v/>
      </c>
      <c r="AA108" s="15" t="n"/>
      <c r="AB108" s="15" t="n"/>
      <c r="AC108" s="14" t="n"/>
      <c r="AD108" s="14" t="n"/>
      <c r="AE108" s="13" t="inlineStr">
        <is>
          <t>NOT_UPLOADED</t>
        </is>
      </c>
    </row>
    <row r="109" ht="16" customHeight="1">
      <c r="A109" s="17" t="n">
        <v>4103040004932</v>
      </c>
      <c r="B109" s="17" t="n">
        <v>4103040004932</v>
      </c>
      <c r="C109" s="13" t="n"/>
      <c r="D109" s="18" t="n"/>
      <c r="E109" s="18" t="inlineStr">
        <is>
          <t>ORB-4103040004932</t>
        </is>
      </c>
      <c r="F109" s="17" t="n">
        <v>1100006540</v>
      </c>
      <c r="G109" s="18" t="inlineStr">
        <is>
          <t>Orbico</t>
        </is>
      </c>
      <c r="H109" s="18" t="inlineStr">
        <is>
          <t>Sebamed</t>
        </is>
      </c>
      <c r="I109" s="18" t="inlineStr">
        <is>
          <t>Sebamed SEBAMED Clear Face Gentle Scrub</t>
        </is>
      </c>
      <c r="J109" s="18" t="inlineStr">
        <is>
          <t>No</t>
        </is>
      </c>
      <c r="K109" s="18" t="inlineStr">
        <is>
          <t>Sebamed SEBAMED Clear Face Gentle Scrub</t>
        </is>
      </c>
      <c r="L109" s="18" t="inlineStr">
        <is>
          <t>B00VT20V7A</t>
        </is>
      </c>
      <c r="M109" s="19" t="n">
        <v>21.79</v>
      </c>
      <c r="N109" s="19" t="n">
        <v>0</v>
      </c>
      <c r="O109" s="19" t="n">
        <v>19.9</v>
      </c>
      <c r="P109" s="19">
        <f>O109/1.19</f>
        <v/>
      </c>
      <c r="Q109" s="19">
        <f>O109-P109</f>
        <v/>
      </c>
      <c r="R109" s="19">
        <f>O109*0.15</f>
        <v/>
      </c>
      <c r="S109" s="19" t="n">
        <v>8.210000000000001</v>
      </c>
      <c r="T109" s="19">
        <f>S109*0.2</f>
        <v/>
      </c>
      <c r="U109" s="19" t="n">
        <v>0.4</v>
      </c>
      <c r="V109" s="19" t="n">
        <v>3.23</v>
      </c>
      <c r="W109" s="19">
        <f>V109*0.2</f>
        <v/>
      </c>
      <c r="X109" s="21">
        <f>O109-Q109-R109-S109-U109-V109+T109+W109</f>
        <v/>
      </c>
      <c r="Y109" s="18" t="n"/>
      <c r="Z109" s="19">
        <f>O109+1.5</f>
        <v/>
      </c>
      <c r="AA109" s="19" t="n"/>
      <c r="AB109" s="19" t="n"/>
      <c r="AC109" s="18" t="n"/>
      <c r="AD109" s="18" t="n"/>
      <c r="AE109" s="13" t="inlineStr">
        <is>
          <t>NOT_UPLOADED</t>
        </is>
      </c>
    </row>
    <row r="110" ht="16" customHeight="1">
      <c r="A110" s="12" t="n">
        <v>5060493184774</v>
      </c>
      <c r="B110" s="12" t="n">
        <v>4103040004932</v>
      </c>
      <c r="C110" s="13" t="n"/>
      <c r="D110" s="14" t="n"/>
      <c r="E110" s="14" t="inlineStr">
        <is>
          <t>ORB-5060493184774</t>
        </is>
      </c>
      <c r="F110" s="12" t="n">
        <v>1100006540</v>
      </c>
      <c r="G110" s="14" t="inlineStr">
        <is>
          <t>Orbico</t>
        </is>
      </c>
      <c r="H110" s="14" t="inlineStr">
        <is>
          <t>Sebamed</t>
        </is>
      </c>
      <c r="I110" s="14" t="inlineStr">
        <is>
          <t>Sebamed Clear Face Gentle Exfoliator 150ml</t>
        </is>
      </c>
      <c r="J110" s="14" t="inlineStr">
        <is>
          <t>No</t>
        </is>
      </c>
      <c r="K110" s="14" t="inlineStr">
        <is>
          <t>https://www.amazon.de/-/en/Sebamed-Clear-Gentle-Exfoliator-150ml/dp/B07CZN8KBJ/ref=sr_1_102?crid=1L8V2EA0YT32F&amp;dib=eyJ2IjoiMSJ9.jIrk8vV5SDnGbvK-nD4U2h-xLqae4hFgOJUPdM72dzUkjmJPhZ4BAwqh-HHPsFhj0At-wJJNg88OIztZJS6bGb1dV_GxU842D6xoJLSrekesutTB0C5ke-qWF9miGFm4i1rR3FaqcXR3DdYUqjB50X0PuGFCC8ghw3qk3d5oWyBOobwov7sXHkumHLU1VhlRqnyRNeQRnQITmbNXxDp2myOrUjKxArK9AYyvBw_09F2E8SkREwuVTBaD-3s1z-OUqRJIXnauH3eHH3UR7rZA2wquZLAQ23IW5S0KyHBFsTA.wIV3GReaU7Q3H7H5f872ujcZK4zf4qGSNyeNXZwwv7Q&amp;dib_tag=se&amp;keywords=sebamed&amp;qid=1753218017&amp;refinements=p_123%3A237830&amp;rnid=91049101031&amp;s=beauty&amp;sprefix=sebamed%2Caps%2C177&amp;sr=1-102&amp;xpid=tbXL_pwJQdS0s</t>
        </is>
      </c>
      <c r="L110" s="14" t="inlineStr">
        <is>
          <t>B07CZN8KBJ</t>
        </is>
      </c>
      <c r="M110" s="15" t="n">
        <v>23.29</v>
      </c>
      <c r="N110" s="15" t="n"/>
      <c r="O110" s="15" t="n">
        <v>19.89</v>
      </c>
      <c r="P110" s="15">
        <f>O110/1.19</f>
        <v/>
      </c>
      <c r="Q110" s="15">
        <f>O110-P110</f>
        <v/>
      </c>
      <c r="R110" s="15">
        <f>O110*0.15</f>
        <v/>
      </c>
      <c r="S110" s="15" t="n">
        <v>8.210000000000001</v>
      </c>
      <c r="T110" s="15">
        <f>S110*0.2</f>
        <v/>
      </c>
      <c r="U110" s="15" t="n">
        <v>0.4</v>
      </c>
      <c r="V110" s="15" t="n">
        <v>3.8</v>
      </c>
      <c r="W110" s="15">
        <f>V110*0.2</f>
        <v/>
      </c>
      <c r="X110" s="21">
        <f>O110-Q110-R110-S110-U110-V110+T110+W110</f>
        <v/>
      </c>
      <c r="Y110" s="14" t="n"/>
      <c r="Z110" s="15">
        <f>O110+1.5</f>
        <v/>
      </c>
      <c r="AA110" s="15" t="n"/>
      <c r="AB110" s="15" t="n"/>
      <c r="AC110" s="14" t="n"/>
      <c r="AD110" s="14" t="n"/>
      <c r="AE110" s="13" t="inlineStr">
        <is>
          <t>NOT_UPLOADED</t>
        </is>
      </c>
    </row>
    <row r="111" ht="16" customHeight="1">
      <c r="A111" s="17" t="n">
        <v>4103040003188</v>
      </c>
      <c r="B111" s="17" t="n">
        <v>4103040003188</v>
      </c>
      <c r="C111" s="13" t="n"/>
      <c r="D111" s="18" t="n"/>
      <c r="E111" s="18" t="inlineStr">
        <is>
          <t>ORB-4103040003188</t>
        </is>
      </c>
      <c r="F111" s="17" t="n"/>
      <c r="G111" s="18" t="inlineStr">
        <is>
          <t>Orbico</t>
        </is>
      </c>
      <c r="H111" s="18" t="inlineStr">
        <is>
          <t>Sebamed</t>
        </is>
      </c>
      <c r="I111" s="18" t="inlineStr">
        <is>
          <t>Sebamed - Clear Face Mattifying Cream 50ml</t>
        </is>
      </c>
      <c r="J111" s="18" t="inlineStr">
        <is>
          <t>No</t>
        </is>
      </c>
      <c r="K111" s="18" t="inlineStr">
        <is>
          <t>Sebamed - Clear Face Mattifying Cream 50ml</t>
        </is>
      </c>
      <c r="L111" s="18" t="inlineStr">
        <is>
          <t>B092LT742R</t>
        </is>
      </c>
      <c r="M111" s="19" t="n">
        <v>0</v>
      </c>
      <c r="N111" s="19" t="n">
        <v>0</v>
      </c>
      <c r="O111" s="19" t="n">
        <v>21.49</v>
      </c>
      <c r="P111" s="19">
        <f>O111/1.19</f>
        <v/>
      </c>
      <c r="Q111" s="19">
        <f>O111-P111</f>
        <v/>
      </c>
      <c r="R111" s="19">
        <f>O111*0.15</f>
        <v/>
      </c>
      <c r="S111" s="19" t="n">
        <v>10.86</v>
      </c>
      <c r="T111" s="19">
        <f>S111*0.2</f>
        <v/>
      </c>
      <c r="U111" s="19" t="n">
        <v>0.2</v>
      </c>
      <c r="V111" s="19" t="n">
        <v>4.22</v>
      </c>
      <c r="W111" s="19">
        <f>V111*0.2</f>
        <v/>
      </c>
      <c r="X111" s="21">
        <f>O111-Q111-R111-S111-U111-V111+T111+W111</f>
        <v/>
      </c>
      <c r="Y111" s="18" t="n"/>
      <c r="Z111" s="19">
        <f>O111+1.5</f>
        <v/>
      </c>
      <c r="AA111" s="19" t="n"/>
      <c r="AB111" s="19" t="n"/>
      <c r="AC111" s="18" t="n"/>
      <c r="AD111" s="18" t="n"/>
      <c r="AE111" s="13" t="inlineStr">
        <is>
          <t>NOT_UPLOADED</t>
        </is>
      </c>
    </row>
    <row r="112" ht="16" customHeight="1">
      <c r="A112" s="12" t="n">
        <v>4103040113672</v>
      </c>
      <c r="B112" s="12" t="n">
        <v>4103040113672</v>
      </c>
      <c r="C112" s="13" t="n"/>
      <c r="D112" s="14" t="n"/>
      <c r="E112" s="14" t="inlineStr">
        <is>
          <t>ORB-4103040113672</t>
        </is>
      </c>
      <c r="F112" s="12" t="n">
        <v>1100006542</v>
      </c>
      <c r="G112" s="14" t="inlineStr">
        <is>
          <t>Orbico</t>
        </is>
      </c>
      <c r="H112" s="14" t="inlineStr">
        <is>
          <t>Sebamed</t>
        </is>
      </c>
      <c r="I112" s="14" t="inlineStr">
        <is>
          <t>Baby Sebamed Cleansing Bar</t>
        </is>
      </c>
      <c r="J112" s="14" t="inlineStr">
        <is>
          <t>No</t>
        </is>
      </c>
      <c r="K112" s="14" t="inlineStr">
        <is>
          <t>https://www.amazon.de/dp/B001RYUEGS</t>
        </is>
      </c>
      <c r="L112" s="14" t="inlineStr">
        <is>
          <t>B001RYUEGS</t>
        </is>
      </c>
      <c r="M112" s="15" t="n">
        <v>14.69</v>
      </c>
      <c r="N112" s="15" t="n">
        <v>0</v>
      </c>
      <c r="O112" s="15" t="n">
        <v>10.99</v>
      </c>
      <c r="P112" s="15">
        <f>O112/1.19</f>
        <v/>
      </c>
      <c r="Q112" s="15">
        <f>O112-P112</f>
        <v/>
      </c>
      <c r="R112" s="15">
        <f>O112*0.15</f>
        <v/>
      </c>
      <c r="S112" s="15" t="n">
        <v>3.2</v>
      </c>
      <c r="T112" s="15">
        <f>S112*0.2</f>
        <v/>
      </c>
      <c r="U112" s="15" t="n">
        <v>0.4</v>
      </c>
      <c r="V112" s="15" t="n">
        <v>2.4</v>
      </c>
      <c r="W112" s="15">
        <f>V112*0.2</f>
        <v/>
      </c>
      <c r="X112" s="21">
        <f>O112-Q112-R112-S112-U112-V112+T112+W112</f>
        <v/>
      </c>
      <c r="Y112" s="14" t="n"/>
      <c r="Z112" s="15">
        <f>O112+1.5</f>
        <v/>
      </c>
      <c r="AA112" s="15" t="n"/>
      <c r="AB112" s="15" t="n"/>
      <c r="AC112" s="14" t="n"/>
      <c r="AD112" s="14" t="n"/>
      <c r="AE112" s="13" t="inlineStr">
        <is>
          <t>NOT_UPLOADED</t>
        </is>
      </c>
    </row>
    <row r="113" ht="16" customHeight="1">
      <c r="A113" s="17" t="n">
        <v>4103040113672</v>
      </c>
      <c r="B113" s="17" t="n">
        <v>4103040113672</v>
      </c>
      <c r="C113" s="13" t="n"/>
      <c r="D113" s="18" t="n"/>
      <c r="E113" s="18" t="inlineStr">
        <is>
          <t>ORB-4103040113672</t>
        </is>
      </c>
      <c r="F113" s="17" t="n">
        <v>1100006542</v>
      </c>
      <c r="G113" s="18" t="inlineStr">
        <is>
          <t>Orbico</t>
        </is>
      </c>
      <c r="H113" s="18" t="inlineStr">
        <is>
          <t>Sebamed</t>
        </is>
      </c>
      <c r="I113" s="18" t="inlineStr">
        <is>
          <t>Sebamed Baby Cleansing Bar 100g - (Pack of3)</t>
        </is>
      </c>
      <c r="J113" s="18" t="inlineStr">
        <is>
          <t>No</t>
        </is>
      </c>
      <c r="K113" s="18" t="inlineStr">
        <is>
          <t>https://www.amazon.de/-/en/Sebamed-Baby-Cleansing-Bar-100g/dp/B008S0RLAG/ref=sr_1_1?crid=CUKAZCAZGYOS&amp;dib=eyJ2IjoiMSJ9.vVELweGF8LoUi_JQvkncrQ.3vO42eUi6Nfqj-Kt_Q5esLmZ0YC2GXPLj_54XzFnlPE&amp;dib_tag=se&amp;keywords=B008S0RLAG&amp;qid=1769802586&amp;s=luxury-beauty&amp;sprefix=b008s0rlag%2Caps%2C133&amp;sr=1-1</t>
        </is>
      </c>
      <c r="L113" s="18" t="inlineStr">
        <is>
          <t>B008S0RLAG</t>
        </is>
      </c>
      <c r="M113" s="19" t="n">
        <v>14.69</v>
      </c>
      <c r="N113" s="19" t="n">
        <v>0</v>
      </c>
      <c r="O113" s="19" t="n">
        <v>23</v>
      </c>
      <c r="P113" s="19">
        <f>O113/1.19</f>
        <v/>
      </c>
      <c r="Q113" s="19">
        <f>O113-P113</f>
        <v/>
      </c>
      <c r="R113" s="19">
        <f>O113*0.15</f>
        <v/>
      </c>
      <c r="S113" s="19" t="n">
        <v>9.6</v>
      </c>
      <c r="T113" s="19">
        <f>S113*0.2</f>
        <v/>
      </c>
      <c r="U113" s="19" t="n">
        <v>0.4</v>
      </c>
      <c r="V113" s="19" t="n">
        <v>5.5</v>
      </c>
      <c r="W113" s="19">
        <f>V113*0.2</f>
        <v/>
      </c>
      <c r="X113" s="21">
        <f>O113-Q113-R113-S113-U113-V113+T113+W113</f>
        <v/>
      </c>
      <c r="Y113" s="18" t="n"/>
      <c r="Z113" s="19">
        <f>O113+1.5</f>
        <v/>
      </c>
      <c r="AA113" s="19" t="n"/>
      <c r="AB113" s="19" t="n"/>
      <c r="AC113" s="18" t="n"/>
      <c r="AD113" s="18" t="n"/>
      <c r="AE113" s="13" t="inlineStr">
        <is>
          <t>NOT_UPLOADED</t>
        </is>
      </c>
    </row>
    <row r="114" ht="16" customHeight="1">
      <c r="A114" s="12" t="n">
        <v>4103040149640</v>
      </c>
      <c r="B114" s="12" t="n">
        <v>4103040149640</v>
      </c>
      <c r="C114" s="13" t="n"/>
      <c r="D114" s="14" t="n"/>
      <c r="E114" s="14" t="inlineStr">
        <is>
          <t>ORB-4103040149640</t>
        </is>
      </c>
      <c r="F114" s="12" t="n"/>
      <c r="G114" s="14" t="inlineStr">
        <is>
          <t>Orbico</t>
        </is>
      </c>
      <c r="H114" s="14" t="inlineStr">
        <is>
          <t>Sebamed</t>
        </is>
      </c>
      <c r="I114" s="14" t="inlineStr">
        <is>
          <t>SEBAMED Baby Shampoo 500 ml</t>
        </is>
      </c>
      <c r="J114" s="14" t="inlineStr">
        <is>
          <t>No</t>
        </is>
      </c>
      <c r="K114" s="14" t="inlineStr">
        <is>
          <t>SEBAMED Baby Shampoo 500 ml</t>
        </is>
      </c>
      <c r="L114" s="14" t="inlineStr">
        <is>
          <t>B07S4HCDJP</t>
        </is>
      </c>
      <c r="M114" s="15" t="n">
        <v>0</v>
      </c>
      <c r="N114" s="15" t="n">
        <v>0</v>
      </c>
      <c r="O114" s="15" t="n">
        <v>23.4</v>
      </c>
      <c r="P114" s="15">
        <f>O114/1.19</f>
        <v/>
      </c>
      <c r="Q114" s="15">
        <f>O114-P114</f>
        <v/>
      </c>
      <c r="R114" s="15">
        <f>O114*0.15</f>
        <v/>
      </c>
      <c r="S114" s="15" t="n">
        <v>9.789999999999999</v>
      </c>
      <c r="T114" s="15">
        <f>S114*0.2</f>
        <v/>
      </c>
      <c r="U114" s="15" t="n">
        <v>0.2</v>
      </c>
      <c r="V114" s="15" t="n">
        <v>6.06</v>
      </c>
      <c r="W114" s="15">
        <f>V114*0.2</f>
        <v/>
      </c>
      <c r="X114" s="21">
        <f>O114-Q114-R114-S114-U114-V114+T114+W114</f>
        <v/>
      </c>
      <c r="Y114" s="14" t="n"/>
      <c r="Z114" s="15">
        <f>O114+1.5</f>
        <v/>
      </c>
      <c r="AA114" s="15" t="n"/>
      <c r="AB114" s="15" t="n"/>
      <c r="AC114" s="14" t="n"/>
      <c r="AD114" s="14" t="n"/>
      <c r="AE114" s="13" t="inlineStr">
        <is>
          <t>NOT_UPLOADED</t>
        </is>
      </c>
    </row>
    <row r="115" ht="16" customHeight="1">
      <c r="A115" s="17" t="n">
        <v>4103040147714</v>
      </c>
      <c r="B115" s="17" t="n">
        <v>4103040147714</v>
      </c>
      <c r="C115" s="13" t="n"/>
      <c r="D115" s="18" t="n"/>
      <c r="E115" s="18" t="inlineStr">
        <is>
          <t>ORB-4103040147714</t>
        </is>
      </c>
      <c r="F115" s="17" t="n">
        <v>1100006545</v>
      </c>
      <c r="G115" s="18" t="inlineStr">
        <is>
          <t>Orbico</t>
        </is>
      </c>
      <c r="H115" s="18" t="inlineStr">
        <is>
          <t>Sebamed</t>
        </is>
      </c>
      <c r="I115" s="18" t="inlineStr">
        <is>
          <t>Sebamed Sebamed Baby Wash Extra Soft 200ml</t>
        </is>
      </c>
      <c r="J115" s="18" t="inlineStr">
        <is>
          <t>No</t>
        </is>
      </c>
      <c r="K115" s="18" t="inlineStr">
        <is>
          <t>Sebamed Sebamed Baby Wash Extra Soft 200ml</t>
        </is>
      </c>
      <c r="L115" s="18" t="inlineStr">
        <is>
          <t>B00BSTXNPQ</t>
        </is>
      </c>
      <c r="M115" s="19" t="n">
        <v>16.48</v>
      </c>
      <c r="N115" s="19" t="n">
        <v>0</v>
      </c>
      <c r="O115" s="19" t="n">
        <v>19.4</v>
      </c>
      <c r="P115" s="19">
        <f>O115/1.19</f>
        <v/>
      </c>
      <c r="Q115" s="19">
        <f>O115-P115</f>
        <v/>
      </c>
      <c r="R115" s="19">
        <f>O115*0.15</f>
        <v/>
      </c>
      <c r="S115" s="19" t="n">
        <v>6.3</v>
      </c>
      <c r="T115" s="19">
        <f>S115*0.2</f>
        <v/>
      </c>
      <c r="U115" s="19" t="n">
        <v>0.4</v>
      </c>
      <c r="V115" s="19" t="n">
        <v>5.68</v>
      </c>
      <c r="W115" s="19">
        <f>V115*0.2</f>
        <v/>
      </c>
      <c r="X115" s="21">
        <f>O115-Q115-R115-S115-U115-V115+T115+W115</f>
        <v/>
      </c>
      <c r="Y115" s="18" t="n"/>
      <c r="Z115" s="19">
        <f>O115+1.5</f>
        <v/>
      </c>
      <c r="AA115" s="19" t="n"/>
      <c r="AB115" s="19" t="n"/>
      <c r="AC115" s="18" t="n"/>
      <c r="AD115" s="18" t="n"/>
      <c r="AE115" s="13" t="inlineStr">
        <is>
          <t>NOT_UPLOADED</t>
        </is>
      </c>
    </row>
    <row r="116" ht="16" customHeight="1">
      <c r="A116" s="12" t="n">
        <v>4103040922960</v>
      </c>
      <c r="B116" s="12" t="n">
        <v>4103040922960</v>
      </c>
      <c r="C116" s="13" t="n"/>
      <c r="D116" s="14" t="n"/>
      <c r="E116" s="14" t="inlineStr">
        <is>
          <t>ORB-4103040922960</t>
        </is>
      </c>
      <c r="F116" s="12" t="n">
        <v>1100006546</v>
      </c>
      <c r="G116" s="14" t="inlineStr">
        <is>
          <t>Orbico</t>
        </is>
      </c>
      <c r="H116" s="14" t="inlineStr">
        <is>
          <t>Sebamed</t>
        </is>
      </c>
      <c r="I116" s="14" t="inlineStr">
        <is>
          <t>Sebamed Baby Gentle Wash 400 ml mit Pumpe 200 ml</t>
        </is>
      </c>
      <c r="J116" s="14" t="inlineStr">
        <is>
          <t>No</t>
        </is>
      </c>
      <c r="K116" s="14" t="inlineStr">
        <is>
          <t>Sebamed Baby Gentle Wash 400 ml mit Pumpe 200 ml</t>
        </is>
      </c>
      <c r="L116" s="14" t="inlineStr">
        <is>
          <t>B089KPRBMR</t>
        </is>
      </c>
      <c r="M116" s="15" t="n">
        <v>0</v>
      </c>
      <c r="N116" s="15" t="n">
        <v>0</v>
      </c>
      <c r="O116" s="15" t="n">
        <v>24.99</v>
      </c>
      <c r="P116" s="15">
        <f>O116/1.19</f>
        <v/>
      </c>
      <c r="Q116" s="15">
        <f>O116-P116</f>
        <v/>
      </c>
      <c r="R116" s="15">
        <f>O116*0.15</f>
        <v/>
      </c>
      <c r="S116" s="15" t="n">
        <v>10.95</v>
      </c>
      <c r="T116" s="15">
        <f>S116*0.2</f>
        <v/>
      </c>
      <c r="U116" s="15" t="n">
        <v>0.4</v>
      </c>
      <c r="V116" s="15" t="n">
        <v>5.68</v>
      </c>
      <c r="W116" s="15">
        <f>V116*0.2</f>
        <v/>
      </c>
      <c r="X116" s="21">
        <f>O116-Q116-R116-S116-U116-V116+T116+W116</f>
        <v/>
      </c>
      <c r="Y116" s="14" t="n"/>
      <c r="Z116" s="15">
        <f>O116+1.5</f>
        <v/>
      </c>
      <c r="AA116" s="15" t="n"/>
      <c r="AB116" s="15" t="n"/>
      <c r="AC116" s="14" t="n"/>
      <c r="AD116" s="14" t="n"/>
      <c r="AE116" s="13" t="inlineStr">
        <is>
          <t>NOT_UPLOADED</t>
        </is>
      </c>
    </row>
    <row r="117" ht="16" customHeight="1">
      <c r="A117" s="17" t="n">
        <v>4103040113924</v>
      </c>
      <c r="B117" s="17" t="n">
        <v>4103040113924</v>
      </c>
      <c r="C117" s="13" t="n"/>
      <c r="D117" s="18" t="n"/>
      <c r="E117" s="18" t="inlineStr">
        <is>
          <t>ORB-4103040113924</t>
        </is>
      </c>
      <c r="F117" s="17" t="n"/>
      <c r="G117" s="18" t="inlineStr">
        <is>
          <t>Orbico</t>
        </is>
      </c>
      <c r="H117" s="18" t="inlineStr">
        <is>
          <t>Sebamed</t>
        </is>
      </c>
      <c r="I117" s="18" t="inlineStr">
        <is>
          <t>Sebamed Gel und Seife, 200 g, 3206224, 200ml</t>
        </is>
      </c>
      <c r="J117" s="18" t="inlineStr">
        <is>
          <t>No</t>
        </is>
      </c>
      <c r="K117" s="18" t="inlineStr">
        <is>
          <t>Sebamed Gel und Seife, 200 g, 3206224, 200ml</t>
        </is>
      </c>
      <c r="L117" s="18" t="inlineStr">
        <is>
          <t>B07D54LQHW</t>
        </is>
      </c>
      <c r="M117" s="19" t="n">
        <v>13.41</v>
      </c>
      <c r="N117" s="19" t="n">
        <v>15.92</v>
      </c>
      <c r="O117" s="19" t="n">
        <v>14.7</v>
      </c>
      <c r="P117" s="19">
        <f>O117/1.19</f>
        <v/>
      </c>
      <c r="Q117" s="19">
        <f>O117-P117</f>
        <v/>
      </c>
      <c r="R117" s="19">
        <f>O117*0.15</f>
        <v/>
      </c>
      <c r="S117" s="19" t="n">
        <v>5.35</v>
      </c>
      <c r="T117" s="19">
        <f>S117*0.2</f>
        <v/>
      </c>
      <c r="U117" s="19" t="n">
        <v>0.2</v>
      </c>
      <c r="V117" s="19" t="n">
        <v>4.22</v>
      </c>
      <c r="W117" s="19">
        <f>V117*0.2</f>
        <v/>
      </c>
      <c r="X117" s="21">
        <f>O117-Q117-R117-S117-U117-V117+T117+W117</f>
        <v/>
      </c>
      <c r="Y117" s="18" t="n"/>
      <c r="Z117" s="19">
        <f>O117+1.5</f>
        <v/>
      </c>
      <c r="AA117" s="19" t="n"/>
      <c r="AB117" s="19" t="n"/>
      <c r="AC117" s="18" t="n"/>
      <c r="AD117" s="18" t="n"/>
      <c r="AE117" s="13" t="inlineStr">
        <is>
          <t>NOT_UPLOADED</t>
        </is>
      </c>
    </row>
    <row r="118" ht="16" customHeight="1">
      <c r="A118" s="12" t="n">
        <v>4103040148711</v>
      </c>
      <c r="B118" s="12" t="n">
        <v>4103040148711</v>
      </c>
      <c r="C118" s="13" t="n"/>
      <c r="D118" s="14" t="n"/>
      <c r="E118" s="14" t="inlineStr">
        <is>
          <t>ORB-4103040148711</t>
        </is>
      </c>
      <c r="F118" s="12" t="n"/>
      <c r="G118" s="14" t="inlineStr">
        <is>
          <t>Orbico</t>
        </is>
      </c>
      <c r="H118" s="14" t="inlineStr">
        <is>
          <t>Sebamed</t>
        </is>
      </c>
      <c r="I118" s="14" t="inlineStr">
        <is>
          <t>Sebamed Baby Bubbe Bath 500Ml</t>
        </is>
      </c>
      <c r="J118" s="14" t="inlineStr">
        <is>
          <t>No</t>
        </is>
      </c>
      <c r="K118" s="14" t="inlineStr">
        <is>
          <t>Sebamed Baby Bubbe Bath 500Ml</t>
        </is>
      </c>
      <c r="L118" s="14" t="inlineStr">
        <is>
          <t>B00E0TE76A</t>
        </is>
      </c>
      <c r="M118" s="15" t="n">
        <v>22.23</v>
      </c>
      <c r="N118" s="15" t="n">
        <v>0</v>
      </c>
      <c r="O118" s="15" t="n">
        <v>23.59</v>
      </c>
      <c r="P118" s="15">
        <f>O118/1.19</f>
        <v/>
      </c>
      <c r="Q118" s="15">
        <f>O118-P118</f>
        <v/>
      </c>
      <c r="R118" s="15">
        <f>O118*0.15</f>
        <v/>
      </c>
      <c r="S118" s="15" t="n">
        <v>10.61</v>
      </c>
      <c r="T118" s="15">
        <f>S118*0.2</f>
        <v/>
      </c>
      <c r="U118" s="15" t="n">
        <v>0.2</v>
      </c>
      <c r="V118" s="15" t="n">
        <v>6.06</v>
      </c>
      <c r="W118" s="15">
        <f>V118*0.2</f>
        <v/>
      </c>
      <c r="X118" s="21">
        <f>O118-Q118-R118-S118-U118-V118+T118+W118</f>
        <v/>
      </c>
      <c r="Y118" s="14" t="n"/>
      <c r="Z118" s="15">
        <f>O118+1.5</f>
        <v/>
      </c>
      <c r="AA118" s="15" t="n"/>
      <c r="AB118" s="15" t="n"/>
      <c r="AC118" s="14" t="n"/>
      <c r="AD118" s="14" t="n"/>
      <c r="AE118" s="13" t="inlineStr">
        <is>
          <t>NOT_UPLOADED</t>
        </is>
      </c>
    </row>
    <row r="119" ht="16" customHeight="1">
      <c r="A119" s="17" t="n">
        <v>4103040186775</v>
      </c>
      <c r="B119" s="17" t="n">
        <v>4103040186775</v>
      </c>
      <c r="C119" s="13" t="n"/>
      <c r="D119" s="18" t="n"/>
      <c r="E119" s="18" t="inlineStr">
        <is>
          <t>ORB-4103040186775</t>
        </is>
      </c>
      <c r="F119" s="17" t="n">
        <v>1100006560</v>
      </c>
      <c r="G119" s="18" t="inlineStr">
        <is>
          <t>Orbico</t>
        </is>
      </c>
      <c r="H119" s="18" t="inlineStr">
        <is>
          <t>Sebamed</t>
        </is>
      </c>
      <c r="I119" s="18" t="inlineStr">
        <is>
          <t>Sebamed Sebamed Baby Lip Balm 4,8g</t>
        </is>
      </c>
      <c r="J119" s="18" t="inlineStr">
        <is>
          <t>No</t>
        </is>
      </c>
      <c r="K119" s="18" t="inlineStr">
        <is>
          <t>Sebamed Sebamed Baby Lip Balm 4,8g</t>
        </is>
      </c>
      <c r="L119" s="18" t="inlineStr">
        <is>
          <t>B00E0UEPUW</t>
        </is>
      </c>
      <c r="M119" s="19" t="n">
        <v>0</v>
      </c>
      <c r="N119" s="19" t="n">
        <v>0</v>
      </c>
      <c r="O119" s="19" t="n">
        <v>9.85</v>
      </c>
      <c r="P119" s="19">
        <f>O119/1.19</f>
        <v/>
      </c>
      <c r="Q119" s="19">
        <f>O119-P119</f>
        <v/>
      </c>
      <c r="R119" s="19">
        <f>O119*0.15</f>
        <v/>
      </c>
      <c r="S119" s="19" t="n">
        <v>2.92</v>
      </c>
      <c r="T119" s="19">
        <f>S119*0.2</f>
        <v/>
      </c>
      <c r="U119" s="19" t="n">
        <v>0.2</v>
      </c>
      <c r="V119" s="19" t="n">
        <v>2</v>
      </c>
      <c r="W119" s="19">
        <f>V119*0.2</f>
        <v/>
      </c>
      <c r="X119" s="21">
        <f>O119-Q119-R119-S119-U119-V119+T119+W119</f>
        <v/>
      </c>
      <c r="Y119" s="18" t="n"/>
      <c r="Z119" s="19">
        <f>O119+1.5</f>
        <v/>
      </c>
      <c r="AA119" s="19" t="n"/>
      <c r="AB119" s="19" t="n"/>
      <c r="AC119" s="18" t="n"/>
      <c r="AD119" s="18" t="n"/>
      <c r="AE119" s="13" t="inlineStr">
        <is>
          <t>NOT_UPLOADED</t>
        </is>
      </c>
    </row>
    <row r="120" ht="16" customHeight="1">
      <c r="A120" s="12" t="n">
        <v>4103040001504</v>
      </c>
      <c r="B120" s="12" t="n">
        <v>4103040186775</v>
      </c>
      <c r="C120" s="13" t="n"/>
      <c r="D120" s="14" t="n"/>
      <c r="E120" s="14" t="inlineStr">
        <is>
          <t>ORB-4103040001504</t>
        </is>
      </c>
      <c r="F120" s="12" t="n">
        <v>1100006560</v>
      </c>
      <c r="G120" s="14" t="inlineStr">
        <is>
          <t>Orbico</t>
        </is>
      </c>
      <c r="H120" s="14" t="inlineStr">
        <is>
          <t>Sebamed</t>
        </is>
      </c>
      <c r="I120" s="14" t="inlineStr">
        <is>
          <t>Sebamed Baby Baume Lip Protect Lippenbalsam, 4,8 g</t>
        </is>
      </c>
      <c r="J120" s="14" t="inlineStr">
        <is>
          <t>No</t>
        </is>
      </c>
      <c r="K120" s="14" t="inlineStr">
        <is>
          <t>https://www.amazon.de/dp/B00FZVH318</t>
        </is>
      </c>
      <c r="L120" s="14" t="inlineStr">
        <is>
          <t>B00FZVH318</t>
        </is>
      </c>
      <c r="M120" s="15" t="n"/>
      <c r="N120" s="15" t="n"/>
      <c r="O120" s="15" t="n">
        <v>9.949999999999999</v>
      </c>
      <c r="P120" s="15">
        <f>O120/1.19</f>
        <v/>
      </c>
      <c r="Q120" s="15">
        <f>O120-P120</f>
        <v/>
      </c>
      <c r="R120" s="15">
        <f>O120*0.15</f>
        <v/>
      </c>
      <c r="S120" s="15" t="n">
        <v>2.92</v>
      </c>
      <c r="T120" s="15">
        <f>S120*0.2</f>
        <v/>
      </c>
      <c r="U120" s="15" t="n">
        <v>0.4</v>
      </c>
      <c r="V120" s="15" t="n">
        <v>2</v>
      </c>
      <c r="W120" s="15">
        <f>V120*0.2</f>
        <v/>
      </c>
      <c r="X120" s="21">
        <f>O120-Q120-R120-S120-U120-V120+T120+W120</f>
        <v/>
      </c>
      <c r="Y120" s="14" t="n"/>
      <c r="Z120" s="15">
        <f>O120+1.5</f>
        <v/>
      </c>
      <c r="AA120" s="15" t="n"/>
      <c r="AB120" s="15" t="n"/>
      <c r="AC120" s="14" t="n"/>
      <c r="AD120" s="14" t="n"/>
      <c r="AE120" s="13" t="inlineStr">
        <is>
          <t>NOT_UPLOADED</t>
        </is>
      </c>
    </row>
    <row r="121" ht="16" customHeight="1">
      <c r="A121" s="17" t="n">
        <v>4103040023476</v>
      </c>
      <c r="B121" s="17" t="n">
        <v>4103040023476</v>
      </c>
      <c r="C121" s="13" t="n"/>
      <c r="D121" s="18" t="n"/>
      <c r="E121" s="18" t="inlineStr">
        <is>
          <t>ORB-4103040023476</t>
        </is>
      </c>
      <c r="F121" s="17" t="n">
        <v>1100006561</v>
      </c>
      <c r="G121" s="18" t="inlineStr">
        <is>
          <t>Orbico</t>
        </is>
      </c>
      <c r="H121" s="18" t="inlineStr">
        <is>
          <t>Sebamed</t>
        </is>
      </c>
      <c r="I121" s="18" t="inlineStr">
        <is>
          <t>Sebamed Babypuder mit Olivenöl für empfindliche Haut, 100 g</t>
        </is>
      </c>
      <c r="J121" s="18" t="inlineStr">
        <is>
          <t>No</t>
        </is>
      </c>
      <c r="K121" s="18" t="inlineStr">
        <is>
          <t>Sebamed Babypuder mit Olivenöl für empfindliche Haut, 100 g</t>
        </is>
      </c>
      <c r="L121" s="18" t="inlineStr">
        <is>
          <t>B089YYKS7H</t>
        </is>
      </c>
      <c r="M121" s="19" t="n">
        <v>12.45</v>
      </c>
      <c r="N121" s="19" t="n">
        <v>0</v>
      </c>
      <c r="O121" s="19" t="n">
        <v>13.45</v>
      </c>
      <c r="P121" s="19">
        <f>O121/1.19</f>
        <v/>
      </c>
      <c r="Q121" s="19">
        <f>O121-P121</f>
        <v/>
      </c>
      <c r="R121" s="19">
        <f>O121*0.15</f>
        <v/>
      </c>
      <c r="S121" s="19" t="n">
        <v>4.84</v>
      </c>
      <c r="T121" s="19">
        <f>S121*0.2</f>
        <v/>
      </c>
      <c r="U121" s="19" t="n">
        <v>0.4</v>
      </c>
      <c r="V121" s="19" t="n">
        <v>3.3</v>
      </c>
      <c r="W121" s="19">
        <f>V121*0.2</f>
        <v/>
      </c>
      <c r="X121" s="21">
        <f>O121-Q121-R121-S121-U121-V121+T121+W121</f>
        <v/>
      </c>
      <c r="Y121" s="18" t="n"/>
      <c r="Z121" s="19">
        <f>O121+1.5</f>
        <v/>
      </c>
      <c r="AA121" s="19" t="n"/>
      <c r="AB121" s="19" t="n"/>
      <c r="AC121" s="18" t="n"/>
      <c r="AD121" s="18" t="n"/>
      <c r="AE121" s="13" t="inlineStr">
        <is>
          <t>NOT_UPLOADED</t>
        </is>
      </c>
    </row>
    <row r="122" ht="16" customHeight="1">
      <c r="A122" s="12" t="n">
        <v>4103040006011</v>
      </c>
      <c r="B122" s="12" t="n">
        <v>4103040006011</v>
      </c>
      <c r="C122" s="13" t="n"/>
      <c r="D122" s="14" t="n"/>
      <c r="E122" s="14" t="inlineStr">
        <is>
          <t>ORB-4103040006011</t>
        </is>
      </c>
      <c r="F122" s="12" t="n"/>
      <c r="G122" s="14" t="inlineStr">
        <is>
          <t>Orbico</t>
        </is>
      </c>
      <c r="H122" s="14" t="inlineStr">
        <is>
          <t>Sebamed</t>
        </is>
      </c>
      <c r="I122" s="14" t="inlineStr">
        <is>
          <t>Sebamed Babypuder 200g für zarte Haut</t>
        </is>
      </c>
      <c r="J122" s="14" t="inlineStr">
        <is>
          <t>No</t>
        </is>
      </c>
      <c r="K122" s="14" t="inlineStr">
        <is>
          <t>Sebamed Babypuder 200g für zarte Haut</t>
        </is>
      </c>
      <c r="L122" s="14" t="inlineStr">
        <is>
          <t>B089YVBPBH</t>
        </is>
      </c>
      <c r="M122" s="15" t="n">
        <v>17.58</v>
      </c>
      <c r="N122" s="15" t="n">
        <v>0</v>
      </c>
      <c r="O122" s="15" t="n">
        <v>17.2</v>
      </c>
      <c r="P122" s="15">
        <f>O122/1.19</f>
        <v/>
      </c>
      <c r="Q122" s="15">
        <f>O122-P122</f>
        <v/>
      </c>
      <c r="R122" s="15">
        <f>O122*0.15</f>
        <v/>
      </c>
      <c r="S122" s="15" t="n">
        <v>7.77</v>
      </c>
      <c r="T122" s="15">
        <f>S122*0.2</f>
        <v/>
      </c>
      <c r="U122" s="15" t="n">
        <v>0.2</v>
      </c>
      <c r="V122" s="15" t="n">
        <v>4.22</v>
      </c>
      <c r="W122" s="15">
        <f>V122*0.2</f>
        <v/>
      </c>
      <c r="X122" s="21">
        <f>O122-Q122-R122-S122-U122-V122+T122+W122</f>
        <v/>
      </c>
      <c r="Y122" s="14" t="n"/>
      <c r="Z122" s="15">
        <f>O122+1.5</f>
        <v/>
      </c>
      <c r="AA122" s="15" t="n"/>
      <c r="AB122" s="15" t="n"/>
      <c r="AC122" s="14" t="n"/>
      <c r="AD122" s="14" t="n"/>
      <c r="AE122" s="13" t="inlineStr">
        <is>
          <t>NOT_UPLOADED</t>
        </is>
      </c>
    </row>
    <row r="123" ht="16" customHeight="1">
      <c r="A123" s="17" t="n">
        <v>4103040167347</v>
      </c>
      <c r="B123" s="17" t="n">
        <v>4103040167347</v>
      </c>
      <c r="C123" s="13" t="n"/>
      <c r="D123" s="18" t="n"/>
      <c r="E123" s="18" t="inlineStr">
        <is>
          <t>ORB-4103040167347</t>
        </is>
      </c>
      <c r="F123" s="17" t="n">
        <v>1100006558</v>
      </c>
      <c r="G123" s="18" t="inlineStr">
        <is>
          <t>Orbico</t>
        </is>
      </c>
      <c r="H123" s="18" t="inlineStr">
        <is>
          <t>Sebamed</t>
        </is>
      </c>
      <c r="I123" s="18" t="inlineStr">
        <is>
          <t>Sebamed Baby Diaper Rash Cream 100 ml</t>
        </is>
      </c>
      <c r="J123" s="18" t="inlineStr">
        <is>
          <t>No</t>
        </is>
      </c>
      <c r="K123" s="18" t="inlineStr">
        <is>
          <t>Sebamed Baby Diaper Rash Cream 100 ml</t>
        </is>
      </c>
      <c r="L123" s="18" t="inlineStr">
        <is>
          <t>B00DRE5C3Q</t>
        </is>
      </c>
      <c r="M123" s="19" t="n">
        <v>14.95</v>
      </c>
      <c r="N123" s="19" t="n">
        <v>0</v>
      </c>
      <c r="O123" s="19" t="n">
        <v>15.89</v>
      </c>
      <c r="P123" s="19">
        <f>O123/1.19</f>
        <v/>
      </c>
      <c r="Q123" s="19">
        <f>O123-P123</f>
        <v/>
      </c>
      <c r="R123" s="19">
        <f>O123*0.15</f>
        <v/>
      </c>
      <c r="S123" s="19" t="n">
        <v>7.7</v>
      </c>
      <c r="T123" s="19">
        <f>S123*0.2</f>
        <v/>
      </c>
      <c r="U123" s="19" t="n">
        <v>0.2</v>
      </c>
      <c r="V123" s="19" t="n">
        <v>2.82</v>
      </c>
      <c r="W123" s="19">
        <f>V123*0.2</f>
        <v/>
      </c>
      <c r="X123" s="21">
        <f>O123-Q123-R123-S123-U123-V123+T123+W123</f>
        <v/>
      </c>
      <c r="Y123" s="18" t="n"/>
      <c r="Z123" s="19">
        <f>O123+1.5</f>
        <v/>
      </c>
      <c r="AA123" s="19" t="n"/>
      <c r="AB123" s="19" t="n"/>
      <c r="AC123" s="18" t="n"/>
      <c r="AD123" s="18" t="n"/>
      <c r="AE123" s="13" t="inlineStr">
        <is>
          <t>NOT_UPLOADED</t>
        </is>
      </c>
    </row>
    <row r="124" ht="16" customHeight="1">
      <c r="A124" s="12" t="n">
        <v>4103040120465</v>
      </c>
      <c r="B124" s="12" t="n">
        <v>4103040120465</v>
      </c>
      <c r="C124" s="13" t="n"/>
      <c r="D124" s="14" t="n"/>
      <c r="E124" s="14" t="inlineStr">
        <is>
          <t>ORB-4103040120465</t>
        </is>
      </c>
      <c r="F124" s="12" t="n"/>
      <c r="G124" s="14" t="inlineStr">
        <is>
          <t>Orbico</t>
        </is>
      </c>
      <c r="H124" s="14" t="inlineStr">
        <is>
          <t>Sebamed</t>
        </is>
      </c>
      <c r="I124" s="14" t="inlineStr">
        <is>
          <t>SEBAMED BABY CRM EXT SOFT</t>
        </is>
      </c>
      <c r="J124" s="14" t="inlineStr">
        <is>
          <t>No</t>
        </is>
      </c>
      <c r="K124" s="14" t="inlineStr">
        <is>
          <t>SEBAMED BABY CRM EXT SOFT</t>
        </is>
      </c>
      <c r="L124" s="14" t="inlineStr">
        <is>
          <t>B004X62MIK</t>
        </is>
      </c>
      <c r="M124" s="15" t="n">
        <v>9.289999999999999</v>
      </c>
      <c r="N124" s="15" t="n">
        <v>0</v>
      </c>
      <c r="O124" s="15" t="n">
        <v>8.99</v>
      </c>
      <c r="P124" s="15">
        <f>O124/1.19</f>
        <v/>
      </c>
      <c r="Q124" s="15">
        <f>O124-P124</f>
        <v/>
      </c>
      <c r="R124" s="15">
        <f>O124*0.15</f>
        <v/>
      </c>
      <c r="S124" s="15" t="n">
        <v>3.44</v>
      </c>
      <c r="T124" s="15">
        <f>S124*0.2</f>
        <v/>
      </c>
      <c r="U124" s="15" t="n">
        <v>0.2</v>
      </c>
      <c r="V124" s="15" t="n">
        <v>2.25</v>
      </c>
      <c r="W124" s="15">
        <f>V124*0.2</f>
        <v/>
      </c>
      <c r="X124" s="16">
        <f>O124-Q124-R124-S124-U124-V124+T124+W124</f>
        <v/>
      </c>
      <c r="Y124" s="14" t="n"/>
      <c r="Z124" s="15">
        <f>O124+1.5</f>
        <v/>
      </c>
      <c r="AA124" s="15" t="n"/>
      <c r="AB124" s="15" t="n"/>
      <c r="AC124" s="14" t="n"/>
      <c r="AD124" s="14" t="n"/>
      <c r="AE124" s="13" t="inlineStr">
        <is>
          <t>NOT_UPLOADED</t>
        </is>
      </c>
    </row>
    <row r="125" ht="16" customHeight="1">
      <c r="A125" s="17" t="n">
        <v>4103040122452</v>
      </c>
      <c r="B125" s="17" t="n">
        <v>4103040122452</v>
      </c>
      <c r="C125" s="13" t="n"/>
      <c r="D125" s="18" t="n"/>
      <c r="E125" s="18" t="inlineStr">
        <is>
          <t>ORB-4103040122452</t>
        </is>
      </c>
      <c r="F125" s="17" t="n"/>
      <c r="G125" s="18" t="inlineStr">
        <is>
          <t>Orbico</t>
        </is>
      </c>
      <c r="H125" s="18" t="inlineStr">
        <is>
          <t>Sebamed</t>
        </is>
      </c>
      <c r="I125" s="18" t="inlineStr">
        <is>
          <t>Sebamed Baby Lotion 200 ml 200 ml</t>
        </is>
      </c>
      <c r="J125" s="18" t="inlineStr">
        <is>
          <t>No</t>
        </is>
      </c>
      <c r="K125" s="18" t="inlineStr">
        <is>
          <t>Sebamed Baby Lotion 200 ml 200 ml</t>
        </is>
      </c>
      <c r="L125" s="18" t="inlineStr">
        <is>
          <t>B079VTHB18</t>
        </is>
      </c>
      <c r="M125" s="19" t="n">
        <v>0</v>
      </c>
      <c r="N125" s="19" t="n">
        <v>0</v>
      </c>
      <c r="O125" s="19" t="n">
        <v>18.7</v>
      </c>
      <c r="P125" s="19">
        <f>O125/1.19</f>
        <v/>
      </c>
      <c r="Q125" s="19">
        <f>O125-P125</f>
        <v/>
      </c>
      <c r="R125" s="19">
        <f>O125*0.15</f>
        <v/>
      </c>
      <c r="S125" s="19" t="n">
        <v>8.880000000000001</v>
      </c>
      <c r="T125" s="19">
        <f>S125*0.2</f>
        <v/>
      </c>
      <c r="U125" s="19" t="n">
        <v>0.2</v>
      </c>
      <c r="V125" s="19" t="n">
        <v>3.96</v>
      </c>
      <c r="W125" s="19">
        <f>V125*0.2</f>
        <v/>
      </c>
      <c r="X125" s="21">
        <f>O125-Q125-R125-S125-U125-V125+T125+W125</f>
        <v/>
      </c>
      <c r="Y125" s="18" t="n"/>
      <c r="Z125" s="19">
        <f>O125+1.5</f>
        <v/>
      </c>
      <c r="AA125" s="19" t="n"/>
      <c r="AB125" s="19" t="n"/>
      <c r="AC125" s="18" t="n"/>
      <c r="AD125" s="18" t="n"/>
      <c r="AE125" s="13" t="inlineStr">
        <is>
          <t>NOT_UPLOADED</t>
        </is>
      </c>
    </row>
    <row r="126" ht="16" customHeight="1">
      <c r="A126" s="12" t="n">
        <v>4103040147738</v>
      </c>
      <c r="B126" s="12" t="n">
        <v>4103040147738</v>
      </c>
      <c r="C126" s="13" t="n"/>
      <c r="D126" s="14" t="n"/>
      <c r="E126" s="14" t="inlineStr">
        <is>
          <t>ORB-4103040147738</t>
        </is>
      </c>
      <c r="F126" s="12" t="n"/>
      <c r="G126" s="14" t="inlineStr">
        <is>
          <t>Orbico</t>
        </is>
      </c>
      <c r="H126" s="14" t="inlineStr">
        <is>
          <t>Sebamed</t>
        </is>
      </c>
      <c r="I126" s="14" t="inlineStr">
        <is>
          <t>Sebamed Baby Body Milk 200 ml</t>
        </is>
      </c>
      <c r="J126" s="14" t="inlineStr">
        <is>
          <t>No</t>
        </is>
      </c>
      <c r="K126" s="14" t="inlineStr">
        <is>
          <t>Sebamed Baby Body Milk 200 ml</t>
        </is>
      </c>
      <c r="L126" s="14" t="inlineStr">
        <is>
          <t>B00E0T73MU</t>
        </is>
      </c>
      <c r="M126" s="15" t="n">
        <v>20.38</v>
      </c>
      <c r="N126" s="15" t="n">
        <v>0</v>
      </c>
      <c r="O126" s="15" t="n">
        <v>22.9</v>
      </c>
      <c r="P126" s="15">
        <f>O126/1.19</f>
        <v/>
      </c>
      <c r="Q126" s="15">
        <f>O126-P126</f>
        <v/>
      </c>
      <c r="R126" s="15">
        <f>O126*0.15</f>
        <v/>
      </c>
      <c r="S126" s="15" t="n">
        <v>9.52</v>
      </c>
      <c r="T126" s="15">
        <f>S126*0.2</f>
        <v/>
      </c>
      <c r="U126" s="15" t="n">
        <v>0.2</v>
      </c>
      <c r="V126" s="15" t="n">
        <v>6.06</v>
      </c>
      <c r="W126" s="15">
        <f>V126*0.2</f>
        <v/>
      </c>
      <c r="X126" s="21">
        <f>O126-Q126-R126-S126-U126-V126+T126+W126</f>
        <v/>
      </c>
      <c r="Y126" s="14" t="n"/>
      <c r="Z126" s="15">
        <f>O126+1.5</f>
        <v/>
      </c>
      <c r="AA126" s="15" t="n"/>
      <c r="AB126" s="15" t="n"/>
      <c r="AC126" s="14" t="n"/>
      <c r="AD126" s="14" t="n"/>
      <c r="AE126" s="13" t="inlineStr">
        <is>
          <t>NOT_UPLOADED</t>
        </is>
      </c>
    </row>
    <row r="127" ht="16" customHeight="1">
      <c r="A127" s="17" t="n">
        <v>4103040114587</v>
      </c>
      <c r="B127" s="17" t="n">
        <v>4103040114587</v>
      </c>
      <c r="C127" s="13" t="n"/>
      <c r="D127" s="18" t="n"/>
      <c r="E127" s="18" t="inlineStr">
        <is>
          <t>ORB-4103040114587</t>
        </is>
      </c>
      <c r="F127" s="17" t="n"/>
      <c r="G127" s="18" t="inlineStr">
        <is>
          <t>Orbico</t>
        </is>
      </c>
      <c r="H127" s="18" t="inlineStr">
        <is>
          <t>Sebamed</t>
        </is>
      </c>
      <c r="I127" s="18" t="inlineStr">
        <is>
          <t>Sebamed 150 ml Babyhautpflegeöl</t>
        </is>
      </c>
      <c r="J127" s="18" t="inlineStr">
        <is>
          <t>No</t>
        </is>
      </c>
      <c r="K127" s="18" t="inlineStr">
        <is>
          <t>Sebamed 150 ml Babyhautpflegeöl</t>
        </is>
      </c>
      <c r="L127" s="18" t="inlineStr">
        <is>
          <t>B07DDNWQ2K</t>
        </is>
      </c>
      <c r="M127" s="19" t="n">
        <v>13.71</v>
      </c>
      <c r="N127" s="19" t="n">
        <v>0</v>
      </c>
      <c r="O127" s="19" t="n">
        <v>14.9</v>
      </c>
      <c r="P127" s="19">
        <f>O127/1.19</f>
        <v/>
      </c>
      <c r="Q127" s="19">
        <f>O127-P127</f>
        <v/>
      </c>
      <c r="R127" s="19">
        <f>O127*0.15</f>
        <v/>
      </c>
      <c r="S127" s="19" t="n">
        <v>5.64</v>
      </c>
      <c r="T127" s="19">
        <f>S127*0.2</f>
        <v/>
      </c>
      <c r="U127" s="19" t="n">
        <v>0.2</v>
      </c>
      <c r="V127" s="19" t="n">
        <v>4.22</v>
      </c>
      <c r="W127" s="19">
        <f>V127*0.2</f>
        <v/>
      </c>
      <c r="X127" s="21">
        <f>O127-Q127-R127-S127-U127-V127+T127+W127</f>
        <v/>
      </c>
      <c r="Y127" s="18" t="n"/>
      <c r="Z127" s="19">
        <f>O127+1.5</f>
        <v/>
      </c>
      <c r="AA127" s="19" t="n"/>
      <c r="AB127" s="19" t="n"/>
      <c r="AC127" s="18" t="n"/>
      <c r="AD127" s="18" t="n"/>
      <c r="AE127" s="13" t="inlineStr">
        <is>
          <t>NOT_UPLOADED</t>
        </is>
      </c>
    </row>
    <row r="128" ht="16" customHeight="1">
      <c r="A128" s="12" t="n">
        <v>4103040040688</v>
      </c>
      <c r="B128" s="12" t="n">
        <v>4103040040688</v>
      </c>
      <c r="C128" s="13" t="n"/>
      <c r="D128" s="14" t="n"/>
      <c r="E128" s="14" t="inlineStr">
        <is>
          <t>ORB-4103040040688</t>
        </is>
      </c>
      <c r="F128" s="12" t="n"/>
      <c r="G128" s="14" t="inlineStr">
        <is>
          <t>Orbico</t>
        </is>
      </c>
      <c r="H128" s="14" t="inlineStr">
        <is>
          <t>Sebamed</t>
        </is>
      </c>
      <c r="I128" s="14" t="inlineStr">
        <is>
          <t>BABY toallitas limpiadoras 60 u</t>
        </is>
      </c>
      <c r="J128" s="14" t="inlineStr">
        <is>
          <t>No</t>
        </is>
      </c>
      <c r="K128" s="14" t="inlineStr">
        <is>
          <t>BABY toallitas limpiadoras 60 u</t>
        </is>
      </c>
      <c r="L128" s="14" t="inlineStr">
        <is>
          <t>B09Z33XS7Y</t>
        </is>
      </c>
      <c r="M128" s="15" t="n">
        <v>14.1</v>
      </c>
      <c r="N128" s="15" t="n">
        <v>0</v>
      </c>
      <c r="O128" s="15" t="n">
        <v>14.99</v>
      </c>
      <c r="P128" s="15">
        <f>O128/1.19</f>
        <v/>
      </c>
      <c r="Q128" s="15">
        <f>O128-P128</f>
        <v/>
      </c>
      <c r="R128" s="15">
        <f>O128*0.15</f>
        <v/>
      </c>
      <c r="S128" s="15" t="n">
        <v>6.04</v>
      </c>
      <c r="T128" s="15">
        <f>S128*0.2</f>
        <v/>
      </c>
      <c r="U128" s="15" t="n">
        <v>0.2</v>
      </c>
      <c r="V128" s="15" t="n">
        <v>4.22</v>
      </c>
      <c r="W128" s="15">
        <f>V128*0.2</f>
        <v/>
      </c>
      <c r="X128" s="16">
        <f>O128-Q128-R128-S128-U128-V128+T128+W128</f>
        <v/>
      </c>
      <c r="Y128" s="14" t="n"/>
      <c r="Z128" s="15">
        <f>O128+1.5</f>
        <v/>
      </c>
      <c r="AA128" s="15" t="n"/>
      <c r="AB128" s="15" t="n"/>
      <c r="AC128" s="14" t="n"/>
      <c r="AD128" s="14" t="n"/>
      <c r="AE128" s="13" t="inlineStr">
        <is>
          <t>NOT_UPLOADED</t>
        </is>
      </c>
    </row>
    <row r="129" ht="16" customHeight="1">
      <c r="A129" s="17" t="n">
        <v>4103040898265</v>
      </c>
      <c r="B129" s="17" t="n">
        <v>4103040898265</v>
      </c>
      <c r="C129" s="13" t="n"/>
      <c r="D129" s="18" t="n"/>
      <c r="E129" s="18" t="inlineStr">
        <is>
          <t>ORB-4103040898265</t>
        </is>
      </c>
      <c r="F129" s="17" t="n"/>
      <c r="G129" s="18" t="inlineStr">
        <is>
          <t>Orbico</t>
        </is>
      </c>
      <c r="H129" s="18" t="inlineStr">
        <is>
          <t>Sebamed</t>
        </is>
      </c>
      <c r="I129" s="18" t="inlineStr">
        <is>
          <t>Balm After Sunbathing Sun Care (Soothing Balm) 150 ml</t>
        </is>
      </c>
      <c r="J129" s="18" t="inlineStr">
        <is>
          <t>No</t>
        </is>
      </c>
      <c r="K129" s="18" t="inlineStr">
        <is>
          <t>Balm After Sunbathing Sun Care (Soothing Balm) 150 ml</t>
        </is>
      </c>
      <c r="L129" s="18" t="inlineStr">
        <is>
          <t>B079VVLDTL</t>
        </is>
      </c>
      <c r="M129" s="19" t="n">
        <v>19.68</v>
      </c>
      <c r="N129" s="19" t="n">
        <v>0</v>
      </c>
      <c r="O129" s="19" t="n">
        <v>18.99</v>
      </c>
      <c r="P129" s="19">
        <f>O129/1.19</f>
        <v/>
      </c>
      <c r="Q129" s="19">
        <f>O129-P129</f>
        <v/>
      </c>
      <c r="R129" s="19">
        <f>O129*0.15</f>
        <v/>
      </c>
      <c r="S129" s="19" t="n">
        <v>8.43</v>
      </c>
      <c r="T129" s="19">
        <f>S129*0.2</f>
        <v/>
      </c>
      <c r="U129" s="19" t="n">
        <v>0.2</v>
      </c>
      <c r="V129" s="19" t="n">
        <v>4.22</v>
      </c>
      <c r="W129" s="19">
        <f>V129*0.2</f>
        <v/>
      </c>
      <c r="X129" s="21">
        <f>O129-Q129-R129-S129-U129-V129+T129+W129</f>
        <v/>
      </c>
      <c r="Y129" s="18" t="n"/>
      <c r="Z129" s="19">
        <f>O129+1.5</f>
        <v/>
      </c>
      <c r="AA129" s="19" t="n"/>
      <c r="AB129" s="19" t="n"/>
      <c r="AC129" s="18" t="n"/>
      <c r="AD129" s="18" t="n"/>
      <c r="AE129" s="13" t="inlineStr">
        <is>
          <t>NOT_UPLOADED</t>
        </is>
      </c>
    </row>
    <row r="130" ht="16" customHeight="1">
      <c r="A130" s="12" t="n"/>
      <c r="B130" s="12" t="n">
        <v>4103040148735</v>
      </c>
      <c r="C130" s="13" t="n"/>
      <c r="D130" s="14" t="n"/>
      <c r="E130" s="14" t="inlineStr">
        <is>
          <t>ORB-4103040148735</t>
        </is>
      </c>
      <c r="F130" s="12" t="n">
        <v>1100006549</v>
      </c>
      <c r="G130" s="14" t="inlineStr">
        <is>
          <t>Orbico</t>
        </is>
      </c>
      <c r="H130" s="14" t="inlineStr">
        <is>
          <t>Sebamed</t>
        </is>
      </c>
      <c r="I130" s="14" t="inlineStr">
        <is>
          <t>Sebamed Gel and Soap 200g 3206224 200ml</t>
        </is>
      </c>
      <c r="J130" s="14" t="inlineStr">
        <is>
          <t>No</t>
        </is>
      </c>
      <c r="K130" s="14" t="inlineStr">
        <is>
          <t>https://www.amazon.de/gp/product/B00E0UKUD8</t>
        </is>
      </c>
      <c r="L130" s="14" t="inlineStr">
        <is>
          <t>B00E0UKUD8</t>
        </is>
      </c>
      <c r="M130" s="15" t="n"/>
      <c r="N130" s="15" t="n"/>
      <c r="O130" s="15" t="n">
        <v>17.99</v>
      </c>
      <c r="P130" s="15">
        <f>O130/1.19</f>
        <v/>
      </c>
      <c r="Q130" s="15">
        <f>O130-P130</f>
        <v/>
      </c>
      <c r="R130" s="15">
        <f>O130*0.15</f>
        <v/>
      </c>
      <c r="S130" s="15" t="n">
        <v>5.64</v>
      </c>
      <c r="T130" s="15">
        <f>S130*0.2</f>
        <v/>
      </c>
      <c r="U130" s="15" t="n">
        <v>0.2</v>
      </c>
      <c r="V130" s="15" t="n">
        <v>4.65</v>
      </c>
      <c r="W130" s="15">
        <f>V130*0.2</f>
        <v/>
      </c>
      <c r="X130" s="21">
        <f>O130-Q130-R130-S130-U130-V130+T130+W130</f>
        <v/>
      </c>
      <c r="Y130" s="14" t="n"/>
      <c r="Z130" s="15">
        <f>O130+1.5</f>
        <v/>
      </c>
      <c r="AA130" s="15" t="n"/>
      <c r="AB130" s="15" t="n"/>
      <c r="AC130" s="14" t="n"/>
      <c r="AD130" s="14" t="n"/>
      <c r="AE130" s="13" t="inlineStr">
        <is>
          <t>NOT_UPLOADED</t>
        </is>
      </c>
    </row>
    <row r="131" ht="16" customHeight="1">
      <c r="A131" s="17" t="n">
        <v>8023628900196</v>
      </c>
      <c r="B131" s="17" t="n">
        <v>8023628900196</v>
      </c>
      <c r="C131" s="13" t="n"/>
      <c r="D131" s="18" t="n"/>
      <c r="E131" s="18" t="inlineStr">
        <is>
          <t>SYN-8023628900196</t>
        </is>
      </c>
      <c r="F131" s="17" t="n"/>
      <c r="G131" s="18" t="inlineStr">
        <is>
          <t>Remedium</t>
        </is>
      </c>
      <c r="H131" s="18" t="inlineStr">
        <is>
          <t>Synchroline</t>
        </is>
      </c>
      <c r="I131" s="18" t="inlineStr">
        <is>
          <t>Aknicare Sun Teintee Dore 50ml</t>
        </is>
      </c>
      <c r="J131" s="18" t="inlineStr">
        <is>
          <t>No</t>
        </is>
      </c>
      <c r="K131" s="18" t="inlineStr">
        <is>
          <t>https://www.amazon.de/dp/B00CH2MGF6</t>
        </is>
      </c>
      <c r="L131" s="18" t="inlineStr">
        <is>
          <t>B00CH2MGF6</t>
        </is>
      </c>
      <c r="M131" s="19" t="n">
        <v>39.59</v>
      </c>
      <c r="N131" s="19" t="n">
        <v>0</v>
      </c>
      <c r="O131" s="19" t="n">
        <v>29.8</v>
      </c>
      <c r="P131" s="19">
        <f>O131/1.19</f>
        <v/>
      </c>
      <c r="Q131" s="19">
        <f>O131-P131</f>
        <v/>
      </c>
      <c r="R131" s="19">
        <f>O131*0.15</f>
        <v/>
      </c>
      <c r="S131" s="19" t="n">
        <v>15.28</v>
      </c>
      <c r="T131" s="19">
        <f>S131*0.2</f>
        <v/>
      </c>
      <c r="U131" s="19" t="n">
        <v>0.4</v>
      </c>
      <c r="V131" s="19" t="n">
        <v>4.22</v>
      </c>
      <c r="W131" s="19">
        <f>V131*0.2</f>
        <v/>
      </c>
      <c r="X131" s="21">
        <f>O131-Q131-R131-S131-U131-V131+T131+W131</f>
        <v/>
      </c>
      <c r="Y131" s="18" t="n"/>
      <c r="Z131" s="19">
        <f>O131+1.5</f>
        <v/>
      </c>
      <c r="AA131" s="19" t="n"/>
      <c r="AB131" s="19" t="n"/>
      <c r="AC131" s="18" t="n"/>
      <c r="AD131" s="18" t="n"/>
      <c r="AE131" s="13" t="inlineStr">
        <is>
          <t>NOT_UPLOADED</t>
        </is>
      </c>
    </row>
    <row r="132" ht="16" customHeight="1">
      <c r="A132" s="12" t="n">
        <v>765326429088</v>
      </c>
      <c r="B132" s="12" t="n">
        <v>765326429088</v>
      </c>
      <c r="C132" s="13" t="n"/>
      <c r="D132" s="14" t="n"/>
      <c r="E132" s="14" t="inlineStr">
        <is>
          <t>GA-765326429088</t>
        </is>
      </c>
      <c r="F132" s="12" t="n">
        <v>10256065</v>
      </c>
      <c r="G132" s="14" t="inlineStr">
        <is>
          <t>Bebolino</t>
        </is>
      </c>
      <c r="H132" s="14" t="inlineStr">
        <is>
          <t>Nuk</t>
        </is>
      </c>
      <c r="I132" s="14" t="inlineStr">
        <is>
          <t>NUK Nasal Decongester (1 pack)</t>
        </is>
      </c>
      <c r="J132" s="14" t="inlineStr">
        <is>
          <t>No</t>
        </is>
      </c>
      <c r="K132" s="14" t="inlineStr">
        <is>
          <t>https://www.amazon.de/dp/B000N1XPRQ</t>
        </is>
      </c>
      <c r="L132" s="14" t="inlineStr">
        <is>
          <t>B000N1XPRQ</t>
        </is>
      </c>
      <c r="M132" s="15" t="n">
        <v>8.6</v>
      </c>
      <c r="N132" s="15" t="n">
        <v>0</v>
      </c>
      <c r="O132" s="15" t="n">
        <v>8.449999999999999</v>
      </c>
      <c r="P132" s="15">
        <f>O132/1.19</f>
        <v/>
      </c>
      <c r="Q132" s="15">
        <f>O132-P132</f>
        <v/>
      </c>
      <c r="R132" s="15">
        <f>O132*0.15</f>
        <v/>
      </c>
      <c r="S132" s="15" t="n">
        <v>3.12</v>
      </c>
      <c r="T132" s="15">
        <f>S132*0.2</f>
        <v/>
      </c>
      <c r="U132" s="15" t="n">
        <v>0.4</v>
      </c>
      <c r="V132" s="15" t="n">
        <v>2.33</v>
      </c>
      <c r="W132" s="15">
        <f>V132*0.2</f>
        <v/>
      </c>
      <c r="X132" s="16">
        <f>O132-Q132-R132-S132-U132-V132+T132+W132</f>
        <v/>
      </c>
      <c r="Y132" s="14" t="n"/>
      <c r="Z132" s="15">
        <f>O132+1.5</f>
        <v/>
      </c>
      <c r="AA132" s="15" t="n"/>
      <c r="AB132" s="15" t="n"/>
      <c r="AC132" s="14" t="n"/>
      <c r="AD132" s="14" t="n"/>
      <c r="AE132" s="13" t="inlineStr">
        <is>
          <t>NOT_UPLOADED</t>
        </is>
      </c>
    </row>
    <row r="133" ht="16" customHeight="1">
      <c r="A133" s="17" t="n">
        <v>4008600405429</v>
      </c>
      <c r="B133" s="17" t="n">
        <v>4008600405429</v>
      </c>
      <c r="C133" s="13" t="n"/>
      <c r="D133" s="18" t="n"/>
      <c r="E133" s="18" t="inlineStr">
        <is>
          <t>GA-4008600405429</t>
        </is>
      </c>
      <c r="F133" s="17" t="n">
        <v>10255425</v>
      </c>
      <c r="G133" s="18" t="inlineStr">
        <is>
          <t>Bebolino-сиво</t>
        </is>
      </c>
      <c r="H133" s="18" t="inlineStr">
        <is>
          <t>Nuk</t>
        </is>
      </c>
      <c r="I133" s="18" t="inlineStr">
        <is>
          <t>NUK Magic Cup Trinklernbecher | 8+ Monate | 230 ml | auslaufsicherer 360°-Trinkrand | BPA-frei | Disney Mickey Maus | grau</t>
        </is>
      </c>
      <c r="J133" s="18" t="inlineStr">
        <is>
          <t>No</t>
        </is>
      </c>
      <c r="K133" s="18" t="inlineStr">
        <is>
          <t>https://www.amazon.de/dp/B09BD2XFKG?th=1</t>
        </is>
      </c>
      <c r="L133" s="18" t="inlineStr">
        <is>
          <t>B09BD2XFKG</t>
        </is>
      </c>
      <c r="M133" s="19" t="n">
        <v>21.4</v>
      </c>
      <c r="N133" s="19" t="n">
        <v>13.49</v>
      </c>
      <c r="O133" s="19" t="n">
        <v>14.85</v>
      </c>
      <c r="P133" s="19">
        <f>O133/1.19</f>
        <v/>
      </c>
      <c r="Q133" s="19">
        <f>O133-P133</f>
        <v/>
      </c>
      <c r="R133" s="19">
        <f>O133*0.15</f>
        <v/>
      </c>
      <c r="S133" s="19" t="n">
        <v>7.16</v>
      </c>
      <c r="T133" s="19">
        <f>S133*0.2</f>
        <v/>
      </c>
      <c r="U133" s="19" t="n">
        <v>0.4</v>
      </c>
      <c r="V133" s="19" t="n">
        <v>2.82</v>
      </c>
      <c r="W133" s="19">
        <f>V133*0.2</f>
        <v/>
      </c>
      <c r="X133" s="16">
        <f>O133-Q133-R133-S133-U133-V133+T133+W133</f>
        <v/>
      </c>
      <c r="Y133" s="18" t="n"/>
      <c r="Z133" s="19">
        <f>O133+1.5</f>
        <v/>
      </c>
      <c r="AA133" s="19" t="n"/>
      <c r="AB133" s="19" t="n"/>
      <c r="AC133" s="18" t="n"/>
      <c r="AD133" s="18" t="n"/>
      <c r="AE133" s="13" t="inlineStr">
        <is>
          <t>NOT_UPLOADED</t>
        </is>
      </c>
    </row>
    <row r="134" ht="16" customHeight="1">
      <c r="A134" s="12" t="n">
        <v>4008600405436</v>
      </c>
      <c r="B134" s="12" t="n">
        <v>4008600405436</v>
      </c>
      <c r="C134" s="13" t="n"/>
      <c r="D134" s="14" t="n"/>
      <c r="E134" s="14" t="inlineStr">
        <is>
          <t>GA-4008600405436</t>
        </is>
      </c>
      <c r="F134" s="12" t="n">
        <v>10255425</v>
      </c>
      <c r="G134" s="14" t="inlineStr">
        <is>
          <t>Bebolino-червено</t>
        </is>
      </c>
      <c r="H134" s="14" t="inlineStr">
        <is>
          <t>Nuk</t>
        </is>
      </c>
      <c r="I134" s="14" t="inlineStr">
        <is>
          <t>NUK Becher, Minnie Mouse 2 (Rot), 1 Stück (1er Pack)</t>
        </is>
      </c>
      <c r="J134" s="14" t="inlineStr">
        <is>
          <t>No</t>
        </is>
      </c>
      <c r="K134" s="14" t="inlineStr">
        <is>
          <t>https://www.amazon.de/dp/B09BD2XFKG?th=2</t>
        </is>
      </c>
      <c r="L134" s="14" t="inlineStr">
        <is>
          <t>B09BD58L7T</t>
        </is>
      </c>
      <c r="M134" s="15" t="n">
        <v>21.4</v>
      </c>
      <c r="N134" s="15" t="n">
        <v>0</v>
      </c>
      <c r="O134" s="15" t="n">
        <v>14.79</v>
      </c>
      <c r="P134" s="15">
        <f>O134/1.19</f>
        <v/>
      </c>
      <c r="Q134" s="15">
        <f>O134-P134</f>
        <v/>
      </c>
      <c r="R134" s="15">
        <f>O134*0.15</f>
        <v/>
      </c>
      <c r="S134" s="15" t="n">
        <v>7.16</v>
      </c>
      <c r="T134" s="15">
        <f>S134*0.2</f>
        <v/>
      </c>
      <c r="U134" s="15" t="n">
        <v>0.4</v>
      </c>
      <c r="V134" s="15" t="n">
        <v>2.82</v>
      </c>
      <c r="W134" s="15">
        <f>V134*0.2</f>
        <v/>
      </c>
      <c r="X134" s="16">
        <f>O134-Q134-R134-S134-U134-V134+T134+W134</f>
        <v/>
      </c>
      <c r="Y134" s="14" t="n"/>
      <c r="Z134" s="15">
        <f>O134+1.5</f>
        <v/>
      </c>
      <c r="AA134" s="15" t="n"/>
      <c r="AB134" s="15" t="n"/>
      <c r="AC134" s="14" t="n"/>
      <c r="AD134" s="14" t="n"/>
      <c r="AE134" s="13" t="inlineStr">
        <is>
          <t>NOT_UPLOADED</t>
        </is>
      </c>
    </row>
    <row r="135" ht="16" customHeight="1">
      <c r="A135" s="17" t="n">
        <v>4008600398509</v>
      </c>
      <c r="B135" s="17" t="n">
        <v>4008600398509</v>
      </c>
      <c r="C135" s="13" t="n"/>
      <c r="D135" s="18" t="n"/>
      <c r="E135" s="18" t="inlineStr">
        <is>
          <t>GA-4008600398509</t>
        </is>
      </c>
      <c r="F135" s="17" t="n">
        <v>10255602</v>
      </c>
      <c r="G135" s="18" t="inlineStr">
        <is>
          <t>Bebolino</t>
        </is>
      </c>
      <c r="H135" s="18" t="inlineStr">
        <is>
          <t>Nuk</t>
        </is>
      </c>
      <c r="I135" s="18" t="inlineStr">
        <is>
          <t>NUK Magic Cup Trinklernbecher, 8+ Monate, 230 ml, auslaufsicherer 360°-Trinkrand, BPA-frei, blauer Igel</t>
        </is>
      </c>
      <c r="J135" s="18" t="inlineStr">
        <is>
          <t>No</t>
        </is>
      </c>
      <c r="K135" s="18" t="inlineStr">
        <is>
          <t>https://www.amazon.de/dp/B099RX81SX?th=1</t>
        </is>
      </c>
      <c r="L135" s="18" t="inlineStr">
        <is>
          <t>B099RX81SX</t>
        </is>
      </c>
      <c r="M135" s="19" t="n">
        <v>15.99</v>
      </c>
      <c r="N135" s="19" t="n">
        <v>0</v>
      </c>
      <c r="O135" s="19" t="n">
        <v>13.9</v>
      </c>
      <c r="P135" s="19">
        <f>O135/1.19</f>
        <v/>
      </c>
      <c r="Q135" s="19">
        <f>O135-P135</f>
        <v/>
      </c>
      <c r="R135" s="19">
        <f>O135*0.15</f>
        <v/>
      </c>
      <c r="S135" s="19" t="n">
        <v>6.25</v>
      </c>
      <c r="T135" s="19">
        <f>S135*0.2</f>
        <v/>
      </c>
      <c r="U135" s="19" t="n">
        <v>0.4</v>
      </c>
      <c r="V135" s="19" t="n">
        <v>2.82</v>
      </c>
      <c r="W135" s="19">
        <f>V135*0.2</f>
        <v/>
      </c>
      <c r="X135" s="16">
        <f>O135-Q135-R135-S135-U135-V135+T135+W135</f>
        <v/>
      </c>
      <c r="Y135" s="18" t="n"/>
      <c r="Z135" s="19">
        <f>O135+1.5</f>
        <v/>
      </c>
      <c r="AA135" s="19" t="n"/>
      <c r="AB135" s="19" t="n"/>
      <c r="AC135" s="18" t="n"/>
      <c r="AD135" s="18" t="n"/>
      <c r="AE135" s="13" t="inlineStr">
        <is>
          <t>NOT_UPLOADED</t>
        </is>
      </c>
    </row>
    <row r="136" ht="16" customHeight="1">
      <c r="A136" s="12" t="n">
        <v>4008600398424</v>
      </c>
      <c r="B136" s="12" t="n">
        <v>4008600398424</v>
      </c>
      <c r="C136" s="13" t="n"/>
      <c r="D136" s="14" t="n"/>
      <c r="E136" s="14" t="inlineStr">
        <is>
          <t>GA-4008600398424</t>
        </is>
      </c>
      <c r="F136" s="12" t="n">
        <v>10255604</v>
      </c>
      <c r="G136" s="14" t="inlineStr">
        <is>
          <t>Bebolino</t>
        </is>
      </c>
      <c r="H136" s="14" t="inlineStr">
        <is>
          <t>Nuk</t>
        </is>
      </c>
      <c r="I136" s="14" t="inlineStr">
        <is>
          <t>NUK Magic Cup Trinklernbecher | 8+ Monate | 230 ml | auslaufsicherer 360°-Trinkrand | BPA-frei | blaue Katze</t>
        </is>
      </c>
      <c r="J136" s="14" t="inlineStr">
        <is>
          <t>No</t>
        </is>
      </c>
      <c r="K136" s="14" t="inlineStr">
        <is>
          <t>https://www.amazon.de/dp/B099RV7YSR?th=1</t>
        </is>
      </c>
      <c r="L136" s="14" t="inlineStr">
        <is>
          <t>B099RV7YSR</t>
        </is>
      </c>
      <c r="M136" s="15" t="n">
        <v>14.59</v>
      </c>
      <c r="N136" s="15" t="n">
        <v>0</v>
      </c>
      <c r="O136" s="15" t="n">
        <v>13.95</v>
      </c>
      <c r="P136" s="15">
        <f>O136/1.19</f>
        <v/>
      </c>
      <c r="Q136" s="15">
        <f>O136-P136</f>
        <v/>
      </c>
      <c r="R136" s="15">
        <f>O136*0.15</f>
        <v/>
      </c>
      <c r="S136" s="15" t="n">
        <v>6.24</v>
      </c>
      <c r="T136" s="15">
        <f>S136*0.2</f>
        <v/>
      </c>
      <c r="U136" s="15" t="n">
        <v>0.4</v>
      </c>
      <c r="V136" s="15" t="n">
        <v>2.82</v>
      </c>
      <c r="W136" s="15">
        <f>V136*0.2</f>
        <v/>
      </c>
      <c r="X136" s="16">
        <f>O136-Q136-R136-S136-U136-V136+T136+W136</f>
        <v/>
      </c>
      <c r="Y136" s="14" t="n"/>
      <c r="Z136" s="15">
        <f>O136+1.5</f>
        <v/>
      </c>
      <c r="AA136" s="15" t="n"/>
      <c r="AB136" s="15" t="n"/>
      <c r="AC136" s="14" t="n"/>
      <c r="AD136" s="14" t="n"/>
      <c r="AE136" s="13" t="inlineStr">
        <is>
          <t>NOT_UPLOADED</t>
        </is>
      </c>
    </row>
    <row r="137" ht="16" customHeight="1">
      <c r="A137" s="17" t="n">
        <v>8710103779810</v>
      </c>
      <c r="B137" s="17" t="n">
        <v>8710103779810</v>
      </c>
      <c r="C137" s="13" t="n"/>
      <c r="D137" s="18" t="inlineStr">
        <is>
          <t>SCF551/05</t>
        </is>
      </c>
      <c r="E137" s="18" t="inlineStr">
        <is>
          <t>AXX-8710103779810</t>
        </is>
      </c>
      <c r="F137" s="17" t="inlineStr">
        <is>
          <t>00A.0488.002</t>
        </is>
      </c>
      <c r="G137" s="18" t="inlineStr">
        <is>
          <t>IVENTAS</t>
        </is>
      </c>
      <c r="H137" s="18" t="inlineStr">
        <is>
          <t>Philips Avent</t>
        </is>
      </c>
      <c r="I137" s="18" t="inlineStr">
        <is>
          <t>Philips Avent Trinkbecher (Modell SCF551/05) 200 ml</t>
        </is>
      </c>
      <c r="J137" s="18" t="inlineStr">
        <is>
          <t>No</t>
        </is>
      </c>
      <c r="K137" s="18" t="inlineStr">
        <is>
          <t>https://www.amazon.de/dp/B00WJNIZTY</t>
        </is>
      </c>
      <c r="L137" s="18" t="inlineStr">
        <is>
          <t>B00WJNIZTY</t>
        </is>
      </c>
      <c r="M137" s="19" t="n">
        <v>16.05</v>
      </c>
      <c r="N137" s="19" t="n">
        <v>5.99</v>
      </c>
      <c r="O137" s="19" t="n">
        <v>14.85</v>
      </c>
      <c r="P137" s="19">
        <f>O137/1.19</f>
        <v/>
      </c>
      <c r="Q137" s="19">
        <f>O137-P137</f>
        <v/>
      </c>
      <c r="R137" s="19">
        <f>O137*0.15</f>
        <v/>
      </c>
      <c r="S137" s="19" t="n">
        <v>5.43</v>
      </c>
      <c r="T137" s="19">
        <f>S137*0.2</f>
        <v/>
      </c>
      <c r="U137" s="19" t="n">
        <v>0.4</v>
      </c>
      <c r="V137" s="19" t="n">
        <v>2.82</v>
      </c>
      <c r="W137" s="19">
        <f>V137*0.2</f>
        <v/>
      </c>
      <c r="X137" s="21">
        <f>O137-Q137-R137-S137-U137-V137+T137+W137</f>
        <v/>
      </c>
      <c r="Y137" s="18" t="n"/>
      <c r="Z137" s="19">
        <f>O137+1.5</f>
        <v/>
      </c>
      <c r="AA137" s="19" t="n"/>
      <c r="AB137" s="19" t="n"/>
      <c r="AC137" s="18" t="n"/>
      <c r="AD137" s="18" t="n"/>
      <c r="AE137" s="13" t="inlineStr">
        <is>
          <t>NOT_UPLOADED</t>
        </is>
      </c>
    </row>
    <row r="138" ht="16" customHeight="1">
      <c r="A138" s="12" t="n">
        <v>8710103854371</v>
      </c>
      <c r="B138" s="12" t="n">
        <v>8710103854371</v>
      </c>
      <c r="C138" s="13" t="n"/>
      <c r="D138" s="14" t="inlineStr">
        <is>
          <t>APPROVAL</t>
        </is>
      </c>
      <c r="E138" s="14" t="n"/>
      <c r="F138" s="12" t="inlineStr">
        <is>
          <t>SCF551/05</t>
        </is>
      </c>
      <c r="G138" s="14" t="inlineStr">
        <is>
          <t>IVENTAS</t>
        </is>
      </c>
      <c r="H138" s="14" t="inlineStr">
        <is>
          <t>Philips Avent</t>
        </is>
      </c>
      <c r="I138" s="14" t="inlineStr">
        <is>
          <t>Philips Avent Mouthpiece Cup - Cup with Soft Mouthpiece for Easy Drinking - Integrated Valve Prevents Filling When Drinking - Dishwasher Safe - SCF551/05, Transparent</t>
        </is>
      </c>
      <c r="J138" s="14" t="inlineStr">
        <is>
          <t>No</t>
        </is>
      </c>
      <c r="K138" s="14" t="inlineStr">
        <is>
          <t>https://www.amazon.de/-/en/Philips-Avent-Mouthpiece-Cup-Transparent/dp/B085TR8MJF/ref=sr_1_3?crid=3BZZT0XHCQQX&amp;dib=eyJ2IjoiMSJ9.pU9Hxh1WilgDQkB_SNQZn_KRgHqJlGnvZy2qclenXkjGjHj071QN20LucGBJIEps.VGXcuD-lwFqy8XwWNz_rW3ZmG2AH1TraVEYZtrBqevA&amp;dib_tag=se&amp;keywords=SCF551%2F05&amp;qid=1769889228&amp;sprefix=scf551%2F05%2Caps%2C566&amp;sr=8-3</t>
        </is>
      </c>
      <c r="L138" s="14" t="inlineStr">
        <is>
          <t>B085TR8MJF</t>
        </is>
      </c>
      <c r="M138" s="15" t="n"/>
      <c r="N138" s="15" t="n"/>
      <c r="O138" s="15" t="n">
        <v>14.85</v>
      </c>
      <c r="P138" s="15">
        <f>O138/1.19</f>
        <v/>
      </c>
      <c r="Q138" s="15">
        <f>O138-P138</f>
        <v/>
      </c>
      <c r="R138" s="15">
        <f>O138*0.15</f>
        <v/>
      </c>
      <c r="S138" s="15" t="n">
        <v>5.56</v>
      </c>
      <c r="T138" s="15">
        <f>S138*0.2</f>
        <v/>
      </c>
      <c r="U138" s="15" t="n">
        <v>0.4</v>
      </c>
      <c r="V138" s="15" t="n">
        <v>2.82</v>
      </c>
      <c r="W138" s="15">
        <f>V138*0.2</f>
        <v/>
      </c>
      <c r="X138" s="21">
        <f>O138-Q138-R138-S138-U138-V138+T138+W138</f>
        <v/>
      </c>
      <c r="Y138" s="14" t="n"/>
      <c r="Z138" s="15">
        <f>O138+1.5</f>
        <v/>
      </c>
      <c r="AA138" s="15" t="n"/>
      <c r="AB138" s="15" t="n"/>
      <c r="AC138" s="14" t="n"/>
      <c r="AD138" s="14" t="n"/>
      <c r="AE138" s="13" t="inlineStr">
        <is>
          <t>NOT_UPLOADED</t>
        </is>
      </c>
    </row>
    <row r="139" ht="16" customHeight="1">
      <c r="A139" s="17" t="n">
        <v>8710103854364</v>
      </c>
      <c r="B139" s="17" t="n">
        <v>8710103854364</v>
      </c>
      <c r="C139" s="13" t="n"/>
      <c r="D139" s="18" t="n"/>
      <c r="E139" s="18" t="inlineStr">
        <is>
          <t>AXX-8710103854364</t>
        </is>
      </c>
      <c r="F139" s="17" t="inlineStr">
        <is>
          <t>3AV05AD101CP05PK2D</t>
        </is>
      </c>
      <c r="G139" s="18" t="inlineStr">
        <is>
          <t>Axxon</t>
        </is>
      </c>
      <c r="H139" s="18" t="inlineStr">
        <is>
          <t>Philips Avent</t>
        </is>
      </c>
      <c r="I139" s="18" t="inlineStr">
        <is>
          <t>PHILIPS AVENT 200ML 6M+ Trinklernbecher mit Schnabel Trinklernflasche Flasche, 1 Stück (1er Pack), Rosa</t>
        </is>
      </c>
      <c r="J139" s="18" t="inlineStr">
        <is>
          <t>No</t>
        </is>
      </c>
      <c r="K139" s="18" t="inlineStr">
        <is>
          <t>https://www.amazon.de/dp/B085QNV2R4</t>
        </is>
      </c>
      <c r="L139" s="18" t="inlineStr">
        <is>
          <t>B085QNV2R4</t>
        </is>
      </c>
      <c r="M139" s="19" t="n">
        <v>13.7</v>
      </c>
      <c r="N139" s="19" t="n">
        <v>0</v>
      </c>
      <c r="O139" s="19" t="n">
        <v>13.99</v>
      </c>
      <c r="P139" s="19">
        <f>O139/1.19</f>
        <v/>
      </c>
      <c r="Q139" s="19">
        <f>O139-P139</f>
        <v/>
      </c>
      <c r="R139" s="19">
        <f>O139*0.15</f>
        <v/>
      </c>
      <c r="S139" s="19" t="n">
        <v>5.58</v>
      </c>
      <c r="T139" s="19">
        <f>S139*0.2</f>
        <v/>
      </c>
      <c r="U139" s="19" t="n">
        <v>0.4</v>
      </c>
      <c r="V139" s="19" t="n">
        <v>2.82</v>
      </c>
      <c r="W139" s="19">
        <f>V139*0.2</f>
        <v/>
      </c>
      <c r="X139" s="21">
        <f>O139-Q139-R139-S139-U139-V139+T139+W139</f>
        <v/>
      </c>
      <c r="Y139" s="18" t="n"/>
      <c r="Z139" s="19">
        <f>O139+1.5</f>
        <v/>
      </c>
      <c r="AA139" s="19" t="n"/>
      <c r="AB139" s="19" t="n"/>
      <c r="AC139" s="18" t="n"/>
      <c r="AD139" s="18" t="n"/>
      <c r="AE139" s="13" t="inlineStr">
        <is>
          <t>NOT_UPLOADED</t>
        </is>
      </c>
    </row>
    <row r="140" ht="16" customHeight="1">
      <c r="A140" s="12" t="n">
        <v>8710103781912</v>
      </c>
      <c r="B140" s="12" t="n">
        <v>8710103781912</v>
      </c>
      <c r="C140" s="13" t="n"/>
      <c r="D140" s="14" t="inlineStr">
        <is>
          <t>SCF796/02</t>
        </is>
      </c>
      <c r="E140" s="14" t="inlineStr">
        <is>
          <t>AXX-8710103781912</t>
        </is>
      </c>
      <c r="F140" s="12" t="inlineStr">
        <is>
          <t>00A.0520.002</t>
        </is>
      </c>
      <c r="G140" s="14" t="inlineStr">
        <is>
          <t>IVENTAS</t>
        </is>
      </c>
      <c r="H140" s="14" t="inlineStr">
        <is>
          <t>Philips Avent</t>
        </is>
      </c>
      <c r="I140" s="14" t="inlineStr">
        <is>
          <t>Philips AVENT SCF796/02 Strohhalmbecher, Silikon, violett</t>
        </is>
      </c>
      <c r="J140" s="14" t="inlineStr">
        <is>
          <t>No</t>
        </is>
      </c>
      <c r="K140" s="14" t="inlineStr">
        <is>
          <t>https://www.amazon.de/dp/B01MRDMG1T?th=1</t>
        </is>
      </c>
      <c r="L140" s="14" t="inlineStr">
        <is>
          <t>B01MRDMG1T</t>
        </is>
      </c>
      <c r="M140" s="15" t="n">
        <v>16.76</v>
      </c>
      <c r="N140" s="15" t="n">
        <v>8.949999999999999</v>
      </c>
      <c r="O140" s="15" t="n">
        <v>16.65</v>
      </c>
      <c r="P140" s="15">
        <f>O140/1.19</f>
        <v/>
      </c>
      <c r="Q140" s="15">
        <f>O140-P140</f>
        <v/>
      </c>
      <c r="R140" s="15">
        <f>O140*0.15</f>
        <v/>
      </c>
      <c r="S140" s="15" t="n">
        <v>7.85</v>
      </c>
      <c r="T140" s="15">
        <f>S140*0.2</f>
        <v/>
      </c>
      <c r="U140" s="15" t="n">
        <v>0.4</v>
      </c>
      <c r="V140" s="15" t="n">
        <v>2.82</v>
      </c>
      <c r="W140" s="15">
        <f>V140*0.2</f>
        <v/>
      </c>
      <c r="X140" s="21">
        <f>O140-Q140-R140-S140-U140-V140+T140+W140</f>
        <v/>
      </c>
      <c r="Y140" s="14" t="n"/>
      <c r="Z140" s="15">
        <f>O140+1.5</f>
        <v/>
      </c>
      <c r="AA140" s="15" t="n"/>
      <c r="AB140" s="15" t="n"/>
      <c r="AC140" s="14" t="n"/>
      <c r="AD140" s="14" t="n"/>
      <c r="AE140" s="13" t="inlineStr">
        <is>
          <t>NOT_UPLOADED</t>
        </is>
      </c>
    </row>
    <row r="141" ht="16" customHeight="1">
      <c r="A141" s="17" t="n">
        <v>8710103786672</v>
      </c>
      <c r="B141" s="17" t="n">
        <v>8710103786672</v>
      </c>
      <c r="C141" s="13" t="n"/>
      <c r="D141" s="18" t="inlineStr">
        <is>
          <t>SCF796/01</t>
        </is>
      </c>
      <c r="E141" s="18" t="inlineStr">
        <is>
          <t>AXX-8710103786672</t>
        </is>
      </c>
      <c r="F141" s="17" t="inlineStr">
        <is>
          <t>00A.0520.001</t>
        </is>
      </c>
      <c r="G141" s="18" t="inlineStr">
        <is>
          <t>IVENTAS</t>
        </is>
      </c>
      <c r="H141" s="18" t="inlineStr">
        <is>
          <t>Philips Avent</t>
        </is>
      </c>
      <c r="I141" s="18" t="inlineStr">
        <is>
          <t>Philips AVENT SCF796/01 Strohhalmbecher, blau</t>
        </is>
      </c>
      <c r="J141" s="18" t="inlineStr">
        <is>
          <t>No</t>
        </is>
      </c>
      <c r="K141" s="18" t="inlineStr">
        <is>
          <t>https://www.amazon.de/dp/B01MUK34FI</t>
        </is>
      </c>
      <c r="L141" s="18" t="inlineStr">
        <is>
          <t>B01MUK34FI</t>
        </is>
      </c>
      <c r="M141" s="19" t="n">
        <v>17.35</v>
      </c>
      <c r="N141" s="19" t="n">
        <v>8.949999999999999</v>
      </c>
      <c r="O141" s="19" t="n">
        <v>16.99</v>
      </c>
      <c r="P141" s="19">
        <f>O141/1.19</f>
        <v/>
      </c>
      <c r="Q141" s="19">
        <f>O141-P141</f>
        <v/>
      </c>
      <c r="R141" s="19">
        <f>O141*0.15</f>
        <v/>
      </c>
      <c r="S141" s="19" t="n">
        <v>7.85</v>
      </c>
      <c r="T141" s="19">
        <f>S141*0.2</f>
        <v/>
      </c>
      <c r="U141" s="19" t="n">
        <v>0.4</v>
      </c>
      <c r="V141" s="19" t="n">
        <v>2.82</v>
      </c>
      <c r="W141" s="19">
        <f>V141*0.2</f>
        <v/>
      </c>
      <c r="X141" s="21">
        <f>O141-Q141-R141-S141-U141-V141+T141+W141</f>
        <v/>
      </c>
      <c r="Y141" s="18" t="n"/>
      <c r="Z141" s="19">
        <f>O141+1.5</f>
        <v/>
      </c>
      <c r="AA141" s="19" t="n"/>
      <c r="AB141" s="19" t="n"/>
      <c r="AC141" s="18" t="n"/>
      <c r="AD141" s="18" t="n"/>
      <c r="AE141" s="13" t="inlineStr">
        <is>
          <t>NOT_UPLOADED</t>
        </is>
      </c>
    </row>
    <row r="142" ht="16" customHeight="1">
      <c r="A142" s="12" t="n">
        <v>8710103781981</v>
      </c>
      <c r="B142" s="12" t="n">
        <v>8710103781981</v>
      </c>
      <c r="C142" s="13" t="n"/>
      <c r="D142" s="14" t="n"/>
      <c r="E142" s="14" t="inlineStr">
        <is>
          <t>AXX-8710103781981</t>
        </is>
      </c>
      <c r="F142" s="12" t="inlineStr">
        <is>
          <t>3AV05AD103CP2P300D</t>
        </is>
      </c>
      <c r="G142" s="14" t="inlineStr">
        <is>
          <t>IVENTAS</t>
        </is>
      </c>
      <c r="H142" s="14" t="inlineStr">
        <is>
          <t>Philips Avent</t>
        </is>
      </c>
      <c r="I142" s="14" t="inlineStr">
        <is>
          <t>Philips AVENT SCF798/02 Strohhalmbecher, Rosa, 1 Stück (1er Pack)</t>
        </is>
      </c>
      <c r="J142" s="14" t="inlineStr">
        <is>
          <t>No</t>
        </is>
      </c>
      <c r="K142" s="14" t="inlineStr">
        <is>
          <t>https://www.amazon.de/Philips-Avent-SCF798-02-Strohhalmbecher/dp/B01N29XSR9/ref=sr_1_1?__mk_de_DE=%C3%85M%C3%85%C5%BD%C3%95%C3%91&amp;crid=5B7KACUAQSDQ&amp;dib=eyJ2IjoiMSJ9.yLtKm_4HFvA5OJ_YDI_JFhdfxInh7fgDgS4nuoB5KfYkOk3x_dgv4fosHZCsekYo7Nr5iRAXvUZx3IcbyXJLid8eaVogTo3BPdwcS_vXysZ1tcbUy-nj0G3NSTmJqr0jHlAm0n9ct4AHpOiWhZd_KQSvhW7ehPXAbQwu57HlTYlaVqnMkrhfDLsYujWHkXnjQZ_bCMaLaAl-5gQHkbpPfk71XS2VzOTHZEkEo3kEesPgAU8Sr9NaRZIm1r47uLY7s0w4SqFVTQJPhrWr4npehF8PNQwbt9lDEmMo5fTFWeI.WnFuw1b8Mtl4mtva_j99c7Jd6B5kuo6WjRKDjoUtRJk&amp;dib_tag=se&amp;keywords=Avent%2BCup%2Bwith%2Bstraw%2B300%2Bml%2C%2BPink%2C%2B12%2Bm%2B%2B&amp;qid=1745839076&amp;s=baby&amp;sprefix=avent%2Bcup%2Bwith%2Bstraw%2B300%2Bml%2Bpink%2B12%2Bm%2B%2B%2Cbaby%2C154&amp;sr=1-1&amp;th=1</t>
        </is>
      </c>
      <c r="L142" s="14" t="inlineStr">
        <is>
          <t>B01N29XSR9</t>
        </is>
      </c>
      <c r="M142" s="15" t="n">
        <v>10.99</v>
      </c>
      <c r="N142" s="15" t="n">
        <v>8.949999999999999</v>
      </c>
      <c r="O142" s="15" t="n">
        <v>16.99</v>
      </c>
      <c r="P142" s="15">
        <f>O142/1.19</f>
        <v/>
      </c>
      <c r="Q142" s="15">
        <f>O142-P142</f>
        <v/>
      </c>
      <c r="R142" s="15">
        <f>O142*0.15</f>
        <v/>
      </c>
      <c r="S142" s="15" t="n">
        <v>7.53</v>
      </c>
      <c r="T142" s="15">
        <f>S142*0.2</f>
        <v/>
      </c>
      <c r="U142" s="15" t="n">
        <v>0.4</v>
      </c>
      <c r="V142" s="15" t="n">
        <v>2.82</v>
      </c>
      <c r="W142" s="15">
        <f>V142*0.2</f>
        <v/>
      </c>
      <c r="X142" s="21">
        <f>O142-Q142-R142-S142-U142-V142+T142+W142</f>
        <v/>
      </c>
      <c r="Y142" s="14" t="n"/>
      <c r="Z142" s="15">
        <f>O142+1.5</f>
        <v/>
      </c>
      <c r="AA142" s="15" t="n"/>
      <c r="AB142" s="15" t="n"/>
      <c r="AC142" s="14" t="n"/>
      <c r="AD142" s="14" t="n"/>
      <c r="AE142" s="13" t="inlineStr">
        <is>
          <t>NOT_UPLOADED</t>
        </is>
      </c>
    </row>
    <row r="143" ht="16" customHeight="1">
      <c r="A143" s="17" t="n">
        <v>8710103786689</v>
      </c>
      <c r="B143" s="17" t="n">
        <v>8710103786689</v>
      </c>
      <c r="C143" s="13" t="n"/>
      <c r="D143" s="18" t="n"/>
      <c r="E143" s="18" t="inlineStr">
        <is>
          <t>AXX-8710103786689</t>
        </is>
      </c>
      <c r="F143" s="17" t="inlineStr">
        <is>
          <t>SCF798/01</t>
        </is>
      </c>
      <c r="G143" s="18" t="inlineStr">
        <is>
          <t>IVENTAS</t>
        </is>
      </c>
      <c r="H143" s="18" t="inlineStr">
        <is>
          <t>Philips Avent</t>
        </is>
      </c>
      <c r="I143" s="18" t="inlineStr">
        <is>
          <t>Philips AVENT SCF798/01 Strohhalmbecher, aus Silikon, grün</t>
        </is>
      </c>
      <c r="J143" s="18" t="inlineStr">
        <is>
          <t>No</t>
        </is>
      </c>
      <c r="K143" s="18" t="inlineStr">
        <is>
          <t>https://www.amazon.de/Philips-Avent-SCF798-02-Strohhalmbecher/dp/B01N29XSR9/ref=sr_1_1?__mk_de_DE=%C3%85M%C3%85%C5%BD%C3%95%C3%91&amp;crid=5B7KACUAQSDQ&amp;dib=eyJ2IjoiMSJ9.yLtKm_4HFvA5OJ_YDI_JFhdfxInh7fgDgS4nuoB5KfYkOk3x_dgv4fosHZCsekYo7Nr5iRAXvUZx3IcbyXJLid8eaVogTo3BPdwcS_vXysZ1tcbUy-nj0G3NSTmJqr0jHlAm0n9ct4AHpOiWhZd_KQSvhW7ehPXAbQwu57HlTYlaVqnMkrhfDLsYujWHkXnjQZ_bCMaLaAl-5gQHkbpPfk71XS2VzOTHZEkEo3kEesPgAU8Sr9NaRZIm1r47uLY7s0w4SqFVTQJPhrWr4npehF8PNQwbt9lDEmMo5fTFWeI.WnFuw1b8Mtl4mtva_j99c7Jd6B5kuo6WjRKDjoUtRJk&amp;dib_tag=se&amp;keywords=Avent%2BCup%2Bwith%2Bstraw%2B300%2Bml%2C%2BPink%2C%2B12%2Bm%2B%2B&amp;qid=1745839076&amp;s=baby&amp;sprefix=avent%2Bcup%2Bwith%2Bstraw%2B300%2Bml%2Bpink%2B12%2Bm%2B%2B%2Cbaby%2C154&amp;sr=1-1&amp;th=1</t>
        </is>
      </c>
      <c r="L143" s="18" t="inlineStr">
        <is>
          <t>B01N9ZANEV</t>
        </is>
      </c>
      <c r="M143" s="19" t="n">
        <v>10.99</v>
      </c>
      <c r="N143" s="19" t="n">
        <v>9.949999999999999</v>
      </c>
      <c r="O143" s="19" t="n">
        <v>17.15</v>
      </c>
      <c r="P143" s="19">
        <f>O143/1.19</f>
        <v/>
      </c>
      <c r="Q143" s="19">
        <f>O143-P143</f>
        <v/>
      </c>
      <c r="R143" s="19">
        <f>O143*0.15</f>
        <v/>
      </c>
      <c r="S143" s="19" t="n">
        <v>7.53</v>
      </c>
      <c r="T143" s="19">
        <f>S143*0.2</f>
        <v/>
      </c>
      <c r="U143" s="19" t="n">
        <v>0.4</v>
      </c>
      <c r="V143" s="19" t="n">
        <v>2.82</v>
      </c>
      <c r="W143" s="19">
        <f>V143*0.2</f>
        <v/>
      </c>
      <c r="X143" s="21">
        <f>O143-Q143-R143-S143-U143-V143+T143+W143</f>
        <v/>
      </c>
      <c r="Y143" s="18" t="n"/>
      <c r="Z143" s="19">
        <f>O143+1.5</f>
        <v/>
      </c>
      <c r="AA143" s="19" t="n"/>
      <c r="AB143" s="19" t="n"/>
      <c r="AC143" s="18" t="n"/>
      <c r="AD143" s="18" t="n"/>
      <c r="AE143" s="13" t="inlineStr">
        <is>
          <t>NOT_UPLOADED</t>
        </is>
      </c>
    </row>
    <row r="144" ht="16" customHeight="1">
      <c r="A144" s="12" t="n">
        <v>8851399817456</v>
      </c>
      <c r="B144" s="12" t="n">
        <v>5012909006156</v>
      </c>
      <c r="C144" s="13" t="n"/>
      <c r="D144" s="14" t="inlineStr">
        <is>
          <t>SCF145/06</t>
        </is>
      </c>
      <c r="E144" s="14" t="inlineStr">
        <is>
          <t>AXX-8851399817456</t>
        </is>
      </c>
      <c r="F144" s="12" t="inlineStr">
        <is>
          <t>00A.0016.001</t>
        </is>
      </c>
      <c r="G144" s="14" t="inlineStr">
        <is>
          <t>IVENTAS</t>
        </is>
      </c>
      <c r="H144" s="14" t="inlineStr">
        <is>
          <t>Philips Avent</t>
        </is>
      </c>
      <c r="I144" s="14" t="inlineStr">
        <is>
          <t>Philips Avent Flaschen- und Saugerbürste (Modell SCF145/06)</t>
        </is>
      </c>
      <c r="J144" s="14" t="inlineStr">
        <is>
          <t>No</t>
        </is>
      </c>
      <c r="K144" s="14" t="inlineStr">
        <is>
          <t>https://www.amazon.de/Philips-SCF145-06-B%C3%BCrste-Flaschen/dp/B000MMOR46/ref=sr_1_1?__mk_de_DE=%C3%85M%C3%85%C5%BD%C3%95%C3%91&amp;crid=LFRXSCOFZIJG&amp;dib=eyJ2IjoiMSJ9.gwcH4VISbEEey_mbY-5Y6IKuYvTaAJ19g3Vx6Un5D9ZysodIOxhO2oV8Nvy9XuTzHcITZTG2Lg4lHMPw1OSvcxM-UkuXiy_zaYs7s2jcBPQWsGaYab8QIJW6PDL-A-ROqltUFEbaL3zH3mXlqY9SfyBRPGo2yF5GhHyhyniC87nwzEtCn4yPxDj2-naP2UPA4HSAEhGBlDXfk-JiQaRzutv2dp2OP_eswdH0ETNrcGETrc0Ec2YLE6xfSQzxTbw5zC8BfKkxHFYIafOG2MrkJpSWpSJ-yzJYq717x8I8NKk.K2C3oSlxMdXv9TtbSxqlRu-ZgP6aBhIPi2pmmEi1lMc&amp;dib_tag=se&amp;keywords=Avent+Brush+for+cleaning+bottles+and+pacifiers&amp;qid=1745842826&amp;sprefix=avent+brush+for+cleaning+bottles+and+pacifiers%2Caps%2C76&amp;sr=8-1</t>
        </is>
      </c>
      <c r="L144" s="14" t="inlineStr">
        <is>
          <t>B000MMOR46</t>
        </is>
      </c>
      <c r="M144" s="15" t="n">
        <v>21.99</v>
      </c>
      <c r="N144" s="15" t="n">
        <v>6.42</v>
      </c>
      <c r="O144" s="15" t="n">
        <v>14.99</v>
      </c>
      <c r="P144" s="15">
        <f>O144/1.19</f>
        <v/>
      </c>
      <c r="Q144" s="15">
        <f>O144-P144</f>
        <v/>
      </c>
      <c r="R144" s="15">
        <f>O144*0.15</f>
        <v/>
      </c>
      <c r="S144" s="15" t="n">
        <v>5.76</v>
      </c>
      <c r="T144" s="15">
        <f>S144*0.2</f>
        <v/>
      </c>
      <c r="U144" s="15" t="n">
        <v>0.4</v>
      </c>
      <c r="V144" s="15" t="n">
        <v>2.4</v>
      </c>
      <c r="W144" s="15">
        <f>V144*0.2</f>
        <v/>
      </c>
      <c r="X144" s="21">
        <f>O144-Q144-R144-S144-U144-V144+T144+W144</f>
        <v/>
      </c>
      <c r="Y144" s="14" t="n"/>
      <c r="Z144" s="15">
        <f>O144+1.5</f>
        <v/>
      </c>
      <c r="AA144" s="15" t="n"/>
      <c r="AB144" s="15" t="n"/>
      <c r="AC144" s="14" t="n"/>
      <c r="AD144" s="14" t="n"/>
      <c r="AE144" s="13" t="inlineStr">
        <is>
          <t>NOT_UPLOADED</t>
        </is>
      </c>
    </row>
    <row r="145" ht="16" customHeight="1">
      <c r="A145" s="17" t="n">
        <v>4008600421498</v>
      </c>
      <c r="B145" s="17" t="n">
        <v>4008600421498</v>
      </c>
      <c r="C145" s="13" t="n"/>
      <c r="D145" s="18" t="n"/>
      <c r="E145" s="18" t="inlineStr">
        <is>
          <t>BEB-4008600421498</t>
        </is>
      </c>
      <c r="F145" s="17" t="n">
        <v>10256505</v>
      </c>
      <c r="G145" s="18" t="inlineStr">
        <is>
          <t>Bebolino</t>
        </is>
      </c>
      <c r="H145" s="18" t="inlineStr">
        <is>
          <t>Nuk</t>
        </is>
      </c>
      <c r="I145" s="18" t="inlineStr">
        <is>
          <t>NUK 2 in 1 Flaschenbürste mit integrierter Saugerbürste | mit ergonomischen Griff | für Flaschen und Sauger | 1 Stück</t>
        </is>
      </c>
      <c r="J145" s="18" t="inlineStr">
        <is>
          <t>No</t>
        </is>
      </c>
      <c r="K145" s="18" t="inlineStr">
        <is>
          <t>https://www.amazon.de/dp/B0BKGTFZ3M?th=1</t>
        </is>
      </c>
      <c r="L145" s="18" t="inlineStr">
        <is>
          <t>B0BKGTFZ3M</t>
        </is>
      </c>
      <c r="M145" s="19" t="n"/>
      <c r="N145" s="19" t="n"/>
      <c r="O145" s="19" t="n">
        <v>9.25</v>
      </c>
      <c r="P145" s="19">
        <f>O145/1.19</f>
        <v/>
      </c>
      <c r="Q145" s="19">
        <f>O145-P145</f>
        <v/>
      </c>
      <c r="R145" s="19">
        <f>O145*0.15</f>
        <v/>
      </c>
      <c r="S145" s="19" t="n">
        <v>3.48</v>
      </c>
      <c r="T145" s="19">
        <f>S145*0.2</f>
        <v/>
      </c>
      <c r="U145" s="19" t="n">
        <v>0.4</v>
      </c>
      <c r="V145" s="19" t="n">
        <v>2.4</v>
      </c>
      <c r="W145" s="19">
        <f>V145*0.2</f>
        <v/>
      </c>
      <c r="X145" s="16">
        <f>O145-Q145-R145-S145-U145-V145+T145+W145</f>
        <v/>
      </c>
      <c r="Y145" s="18" t="n"/>
      <c r="Z145" s="19">
        <f>O145+1.5</f>
        <v/>
      </c>
      <c r="AA145" s="19" t="n"/>
      <c r="AB145" s="19" t="n"/>
      <c r="AC145" s="18" t="n">
        <v>4008600421498</v>
      </c>
      <c r="AD145" s="18" t="n">
        <v>4008600421498</v>
      </c>
      <c r="AE145" s="13" t="inlineStr">
        <is>
          <t>NOT_UPLOADED</t>
        </is>
      </c>
    </row>
    <row r="146" ht="16" customHeight="1">
      <c r="A146" s="12" t="n">
        <v>4008600421481</v>
      </c>
      <c r="B146" s="12" t="n">
        <v>4008600421481</v>
      </c>
      <c r="C146" s="13" t="n"/>
      <c r="D146" s="14" t="n"/>
      <c r="E146" s="14" t="inlineStr">
        <is>
          <t>BEB-4008600421481</t>
        </is>
      </c>
      <c r="F146" s="12" t="n">
        <v>10256504</v>
      </c>
      <c r="G146" s="14" t="inlineStr">
        <is>
          <t>Bebolino</t>
        </is>
      </c>
      <c r="H146" s="14" t="inlineStr">
        <is>
          <t>Nuk</t>
        </is>
      </c>
      <c r="I146" s="14" t="inlineStr">
        <is>
          <t>NUK 2 in 1 Flaschenbürste Twist | für die gründliche und schonende Reinigung von Babyflaschen | inklusive Saugerbürste | 1 Stück</t>
        </is>
      </c>
      <c r="J146" s="14" t="inlineStr">
        <is>
          <t>No</t>
        </is>
      </c>
      <c r="K146" s="14" t="inlineStr">
        <is>
          <t>https://www.amazon.de/dp/B0BKGNN2YG?th=1</t>
        </is>
      </c>
      <c r="L146" s="14" t="inlineStr">
        <is>
          <t>B0BKGNN2YG</t>
        </is>
      </c>
      <c r="M146" s="15" t="n">
        <v>10.17</v>
      </c>
      <c r="N146" s="15" t="n">
        <v>4.45</v>
      </c>
      <c r="O146" s="15" t="n">
        <v>9.9</v>
      </c>
      <c r="P146" s="15">
        <f>O146/1.19</f>
        <v/>
      </c>
      <c r="Q146" s="15">
        <f>O146-P146</f>
        <v/>
      </c>
      <c r="R146" s="15">
        <f>O146*0.15</f>
        <v/>
      </c>
      <c r="S146" s="15" t="n">
        <v>3.8</v>
      </c>
      <c r="T146" s="15">
        <f>S146*0.2</f>
        <v/>
      </c>
      <c r="U146" s="15" t="n">
        <v>0.4</v>
      </c>
      <c r="V146" s="15" t="n">
        <v>2.4</v>
      </c>
      <c r="W146" s="15">
        <f>V146*0.2</f>
        <v/>
      </c>
      <c r="X146" s="16">
        <f>O146-Q146-R146-S146-U146-V146+T146+W146</f>
        <v/>
      </c>
      <c r="Y146" s="14" t="n"/>
      <c r="Z146" s="15">
        <f>O146+1.5</f>
        <v/>
      </c>
      <c r="AA146" s="15" t="n"/>
      <c r="AB146" s="15" t="n"/>
      <c r="AC146" s="14" t="n"/>
      <c r="AD146" s="14" t="n"/>
      <c r="AE146" s="13" t="inlineStr">
        <is>
          <t>NOT_UPLOADED</t>
        </is>
      </c>
    </row>
    <row r="147" ht="16" customHeight="1">
      <c r="A147" s="17" t="n">
        <v>4008600421504</v>
      </c>
      <c r="B147" s="17" t="n">
        <v>4008600421504</v>
      </c>
      <c r="C147" s="13" t="n"/>
      <c r="D147" s="18" t="n"/>
      <c r="E147" s="18" t="inlineStr">
        <is>
          <t>BEB-4008600421504</t>
        </is>
      </c>
      <c r="F147" s="17" t="n">
        <v>10256506</v>
      </c>
      <c r="G147" s="18" t="inlineStr">
        <is>
          <t>Bebolino</t>
        </is>
      </c>
      <c r="H147" s="18" t="inlineStr">
        <is>
          <t>Nuk</t>
        </is>
      </c>
      <c r="I147" s="18" t="inlineStr">
        <is>
          <t>NUK Twist Flaschenbürste mit Schwamm und integrierter Saugerbürste | mit ergonomischen Griff | für Flaschen und Sauger | 1 Stück</t>
        </is>
      </c>
      <c r="J147" s="18" t="inlineStr">
        <is>
          <t>No</t>
        </is>
      </c>
      <c r="K147" s="18" t="inlineStr">
        <is>
          <t>https://www.amazon.de/dp/B0BKGPXQXC?th=1</t>
        </is>
      </c>
      <c r="L147" s="18" t="inlineStr">
        <is>
          <t>B0BKGPXQXC</t>
        </is>
      </c>
      <c r="M147" s="19" t="n">
        <v>11.03</v>
      </c>
      <c r="N147" s="19" t="n">
        <v>0</v>
      </c>
      <c r="O147" s="19" t="n">
        <v>10.95</v>
      </c>
      <c r="P147" s="19">
        <f>O147/1.19</f>
        <v/>
      </c>
      <c r="Q147" s="19">
        <f>O147-P147</f>
        <v/>
      </c>
      <c r="R147" s="19">
        <f>O147*0.15</f>
        <v/>
      </c>
      <c r="S147" s="19" t="n">
        <v>4.3</v>
      </c>
      <c r="T147" s="19">
        <f>S147*0.2</f>
        <v/>
      </c>
      <c r="U147" s="19" t="n">
        <v>0.4</v>
      </c>
      <c r="V147" s="19" t="n">
        <v>2.4</v>
      </c>
      <c r="W147" s="19">
        <f>V147*0.2</f>
        <v/>
      </c>
      <c r="X147" s="16">
        <f>O147-Q147-R147-S147-U147-V147+T147+W147</f>
        <v/>
      </c>
      <c r="Y147" s="18" t="n"/>
      <c r="Z147" s="19">
        <f>O147+1.5</f>
        <v/>
      </c>
      <c r="AA147" s="19" t="n"/>
      <c r="AB147" s="19" t="n"/>
      <c r="AC147" s="18" t="n"/>
      <c r="AD147" s="18" t="n"/>
      <c r="AE147" s="13" t="inlineStr">
        <is>
          <t>NOT_UPLOADED</t>
        </is>
      </c>
    </row>
    <row r="148" ht="16" customHeight="1">
      <c r="A148" s="12" t="n">
        <v>4008600177876</v>
      </c>
      <c r="B148" s="12" t="n">
        <v>4008600177876</v>
      </c>
      <c r="C148" s="13" t="n"/>
      <c r="D148" s="14" t="inlineStr">
        <is>
          <t>Violett</t>
        </is>
      </c>
      <c r="E148" s="14" t="inlineStr">
        <is>
          <t>BEB-4008600177876</t>
        </is>
      </c>
      <c r="F148" s="12" t="n">
        <v>10255192</v>
      </c>
      <c r="G148" s="14" t="inlineStr">
        <is>
          <t>Bebolino</t>
        </is>
      </c>
      <c r="H148" s="14" t="inlineStr">
        <is>
          <t>Nuk</t>
        </is>
      </c>
      <c r="I148" s="14" t="inlineStr">
        <is>
          <t>NUK Easy Learning Esslernschale für Kinder ab 6 Monaten mit Saugnapf, zwei Deckel, BPA frei, Violett</t>
        </is>
      </c>
      <c r="J148" s="14" t="inlineStr">
        <is>
          <t>No</t>
        </is>
      </c>
      <c r="K148" s="14" t="inlineStr">
        <is>
          <t>https://www.amazon.de/dp/B00D6B4FMY</t>
        </is>
      </c>
      <c r="L148" s="14" t="inlineStr">
        <is>
          <t>B00D6B4FMY</t>
        </is>
      </c>
      <c r="M148" s="15" t="n">
        <v>16.11</v>
      </c>
      <c r="N148" s="15" t="n">
        <v>0</v>
      </c>
      <c r="O148" s="15" t="n">
        <v>15.55</v>
      </c>
      <c r="P148" s="15">
        <f>O148/1.19</f>
        <v/>
      </c>
      <c r="Q148" s="15">
        <f>O148-P148</f>
        <v/>
      </c>
      <c r="R148" s="15">
        <f>O148*0.15</f>
        <v/>
      </c>
      <c r="S148" s="15" t="n">
        <v>7.16</v>
      </c>
      <c r="T148" s="15">
        <f>S148*0.2</f>
        <v/>
      </c>
      <c r="U148" s="15" t="n">
        <v>0.4</v>
      </c>
      <c r="V148" s="15" t="n">
        <v>2.4</v>
      </c>
      <c r="W148" s="15">
        <f>V148*0.2</f>
        <v/>
      </c>
      <c r="X148" s="21">
        <f>O148-Q148-R148-S148-U148-V148+T148+W148</f>
        <v/>
      </c>
      <c r="Y148" s="14" t="n"/>
      <c r="Z148" s="15">
        <f>O148+1.5</f>
        <v/>
      </c>
      <c r="AA148" s="15" t="n"/>
      <c r="AB148" s="15" t="n"/>
      <c r="AC148" s="14" t="n"/>
      <c r="AD148" s="14" t="n"/>
      <c r="AE148" s="13" t="inlineStr">
        <is>
          <t>NOT_UPLOADED</t>
        </is>
      </c>
    </row>
    <row r="149" ht="16" customHeight="1">
      <c r="A149" s="17" t="n">
        <v>4008600184829</v>
      </c>
      <c r="B149" s="17" t="n">
        <v>4008600184829</v>
      </c>
      <c r="C149" s="13" t="n"/>
      <c r="D149" s="18" t="n"/>
      <c r="E149" s="18" t="inlineStr">
        <is>
          <t>BEB-4008600184829</t>
        </is>
      </c>
      <c r="F149" s="17" t="n">
        <v>10255180</v>
      </c>
      <c r="G149" s="18" t="inlineStr">
        <is>
          <t>Bebolino</t>
        </is>
      </c>
      <c r="H149" s="18" t="inlineStr">
        <is>
          <t>Nuk</t>
        </is>
      </c>
      <c r="I149" s="18" t="inlineStr">
        <is>
          <t>NUK Fresh Foods Masher &amp; Baby Bowl | Baby Puree Maker | BPA-free | Green</t>
        </is>
      </c>
      <c r="J149" s="18" t="inlineStr">
        <is>
          <t>No</t>
        </is>
      </c>
      <c r="K149" s="18" t="inlineStr">
        <is>
          <t>https://www.amazon.de/dp/B00JDI68W4</t>
        </is>
      </c>
      <c r="L149" s="18" t="inlineStr">
        <is>
          <t>B00JDI68W4</t>
        </is>
      </c>
      <c r="M149" s="19" t="n">
        <v>0</v>
      </c>
      <c r="N149" s="19" t="n">
        <v>0</v>
      </c>
      <c r="O149" s="19" t="n">
        <v>14.99</v>
      </c>
      <c r="P149" s="19">
        <f>O149/1.19</f>
        <v/>
      </c>
      <c r="Q149" s="19">
        <f>O149-P149</f>
        <v/>
      </c>
      <c r="R149" s="19">
        <f>O149*0.15</f>
        <v/>
      </c>
      <c r="S149" s="19" t="n">
        <v>6.28</v>
      </c>
      <c r="T149" s="19">
        <f>S149*0.2</f>
        <v/>
      </c>
      <c r="U149" s="19" t="n">
        <v>0.4</v>
      </c>
      <c r="V149" s="19" t="n">
        <v>3</v>
      </c>
      <c r="W149" s="19">
        <f>V149*0.2</f>
        <v/>
      </c>
      <c r="X149" s="21">
        <f>O149-Q149-R149-S149-U149-V149+T149+W149</f>
        <v/>
      </c>
      <c r="Y149" s="18" t="n"/>
      <c r="Z149" s="19">
        <f>O149+1.5</f>
        <v/>
      </c>
      <c r="AA149" s="19" t="n"/>
      <c r="AB149" s="19" t="n"/>
      <c r="AC149" s="18" t="n"/>
      <c r="AD149" s="18" t="n"/>
      <c r="AE149" s="13" t="inlineStr">
        <is>
          <t>NOT_UPLOADED</t>
        </is>
      </c>
    </row>
    <row r="150" ht="16" customHeight="1">
      <c r="A150" s="12" t="n">
        <v>4008600176305</v>
      </c>
      <c r="B150" s="12" t="n">
        <v>4008600176305</v>
      </c>
      <c r="C150" s="13" t="n"/>
      <c r="D150" s="14" t="n"/>
      <c r="E150" s="14" t="inlineStr">
        <is>
          <t>BEB-4008600176305</t>
        </is>
      </c>
      <c r="F150" s="12" t="n">
        <v>10256311</v>
      </c>
      <c r="G150" s="14" t="inlineStr">
        <is>
          <t>Bebolino</t>
        </is>
      </c>
      <c r="H150" s="14" t="inlineStr">
        <is>
          <t>Nuk</t>
        </is>
      </c>
      <c r="I150" s="14" t="inlineStr">
        <is>
          <t>NUK 10256311 MultiDry Trockenständer praktisches von bis zu 6 Flaschen und Zubehör, BPA frei</t>
        </is>
      </c>
      <c r="J150" s="14" t="inlineStr">
        <is>
          <t>No</t>
        </is>
      </c>
      <c r="K150" s="14" t="inlineStr">
        <is>
          <t>https://www.amazon.de/dp/B0792RN36V</t>
        </is>
      </c>
      <c r="L150" s="14" t="inlineStr">
        <is>
          <t>B0792RN36V</t>
        </is>
      </c>
      <c r="M150" s="15" t="n">
        <v>30.48</v>
      </c>
      <c r="N150" s="15" t="n">
        <v>0</v>
      </c>
      <c r="O150" s="15" t="n">
        <v>27.89</v>
      </c>
      <c r="P150" s="15">
        <f>O150/1.19</f>
        <v/>
      </c>
      <c r="Q150" s="15">
        <f>O150-P150</f>
        <v/>
      </c>
      <c r="R150" s="15">
        <f>O150*0.15</f>
        <v/>
      </c>
      <c r="S150" s="15" t="n">
        <v>14.32</v>
      </c>
      <c r="T150" s="15">
        <f>S150*0.2</f>
        <v/>
      </c>
      <c r="U150" s="15" t="n">
        <v>0.4</v>
      </c>
      <c r="V150" s="15" t="n">
        <v>5.7</v>
      </c>
      <c r="W150" s="15">
        <f>V150*0.2</f>
        <v/>
      </c>
      <c r="X150" s="21">
        <f>O150-Q150-R150-S150-U150-V150+T150+W150</f>
        <v/>
      </c>
      <c r="Y150" s="14" t="n"/>
      <c r="Z150" s="15">
        <f>O150+1.5</f>
        <v/>
      </c>
      <c r="AA150" s="15" t="n"/>
      <c r="AB150" s="15" t="n"/>
      <c r="AC150" s="14" t="n"/>
      <c r="AD150" s="14" t="n"/>
      <c r="AE150" s="13" t="inlineStr">
        <is>
          <t>NOT_UPLOADED</t>
        </is>
      </c>
    </row>
    <row r="151" ht="16" customHeight="1">
      <c r="A151" s="17" t="n">
        <v>4008600211914</v>
      </c>
      <c r="B151" s="17" t="n">
        <v>4008600211914</v>
      </c>
      <c r="C151" s="13" t="n"/>
      <c r="D151" s="18" t="n"/>
      <c r="E151" s="18" t="inlineStr">
        <is>
          <t>BEB-4008600211914</t>
        </is>
      </c>
      <c r="F151" s="17" t="n">
        <v>10255257</v>
      </c>
      <c r="G151" s="18" t="inlineStr">
        <is>
          <t>Bebolino</t>
        </is>
      </c>
      <c r="H151" s="18" t="inlineStr">
        <is>
          <t>Nuk</t>
        </is>
      </c>
      <c r="I151" s="18" t="inlineStr">
        <is>
          <t>NUK Fresh Foods Gefrierform zum Einfrieren von Babynahrung, neun Portionen à, einzeln auftaubar, BPA frei, 1 Stück</t>
        </is>
      </c>
      <c r="J151" s="18" t="inlineStr">
        <is>
          <t>No</t>
        </is>
      </c>
      <c r="K151" s="18" t="inlineStr">
        <is>
          <t>https://www.amazon.de/dp/B0792M5QP9</t>
        </is>
      </c>
      <c r="L151" s="18" t="inlineStr">
        <is>
          <t>B0792M5QP9</t>
        </is>
      </c>
      <c r="M151" s="19" t="n">
        <v>24.97</v>
      </c>
      <c r="N151" s="19" t="n">
        <v>0</v>
      </c>
      <c r="O151" s="19" t="n">
        <v>24.88</v>
      </c>
      <c r="P151" s="19">
        <f>O151/1.19</f>
        <v/>
      </c>
      <c r="Q151" s="19">
        <f>O151-P151</f>
        <v/>
      </c>
      <c r="R151" s="19">
        <f>O151*0.15</f>
        <v/>
      </c>
      <c r="S151" s="19" t="n">
        <v>12.8</v>
      </c>
      <c r="T151" s="19">
        <f>S151*0.2</f>
        <v/>
      </c>
      <c r="U151" s="19" t="n">
        <v>0.4</v>
      </c>
      <c r="V151" s="19" t="n">
        <v>3.7</v>
      </c>
      <c r="W151" s="19">
        <f>V151*0.2</f>
        <v/>
      </c>
      <c r="X151" s="21">
        <f>O151-Q151-R151-S151-U151-V151+T151+W151</f>
        <v/>
      </c>
      <c r="Y151" s="18" t="n"/>
      <c r="Z151" s="19">
        <f>O151+1.5</f>
        <v/>
      </c>
      <c r="AA151" s="19" t="n"/>
      <c r="AB151" s="19" t="n"/>
      <c r="AC151" s="18" t="n"/>
      <c r="AD151" s="18" t="n"/>
      <c r="AE151" s="13" t="inlineStr">
        <is>
          <t>NOT_UPLOADED</t>
        </is>
      </c>
    </row>
    <row r="152" ht="16" customHeight="1">
      <c r="A152" s="12" t="n">
        <v>4008600044765</v>
      </c>
      <c r="B152" s="12" t="n">
        <v>4008600044765</v>
      </c>
      <c r="C152" s="13" t="n"/>
      <c r="D152" s="14" t="n"/>
      <c r="E152" s="14" t="inlineStr">
        <is>
          <t>BEB-4008600044765</t>
        </is>
      </c>
      <c r="F152" s="12" t="n">
        <v>10256187</v>
      </c>
      <c r="G152" s="14" t="inlineStr">
        <is>
          <t>Bebolino</t>
        </is>
      </c>
      <c r="H152" s="14" t="inlineStr">
        <is>
          <t>Nuk</t>
        </is>
      </c>
      <c r="I152" s="14" t="inlineStr">
        <is>
          <t>NUK Badethermometer, 1 Stück, zufällige Farbe</t>
        </is>
      </c>
      <c r="J152" s="14" t="inlineStr">
        <is>
          <t>No</t>
        </is>
      </c>
      <c r="K152" s="14" t="inlineStr">
        <is>
          <t>https://www.amazon.de/dp/B000MC6TOM</t>
        </is>
      </c>
      <c r="L152" s="14" t="inlineStr">
        <is>
          <t>B000MC6TOM</t>
        </is>
      </c>
      <c r="M152" s="15" t="n">
        <v>10.99</v>
      </c>
      <c r="N152" s="15" t="n">
        <v>0</v>
      </c>
      <c r="O152" s="15" t="n">
        <v>8.85</v>
      </c>
      <c r="P152" s="15">
        <f>O152/1.19</f>
        <v/>
      </c>
      <c r="Q152" s="15">
        <f>O152-P152</f>
        <v/>
      </c>
      <c r="R152" s="15">
        <f>O152*0.15</f>
        <v/>
      </c>
      <c r="S152" s="15" t="n">
        <v>3.28</v>
      </c>
      <c r="T152" s="15">
        <f>S152*0.2</f>
        <v/>
      </c>
      <c r="U152" s="15" t="n">
        <v>0.4</v>
      </c>
      <c r="V152" s="15" t="n">
        <v>2.1</v>
      </c>
      <c r="W152" s="15">
        <f>V152*0.2</f>
        <v/>
      </c>
      <c r="X152" s="16">
        <f>O152-Q152-R152-S152-U152-V152+T152+W152</f>
        <v/>
      </c>
      <c r="Y152" s="14" t="n"/>
      <c r="Z152" s="15">
        <f>O152+1.5</f>
        <v/>
      </c>
      <c r="AA152" s="15" t="n"/>
      <c r="AB152" s="15" t="n"/>
      <c r="AC152" s="14" t="n"/>
      <c r="AD152" s="14" t="n"/>
      <c r="AE152" s="13" t="inlineStr">
        <is>
          <t>NOT_UPLOADED</t>
        </is>
      </c>
    </row>
    <row r="153" ht="16" customHeight="1">
      <c r="A153" s="17" t="n">
        <v>4008600384946</v>
      </c>
      <c r="B153" s="17" t="n">
        <v>4008600384946</v>
      </c>
      <c r="C153" s="13" t="n"/>
      <c r="D153" s="18" t="n"/>
      <c r="E153" s="18" t="inlineStr">
        <is>
          <t>BEB-4008600384946</t>
        </is>
      </c>
      <c r="F153" s="17" t="n">
        <v>10252134</v>
      </c>
      <c r="G153" s="18" t="inlineStr">
        <is>
          <t>Bebolino</t>
        </is>
      </c>
      <c r="H153" s="18" t="inlineStr">
        <is>
          <t>Nuk</t>
        </is>
      </c>
      <c r="I153" s="18" t="inlineStr">
        <is>
          <t>NUK High Performance Disposable Breast Pads, Nursing Pads for Breastfeeding, 30 Count</t>
        </is>
      </c>
      <c r="J153" s="18" t="inlineStr">
        <is>
          <t>No</t>
        </is>
      </c>
      <c r="K153" s="18" t="inlineStr">
        <is>
          <t>https://www.amazon.de/dp/B0948K498X</t>
        </is>
      </c>
      <c r="L153" s="18" t="inlineStr">
        <is>
          <t>B0948K498X</t>
        </is>
      </c>
      <c r="M153" s="19" t="n">
        <v>12.1</v>
      </c>
      <c r="N153" s="19" t="n">
        <v>4.25</v>
      </c>
      <c r="O153" s="19" t="n">
        <v>12.05</v>
      </c>
      <c r="P153" s="19">
        <f>O153/1.19</f>
        <v/>
      </c>
      <c r="Q153" s="19">
        <f>O153-P153</f>
        <v/>
      </c>
      <c r="R153" s="19">
        <f>O153*0.15</f>
        <v/>
      </c>
      <c r="S153" s="19" t="n">
        <v>4.61</v>
      </c>
      <c r="T153" s="19">
        <f>S153*0.2</f>
        <v/>
      </c>
      <c r="U153" s="19" t="n">
        <v>0.4</v>
      </c>
      <c r="V153" s="19" t="n">
        <v>2.8</v>
      </c>
      <c r="W153" s="19">
        <f>V153*0.2</f>
        <v/>
      </c>
      <c r="X153" s="16">
        <f>O153-Q153-R153-S153-U153-V153+T153+W153</f>
        <v/>
      </c>
      <c r="Y153" s="18" t="n"/>
      <c r="Z153" s="19">
        <f>O153+1.5</f>
        <v/>
      </c>
      <c r="AA153" s="19" t="n"/>
      <c r="AB153" s="19" t="n"/>
      <c r="AC153" s="18" t="n"/>
      <c r="AD153" s="18" t="n"/>
      <c r="AE153" s="13" t="inlineStr">
        <is>
          <t>NOT_UPLOADED</t>
        </is>
      </c>
    </row>
    <row r="154" ht="16" customHeight="1">
      <c r="A154" s="12" t="n">
        <v>4008600384885</v>
      </c>
      <c r="B154" s="12" t="n">
        <v>4008600384885</v>
      </c>
      <c r="C154" s="13" t="n"/>
      <c r="D154" s="14" t="n"/>
      <c r="E154" s="14" t="inlineStr">
        <is>
          <t>BEB-4008600384885</t>
        </is>
      </c>
      <c r="F154" s="12" t="n">
        <v>10252135</v>
      </c>
      <c r="G154" s="14" t="inlineStr">
        <is>
          <t>Bebolino</t>
        </is>
      </c>
      <c r="H154" s="14" t="inlineStr">
        <is>
          <t>Nuk</t>
        </is>
      </c>
      <c r="I154" s="14" t="inlineStr">
        <is>
          <t>NUK High-Performance Einweg-Stilleinlagen mit Sofort-Saugvlies | Einlagen zum Stillen | Einzelverpackung | +40% mehr Saugkraft | 60 Stück</t>
        </is>
      </c>
      <c r="J154" s="14" t="inlineStr">
        <is>
          <t>No</t>
        </is>
      </c>
      <c r="K154" s="14" t="inlineStr">
        <is>
          <t>https://www.amazon.de/dp/B08Y9QY2BW?th=1</t>
        </is>
      </c>
      <c r="L154" s="14" t="inlineStr">
        <is>
          <t>B08Y9QY2BW</t>
        </is>
      </c>
      <c r="M154" s="15" t="n">
        <v>19.94</v>
      </c>
      <c r="N154" s="15" t="n">
        <v>0</v>
      </c>
      <c r="O154" s="15" t="n">
        <v>21.5</v>
      </c>
      <c r="P154" s="15">
        <f>O154/1.19</f>
        <v/>
      </c>
      <c r="Q154" s="15">
        <f>O154-P154</f>
        <v/>
      </c>
      <c r="R154" s="15">
        <f>O154*0.15</f>
        <v/>
      </c>
      <c r="S154" s="15" t="n">
        <v>8.19</v>
      </c>
      <c r="T154" s="15">
        <f>S154*0.2</f>
        <v/>
      </c>
      <c r="U154" s="15" t="n">
        <v>0.4</v>
      </c>
      <c r="V154" s="15" t="n">
        <v>6</v>
      </c>
      <c r="W154" s="15">
        <f>V154*0.2</f>
        <v/>
      </c>
      <c r="X154" s="21">
        <f>O154-Q154-R154-S154-U154-V154+T154+W154</f>
        <v/>
      </c>
      <c r="Y154" s="14" t="n"/>
      <c r="Z154" s="15">
        <f>O154+1.5</f>
        <v/>
      </c>
      <c r="AA154" s="15" t="n"/>
      <c r="AB154" s="15" t="n"/>
      <c r="AC154" s="14" t="n"/>
      <c r="AD154" s="14" t="n"/>
      <c r="AE154" s="13" t="inlineStr">
        <is>
          <t>NOT_UPLOADED</t>
        </is>
      </c>
    </row>
    <row r="155" ht="16" customHeight="1">
      <c r="A155" s="17" t="n">
        <v>4008600252306</v>
      </c>
      <c r="B155" s="17" t="n">
        <v>4008600252306</v>
      </c>
      <c r="C155" s="13" t="n"/>
      <c r="D155" s="18" t="n"/>
      <c r="E155" s="18" t="inlineStr">
        <is>
          <t>BEB-4008600252306</t>
        </is>
      </c>
      <c r="F155" s="17" t="n">
        <v>10252126</v>
      </c>
      <c r="G155" s="18" t="inlineStr">
        <is>
          <t>Bebolino</t>
        </is>
      </c>
      <c r="H155" s="18" t="inlineStr">
        <is>
          <t>Nuk</t>
        </is>
      </c>
      <c r="I155" s="18" t="inlineStr">
        <is>
          <t>NUK Muttermilchbeutel, platzsparend &amp; sofort verwendbar, 180ml, 25 Stück, transparent</t>
        </is>
      </c>
      <c r="J155" s="18" t="inlineStr">
        <is>
          <t>No</t>
        </is>
      </c>
      <c r="K155" s="18" t="inlineStr">
        <is>
          <t>https://www.amazon.de/dp/B07B4DHXW7</t>
        </is>
      </c>
      <c r="L155" s="18" t="inlineStr">
        <is>
          <t>B07B4DHXW7</t>
        </is>
      </c>
      <c r="M155" s="19" t="n">
        <v>18.57</v>
      </c>
      <c r="N155" s="19" t="n">
        <v>8.49</v>
      </c>
      <c r="O155" s="19" t="n">
        <v>17.89</v>
      </c>
      <c r="P155" s="19">
        <f>O155/1.19</f>
        <v/>
      </c>
      <c r="Q155" s="19">
        <f>O155-P155</f>
        <v/>
      </c>
      <c r="R155" s="19">
        <f>O155*0.15</f>
        <v/>
      </c>
      <c r="S155" s="19" t="n">
        <v>8.699999999999999</v>
      </c>
      <c r="T155" s="19">
        <f>S155*0.2</f>
        <v/>
      </c>
      <c r="U155" s="19" t="n">
        <v>0.4</v>
      </c>
      <c r="V155" s="19" t="n">
        <v>3.25</v>
      </c>
      <c r="W155" s="19">
        <f>V155*0.2</f>
        <v/>
      </c>
      <c r="X155" s="21">
        <f>O155-Q155-R155-S155-U155-V155+T155+W155</f>
        <v/>
      </c>
      <c r="Y155" s="18" t="n"/>
      <c r="Z155" s="19">
        <f>O155+1.5</f>
        <v/>
      </c>
      <c r="AA155" s="19" t="n"/>
      <c r="AB155" s="19" t="n"/>
      <c r="AC155" s="18" t="n"/>
      <c r="AD155" s="18" t="n"/>
      <c r="AE155" s="13" t="inlineStr">
        <is>
          <t>NOT_UPLOADED</t>
        </is>
      </c>
    </row>
    <row r="156" ht="16" customHeight="1">
      <c r="A156" s="12" t="n">
        <v>4008600369592</v>
      </c>
      <c r="B156" s="12" t="n">
        <v>4008600369592</v>
      </c>
      <c r="C156" s="13" t="n"/>
      <c r="D156" s="14" t="n"/>
      <c r="E156" s="14" t="inlineStr">
        <is>
          <t>BEB-4008600369592</t>
        </is>
      </c>
      <c r="F156" s="12" t="n">
        <v>10107052</v>
      </c>
      <c r="G156" s="14" t="inlineStr">
        <is>
          <t>Bebolino</t>
        </is>
      </c>
      <c r="H156" s="14" t="inlineStr">
        <is>
          <t>Nuk</t>
        </is>
      </c>
      <c r="I156" s="14" t="inlineStr">
        <is>
          <t>NUK Stillhütchen | Brusthütchen zum Stillen | schützt vor wunden Brustwarzen | dünnes Silikon | Größe S (16mm) | inklusiv Schutzdose | 2 Stück</t>
        </is>
      </c>
      <c r="J156" s="14" t="inlineStr">
        <is>
          <t>No</t>
        </is>
      </c>
      <c r="K156" s="14" t="inlineStr">
        <is>
          <t>https://www.amazon.de/dp/B08KJRR6L4</t>
        </is>
      </c>
      <c r="L156" s="14" t="inlineStr">
        <is>
          <t>B08KJRR6L4</t>
        </is>
      </c>
      <c r="M156" s="15" t="n">
        <v>16.44</v>
      </c>
      <c r="N156" s="15" t="n">
        <v>6.99</v>
      </c>
      <c r="O156" s="15" t="n">
        <v>10.25</v>
      </c>
      <c r="P156" s="15">
        <f>O156/1.19</f>
        <v/>
      </c>
      <c r="Q156" s="15">
        <f>O156-P156</f>
        <v/>
      </c>
      <c r="R156" s="15">
        <f>O156*0.15</f>
        <v/>
      </c>
      <c r="S156" s="15" t="n">
        <v>4.39</v>
      </c>
      <c r="T156" s="15">
        <f>S156*0.2</f>
        <v/>
      </c>
      <c r="U156" s="15" t="n">
        <v>0.4</v>
      </c>
      <c r="V156" s="15" t="n">
        <v>2</v>
      </c>
      <c r="W156" s="15">
        <f>V156*0.2</f>
        <v/>
      </c>
      <c r="X156" s="16">
        <f>O156-Q156-R156-S156-U156-V156+T156+W156</f>
        <v/>
      </c>
      <c r="Y156" s="14" t="n"/>
      <c r="Z156" s="15">
        <f>O156+1.5</f>
        <v/>
      </c>
      <c r="AA156" s="15" t="n"/>
      <c r="AB156" s="15" t="n"/>
      <c r="AC156" s="14" t="n"/>
      <c r="AD156" s="14" t="n"/>
      <c r="AE156" s="13" t="inlineStr">
        <is>
          <t>NOT_UPLOADED</t>
        </is>
      </c>
    </row>
    <row r="157" ht="16" customHeight="1">
      <c r="A157" s="17" t="n">
        <v>4008600299875</v>
      </c>
      <c r="B157" s="17" t="n">
        <v>4008600299875</v>
      </c>
      <c r="C157" s="13" t="n"/>
      <c r="D157" s="18" t="n"/>
      <c r="E157" s="18" t="inlineStr">
        <is>
          <t>BEB-4008600299875</t>
        </is>
      </c>
      <c r="F157" s="17" t="n">
        <v>10721312</v>
      </c>
      <c r="G157" s="18" t="inlineStr">
        <is>
          <t>Bebolino</t>
        </is>
      </c>
      <c r="H157" s="18" t="inlineStr">
        <is>
          <t>Nuk</t>
        </is>
      </c>
      <c r="I157" s="18" t="inlineStr">
        <is>
          <t>NUK Silicone Nipple Shields with Storage Box, Pack of 2</t>
        </is>
      </c>
      <c r="J157" s="18" t="inlineStr">
        <is>
          <t>No</t>
        </is>
      </c>
      <c r="K157" s="18" t="inlineStr">
        <is>
          <t>https://www.amazon.de/dp/B07FB6PY5B</t>
        </is>
      </c>
      <c r="L157" s="18" t="inlineStr">
        <is>
          <t>B07FB6PY5B</t>
        </is>
      </c>
      <c r="M157" s="19" t="n">
        <v>11.08</v>
      </c>
      <c r="N157" s="19" t="n">
        <v>0</v>
      </c>
      <c r="O157" s="19" t="n">
        <v>11.9</v>
      </c>
      <c r="P157" s="19">
        <f>O157/1.19</f>
        <v/>
      </c>
      <c r="Q157" s="19">
        <f>O157-P157</f>
        <v/>
      </c>
      <c r="R157" s="19">
        <f>O157*0.15</f>
        <v/>
      </c>
      <c r="S157" s="19" t="n">
        <v>4.39</v>
      </c>
      <c r="T157" s="19">
        <f>S157*0.2</f>
        <v/>
      </c>
      <c r="U157" s="19" t="n">
        <v>0.4</v>
      </c>
      <c r="V157" s="19" t="n">
        <v>2</v>
      </c>
      <c r="W157" s="19">
        <f>V157*0.2</f>
        <v/>
      </c>
      <c r="X157" s="21">
        <f>O157-Q157-R157-S157-U157-V157+T157+W157</f>
        <v/>
      </c>
      <c r="Y157" s="18" t="n"/>
      <c r="Z157" s="19">
        <f>O157+1.5</f>
        <v/>
      </c>
      <c r="AA157" s="19" t="n"/>
      <c r="AB157" s="19" t="n"/>
      <c r="AC157" s="18" t="n"/>
      <c r="AD157" s="18" t="n"/>
      <c r="AE157" s="13" t="inlineStr">
        <is>
          <t>NOT_UPLOADED</t>
        </is>
      </c>
    </row>
    <row r="158" ht="16" customHeight="1">
      <c r="A158" s="12" t="n">
        <v>4008600299868</v>
      </c>
      <c r="B158" s="12" t="n">
        <v>4008600299868</v>
      </c>
      <c r="C158" s="13" t="n"/>
      <c r="D158" s="14" t="n"/>
      <c r="E158" s="14" t="inlineStr">
        <is>
          <t>BEB-4008600299868</t>
        </is>
      </c>
      <c r="F158" s="12" t="n">
        <v>10721314</v>
      </c>
      <c r="G158" s="14" t="inlineStr">
        <is>
          <t>Bebolino</t>
        </is>
      </c>
      <c r="H158" s="14" t="inlineStr">
        <is>
          <t>Nuk</t>
        </is>
      </c>
      <c r="I158" s="14" t="inlineStr">
        <is>
          <t>NUK Freestyle Beach Edition Silicone Soother Orthodontic Shape 18-36 Months (Pack of 2) - Blue</t>
        </is>
      </c>
      <c r="J158" s="14" t="inlineStr">
        <is>
          <t>No</t>
        </is>
      </c>
      <c r="K158" s="14" t="inlineStr">
        <is>
          <t>https://www.amazon.de/dp/B08QG7LHBY</t>
        </is>
      </c>
      <c r="L158" s="14" t="inlineStr">
        <is>
          <t>B08QG7LHBY</t>
        </is>
      </c>
      <c r="M158" s="15" t="n">
        <v>20.01</v>
      </c>
      <c r="N158" s="15" t="n">
        <v>0</v>
      </c>
      <c r="O158" s="15" t="n">
        <v>12</v>
      </c>
      <c r="P158" s="15">
        <f>O158/1.19</f>
        <v/>
      </c>
      <c r="Q158" s="15">
        <f>O158-P158</f>
        <v/>
      </c>
      <c r="R158" s="15">
        <f>O158*0.15</f>
        <v/>
      </c>
      <c r="S158" s="15" t="n">
        <v>4.4</v>
      </c>
      <c r="T158" s="15">
        <f>S158*0.2</f>
        <v/>
      </c>
      <c r="U158" s="15" t="n">
        <v>0.4</v>
      </c>
      <c r="V158" s="15" t="n">
        <v>2.2</v>
      </c>
      <c r="W158" s="15">
        <f>V158*0.2</f>
        <v/>
      </c>
      <c r="X158" s="21">
        <f>O158-Q158-R158-S158-U158-V158+T158+W158</f>
        <v/>
      </c>
      <c r="Y158" s="14" t="n"/>
      <c r="Z158" s="15">
        <f>O158+1.5</f>
        <v/>
      </c>
      <c r="AA158" s="15" t="n"/>
      <c r="AB158" s="15" t="n"/>
      <c r="AC158" s="14" t="n"/>
      <c r="AD158" s="14" t="n"/>
      <c r="AE158" s="13" t="inlineStr">
        <is>
          <t>NOT_UPLOADED</t>
        </is>
      </c>
    </row>
    <row r="159" ht="16" customHeight="1">
      <c r="A159" s="17" t="n">
        <v>4008600425434</v>
      </c>
      <c r="B159" s="17" t="n">
        <v>4008600425434</v>
      </c>
      <c r="C159" s="13" t="n"/>
      <c r="D159" s="18" t="n"/>
      <c r="E159" s="18" t="inlineStr">
        <is>
          <t>BEB-4008600425434</t>
        </is>
      </c>
      <c r="F159" s="17" t="n">
        <v>10175313</v>
      </c>
      <c r="G159" s="18" t="inlineStr">
        <is>
          <t>Bebolino</t>
        </is>
      </c>
      <c r="H159" s="18" t="inlineStr">
        <is>
          <t>Nuk</t>
        </is>
      </c>
      <c r="I159" s="18" t="inlineStr">
        <is>
          <t>NUK MommyFeel Babyschnuller | 0−9 Monate | stillfreundliche Sauger | BPA-freies Silikon | Jeans &amp; Greige | 2 Stück</t>
        </is>
      </c>
      <c r="J159" s="18" t="inlineStr">
        <is>
          <t>No</t>
        </is>
      </c>
      <c r="K159" s="18" t="inlineStr">
        <is>
          <t>https://www.amazon.de/dp/B0C4Q2WPY6?th=1</t>
        </is>
      </c>
      <c r="L159" s="18" t="inlineStr">
        <is>
          <t>B0C4Q2WPY6</t>
        </is>
      </c>
      <c r="M159" s="19" t="n">
        <v>13.63</v>
      </c>
      <c r="N159" s="19" t="n">
        <v>7.99</v>
      </c>
      <c r="O159" s="19" t="n">
        <v>12.5</v>
      </c>
      <c r="P159" s="19">
        <f>O159/1.19</f>
        <v/>
      </c>
      <c r="Q159" s="19">
        <f>O159-P159</f>
        <v/>
      </c>
      <c r="R159" s="19">
        <f>O159*0.15</f>
        <v/>
      </c>
      <c r="S159" s="19" t="n">
        <v>5.91</v>
      </c>
      <c r="T159" s="19">
        <f>S159*0.2</f>
        <v/>
      </c>
      <c r="U159" s="19" t="n">
        <v>0.4</v>
      </c>
      <c r="V159" s="19" t="n">
        <v>2.24</v>
      </c>
      <c r="W159" s="19">
        <f>V159*0.2</f>
        <v/>
      </c>
      <c r="X159" s="16">
        <f>O159-Q159-R159-S159-U159-V159+T159+W159</f>
        <v/>
      </c>
      <c r="Y159" s="18" t="n"/>
      <c r="Z159" s="19">
        <f>O159+1.5</f>
        <v/>
      </c>
      <c r="AA159" s="19" t="n"/>
      <c r="AB159" s="19" t="n"/>
      <c r="AC159" s="18" t="n"/>
      <c r="AD159" s="18" t="n"/>
      <c r="AE159" s="13" t="inlineStr">
        <is>
          <t>NOT_UPLOADED</t>
        </is>
      </c>
    </row>
    <row r="160" ht="16" customHeight="1">
      <c r="A160" s="12" t="n">
        <v>4008600425441</v>
      </c>
      <c r="B160" s="12" t="n">
        <v>4008600425441</v>
      </c>
      <c r="C160" s="13" t="n"/>
      <c r="D160" s="14" t="n"/>
      <c r="E160" s="14" t="inlineStr">
        <is>
          <t>BEB-4008600425441</t>
        </is>
      </c>
      <c r="F160" s="12" t="n">
        <v>10175312</v>
      </c>
      <c r="G160" s="14" t="inlineStr">
        <is>
          <t>Bebolino</t>
        </is>
      </c>
      <c r="H160" s="14" t="inlineStr">
        <is>
          <t>Nuk</t>
        </is>
      </c>
      <c r="I160" s="14" t="inlineStr">
        <is>
          <t>NUK MommyFeel Babyschnuller | 0−9 Monate | stillfreundliche Sauger | BPA-freies Silikon | Blush &amp; Sandstone | 2 Stück</t>
        </is>
      </c>
      <c r="J160" s="14" t="inlineStr">
        <is>
          <t>No</t>
        </is>
      </c>
      <c r="K160" s="14" t="inlineStr">
        <is>
          <t>https://www.amazon.de/dp/B0C4Q4KW98?th=1</t>
        </is>
      </c>
      <c r="L160" s="14" t="inlineStr">
        <is>
          <t>B0C4Q4KW98</t>
        </is>
      </c>
      <c r="M160" s="15" t="n">
        <v>13.63</v>
      </c>
      <c r="N160" s="15" t="n">
        <v>7.25</v>
      </c>
      <c r="O160" s="15" t="n">
        <v>12.5</v>
      </c>
      <c r="P160" s="15">
        <f>O160/1.19</f>
        <v/>
      </c>
      <c r="Q160" s="15">
        <f>O160-P160</f>
        <v/>
      </c>
      <c r="R160" s="15">
        <f>O160*0.15</f>
        <v/>
      </c>
      <c r="S160" s="15" t="n">
        <v>5.91</v>
      </c>
      <c r="T160" s="15">
        <f>S160*0.2</f>
        <v/>
      </c>
      <c r="U160" s="15" t="n">
        <v>0.4</v>
      </c>
      <c r="V160" s="15" t="n">
        <v>2.24</v>
      </c>
      <c r="W160" s="15">
        <f>V160*0.2</f>
        <v/>
      </c>
      <c r="X160" s="16">
        <f>O160-Q160-R160-S160-U160-V160+T160+W160</f>
        <v/>
      </c>
      <c r="Y160" s="14" t="n"/>
      <c r="Z160" s="15">
        <f>O160+1.5</f>
        <v/>
      </c>
      <c r="AA160" s="15" t="n"/>
      <c r="AB160" s="15" t="n"/>
      <c r="AC160" s="14" t="n"/>
      <c r="AD160" s="14" t="n"/>
      <c r="AE160" s="13" t="inlineStr">
        <is>
          <t>NOT_UPLOADED</t>
        </is>
      </c>
    </row>
    <row r="161" ht="16" customHeight="1">
      <c r="A161" s="17" t="n">
        <v>4008600425472</v>
      </c>
      <c r="B161" s="17" t="n">
        <v>4008600425472</v>
      </c>
      <c r="C161" s="13" t="n"/>
      <c r="D161" s="18" t="n"/>
      <c r="E161" s="18" t="inlineStr">
        <is>
          <t>BEB-4008600425472</t>
        </is>
      </c>
      <c r="F161" s="17" t="n">
        <v>10175311</v>
      </c>
      <c r="G161" s="18" t="inlineStr">
        <is>
          <t>Bebolino</t>
        </is>
      </c>
      <c r="H161" s="18" t="inlineStr">
        <is>
          <t>Nuk</t>
        </is>
      </c>
      <c r="I161" s="18" t="inlineStr">
        <is>
          <t>NUK MommyFeel Babyschnuller | 0−9 Monate | stillfreundliche Sauger | BPA-freies Silikon | Greige &amp; Sandstone | 2 Stück</t>
        </is>
      </c>
      <c r="J161" s="18" t="inlineStr">
        <is>
          <t>No</t>
        </is>
      </c>
      <c r="K161" s="18" t="inlineStr">
        <is>
          <t>https://www.amazon.de/NUK-MommyFeel-Schnuller-Stillbeziehung-BPA-freies/dp/B0C4Q55MS6/ref=sr_1_1?__mk_de_DE=%C3%85M%C3%85%C5%BD%C3%95%C3%91&amp;crid=T6POWDVWTFVT&amp;dib=eyJ2IjoiMSJ9.OR9pOEWKP1DE8_aT57CTaA.K2iZY8X4oz-wXiPSo5qxB436iXwlLuThEMs16_fEcsY&amp;dib_tag=se&amp;keywords=4008600425472&amp;qid=1756558601&amp;s=baby&amp;sprefix=4008600425472%2Cbaby%2C93&amp;sr=1-1&amp;th=1</t>
        </is>
      </c>
      <c r="L161" s="18" t="inlineStr">
        <is>
          <t>B0C4Q55MS6</t>
        </is>
      </c>
      <c r="M161" s="19" t="n">
        <v>13.63</v>
      </c>
      <c r="N161" s="19" t="n">
        <v>7.25</v>
      </c>
      <c r="O161" s="19" t="n">
        <v>12.5</v>
      </c>
      <c r="P161" s="19">
        <f>O161/1.19</f>
        <v/>
      </c>
      <c r="Q161" s="19">
        <f>O161-P161</f>
        <v/>
      </c>
      <c r="R161" s="19">
        <f>O161*0.15</f>
        <v/>
      </c>
      <c r="S161" s="19" t="n">
        <v>5.91</v>
      </c>
      <c r="T161" s="19">
        <f>S161*0.2</f>
        <v/>
      </c>
      <c r="U161" s="19" t="n">
        <v>0.4</v>
      </c>
      <c r="V161" s="19" t="n">
        <v>2.24</v>
      </c>
      <c r="W161" s="19">
        <f>V161*0.2</f>
        <v/>
      </c>
      <c r="X161" s="16">
        <f>O161-Q161-R161-S161-U161-V161+T161+W161</f>
        <v/>
      </c>
      <c r="Y161" s="18" t="n"/>
      <c r="Z161" s="19">
        <f>O161+1.5</f>
        <v/>
      </c>
      <c r="AA161" s="19" t="n"/>
      <c r="AB161" s="19" t="n"/>
      <c r="AC161" s="18" t="n"/>
      <c r="AD161" s="18" t="n"/>
      <c r="AE161" s="13" t="inlineStr">
        <is>
          <t>NOT_UPLOADED</t>
        </is>
      </c>
    </row>
    <row r="162" ht="16" customHeight="1">
      <c r="A162" s="12" t="n">
        <v>4008600425458</v>
      </c>
      <c r="B162" s="12" t="n">
        <v>4008600425458</v>
      </c>
      <c r="C162" s="13" t="n"/>
      <c r="D162" s="14" t="n"/>
      <c r="E162" s="14" t="inlineStr">
        <is>
          <t>BEB-4008600425458</t>
        </is>
      </c>
      <c r="F162" s="12" t="n">
        <v>10175310</v>
      </c>
      <c r="G162" s="14" t="inlineStr">
        <is>
          <t>Bebolino</t>
        </is>
      </c>
      <c r="H162" s="14" t="inlineStr">
        <is>
          <t>Nuk</t>
        </is>
      </c>
      <c r="I162" s="14" t="inlineStr">
        <is>
          <t>NUK MommyFeel Babyschnuller | 0−9 Monate | stillfreundliche Sauger | BPA-freies Silikon | Mint &amp; Off White | 2 Stück</t>
        </is>
      </c>
      <c r="J162" s="14" t="inlineStr">
        <is>
          <t>No</t>
        </is>
      </c>
      <c r="K162" s="14" t="inlineStr">
        <is>
          <t>https://www.amazon.de/-/en/MommyFeel-Months-Breastfeeding-Friendly-BPA-Free-Silicone/dp/B0C4Q5HQX1/ref=sr_1_1?crid=3OYN0I2NUGHOH&amp;dib=eyJ2IjoiMSJ9.0gnKaCc3vqjYiK65Wgir3Q.m1l5PonGbtk0GnSS2YjkwFs_Ol8UOxCdgYX5fE6ZPwg&amp;dib_tag=se&amp;keywords=B0C4Q5HQX1&amp;qid=1768294153&amp;s=baby&amp;sprefix=b0c4q5hqx1%2Cbaby%2C122&amp;sr=1-1&amp;th=1</t>
        </is>
      </c>
      <c r="L162" s="14" t="inlineStr">
        <is>
          <t>B0C4Q5HQX1</t>
        </is>
      </c>
      <c r="M162" s="15" t="n">
        <v>13.63</v>
      </c>
      <c r="N162" s="15" t="n">
        <v>7.29</v>
      </c>
      <c r="O162" s="15" t="n">
        <v>12.7</v>
      </c>
      <c r="P162" s="15">
        <f>O162/1.19</f>
        <v/>
      </c>
      <c r="Q162" s="15">
        <f>O162-P162</f>
        <v/>
      </c>
      <c r="R162" s="15">
        <f>O162*0.15</f>
        <v/>
      </c>
      <c r="S162" s="15" t="n">
        <v>5.91</v>
      </c>
      <c r="T162" s="15">
        <f>S162*0.2</f>
        <v/>
      </c>
      <c r="U162" s="15" t="n">
        <v>0.4</v>
      </c>
      <c r="V162" s="15" t="n">
        <v>2.24</v>
      </c>
      <c r="W162" s="15">
        <f>V162*0.2</f>
        <v/>
      </c>
      <c r="X162" s="16">
        <f>O162-Q162-R162-S162-U162-V162+T162+W162</f>
        <v/>
      </c>
      <c r="Y162" s="14" t="n"/>
      <c r="Z162" s="15">
        <f>O162+1.5</f>
        <v/>
      </c>
      <c r="AA162" s="15" t="n"/>
      <c r="AB162" s="15" t="n"/>
      <c r="AC162" s="14" t="n"/>
      <c r="AD162" s="14" t="n"/>
      <c r="AE162" s="13" t="inlineStr">
        <is>
          <t>NOT_UPLOADED</t>
        </is>
      </c>
    </row>
    <row r="163" ht="16" customHeight="1">
      <c r="A163" s="17" t="n">
        <v>4008600419679</v>
      </c>
      <c r="B163" s="17" t="n">
        <v>4008600419679</v>
      </c>
      <c r="C163" s="13" t="n"/>
      <c r="D163" s="18" t="n"/>
      <c r="E163" s="18" t="inlineStr">
        <is>
          <t>BEB-4008600419679</t>
        </is>
      </c>
      <c r="F163" s="17" t="n">
        <v>10176297</v>
      </c>
      <c r="G163" s="18" t="inlineStr">
        <is>
          <t>Bebolino</t>
        </is>
      </c>
      <c r="H163" s="18" t="inlineStr">
        <is>
          <t>Nuk</t>
        </is>
      </c>
      <c r="I163" s="18" t="inlineStr">
        <is>
          <t>NUK for Nature Babyschnuller | aus nachhaltigem Silikon | kiefergerechte Form | BPA-frei | 6-18 Monate | terrakottarot | 2 Stück</t>
        </is>
      </c>
      <c r="J163" s="18" t="inlineStr">
        <is>
          <t>No</t>
        </is>
      </c>
      <c r="K163" s="18" t="inlineStr">
        <is>
          <t>https://www.amazon.de/dp/B0B9X68144?th=1</t>
        </is>
      </c>
      <c r="L163" s="18" t="inlineStr">
        <is>
          <t>B0B9X68144</t>
        </is>
      </c>
      <c r="M163" s="19" t="n">
        <v>12.79</v>
      </c>
      <c r="N163" s="19" t="n">
        <v>0</v>
      </c>
      <c r="O163" s="19" t="n">
        <v>11.25</v>
      </c>
      <c r="P163" s="19">
        <f>O163/1.19</f>
        <v/>
      </c>
      <c r="Q163" s="19">
        <f>O163-P163</f>
        <v/>
      </c>
      <c r="R163" s="19">
        <f>O163*0.15</f>
        <v/>
      </c>
      <c r="S163" s="19" t="n">
        <v>4.9</v>
      </c>
      <c r="T163" s="19">
        <f>S163*0.2</f>
        <v/>
      </c>
      <c r="U163" s="19" t="n">
        <v>0.4</v>
      </c>
      <c r="V163" s="19" t="n">
        <v>2.24</v>
      </c>
      <c r="W163" s="19">
        <f>V163*0.2</f>
        <v/>
      </c>
      <c r="X163" s="16">
        <f>O163-Q163-R163-S163-U163-V163+T163+W163</f>
        <v/>
      </c>
      <c r="Y163" s="18" t="n"/>
      <c r="Z163" s="19">
        <f>O163+1.5</f>
        <v/>
      </c>
      <c r="AA163" s="19" t="n"/>
      <c r="AB163" s="19" t="n"/>
      <c r="AC163" s="18" t="n"/>
      <c r="AD163" s="18" t="n"/>
      <c r="AE163" s="13" t="inlineStr">
        <is>
          <t>NOT_UPLOADED</t>
        </is>
      </c>
    </row>
    <row r="164" ht="16" customHeight="1">
      <c r="A164" s="12" t="n">
        <v>4008600419655</v>
      </c>
      <c r="B164" s="12" t="n">
        <v>4008600419655</v>
      </c>
      <c r="C164" s="13" t="n"/>
      <c r="D164" s="14" t="n"/>
      <c r="E164" s="14" t="inlineStr">
        <is>
          <t>BEB-4008600419655</t>
        </is>
      </c>
      <c r="F164" s="12" t="n">
        <v>10176298</v>
      </c>
      <c r="G164" s="14" t="inlineStr">
        <is>
          <t>Bebolino</t>
        </is>
      </c>
      <c r="H164" s="14" t="inlineStr">
        <is>
          <t>Nuk</t>
        </is>
      </c>
      <c r="I164" s="14" t="inlineStr">
        <is>
          <t>NUK for Nature Babyschnuller | aus nachhaltigem Silikon | kiefergerechte Form | BPA-frei | 6-18 Monate | beige | 2 Stück</t>
        </is>
      </c>
      <c r="J164" s="14" t="inlineStr">
        <is>
          <t>No</t>
        </is>
      </c>
      <c r="K164" s="14" t="inlineStr">
        <is>
          <t>https://www.amazon.de/dp/B0B9X6FSD7?th=1</t>
        </is>
      </c>
      <c r="L164" s="14" t="inlineStr">
        <is>
          <t>B0B9X6FSD7</t>
        </is>
      </c>
      <c r="M164" s="15" t="n">
        <v>11.99</v>
      </c>
      <c r="N164" s="15" t="n">
        <v>0</v>
      </c>
      <c r="O164" s="15" t="n">
        <v>11.4</v>
      </c>
      <c r="P164" s="15">
        <f>O164/1.19</f>
        <v/>
      </c>
      <c r="Q164" s="15">
        <f>O164-P164</f>
        <v/>
      </c>
      <c r="R164" s="15">
        <f>O164*0.15</f>
        <v/>
      </c>
      <c r="S164" s="15" t="n">
        <v>4.9</v>
      </c>
      <c r="T164" s="15">
        <f>S164*0.2</f>
        <v/>
      </c>
      <c r="U164" s="15" t="n">
        <v>0.4</v>
      </c>
      <c r="V164" s="15" t="n">
        <v>2.24</v>
      </c>
      <c r="W164" s="15">
        <f>V164*0.2</f>
        <v/>
      </c>
      <c r="X164" s="16">
        <f>O164-Q164-R164-S164-U164-V164+T164+W164</f>
        <v/>
      </c>
      <c r="Y164" s="14" t="n"/>
      <c r="Z164" s="15">
        <f>O164+1.5</f>
        <v/>
      </c>
      <c r="AA164" s="15" t="n"/>
      <c r="AB164" s="15" t="n"/>
      <c r="AC164" s="14" t="n"/>
      <c r="AD164" s="14" t="n"/>
      <c r="AE164" s="13" t="inlineStr">
        <is>
          <t>NOT_UPLOADED</t>
        </is>
      </c>
    </row>
    <row r="165" ht="16" customHeight="1">
      <c r="A165" s="17" t="n">
        <v>4008600419648</v>
      </c>
      <c r="B165" s="17" t="n">
        <v>4008600419648</v>
      </c>
      <c r="C165" s="13" t="n"/>
      <c r="D165" s="18" t="n"/>
      <c r="E165" s="18" t="inlineStr">
        <is>
          <t>BEB-4008600419648</t>
        </is>
      </c>
      <c r="F165" s="17" t="n">
        <v>10176299</v>
      </c>
      <c r="G165" s="18" t="inlineStr">
        <is>
          <t>Bebolino</t>
        </is>
      </c>
      <c r="H165" s="18" t="inlineStr">
        <is>
          <t>Nuk</t>
        </is>
      </c>
      <c r="I165" s="18" t="inlineStr">
        <is>
          <t>NUK for Nature Babyschnuller | aus nachhaltigem Silikon | kiefergerechte Form | BPA-frei | 6-18 Monate | eukalyptusgrün | 2 Stück</t>
        </is>
      </c>
      <c r="J165" s="18" t="inlineStr">
        <is>
          <t>No</t>
        </is>
      </c>
      <c r="K165" s="18" t="inlineStr">
        <is>
          <t>https://www.amazon.de/dp/B0B9X7YWBN?th=1</t>
        </is>
      </c>
      <c r="L165" s="18" t="inlineStr">
        <is>
          <t>B0B9X7YWBN</t>
        </is>
      </c>
      <c r="M165" s="19" t="n">
        <v>17.9</v>
      </c>
      <c r="N165" s="19" t="n">
        <v>0</v>
      </c>
      <c r="O165" s="19" t="n">
        <v>11.75</v>
      </c>
      <c r="P165" s="19">
        <f>O165/1.19</f>
        <v/>
      </c>
      <c r="Q165" s="19">
        <f>O165-P165</f>
        <v/>
      </c>
      <c r="R165" s="19">
        <f>O165*0.15</f>
        <v/>
      </c>
      <c r="S165" s="19" t="n">
        <v>4.9</v>
      </c>
      <c r="T165" s="19">
        <f>S165*0.2</f>
        <v/>
      </c>
      <c r="U165" s="19" t="n">
        <v>0.4</v>
      </c>
      <c r="V165" s="19" t="n">
        <v>2.24</v>
      </c>
      <c r="W165" s="19">
        <f>V165*0.2</f>
        <v/>
      </c>
      <c r="X165" s="16">
        <f>O165-Q165-R165-S165-U165-V165+T165+W165</f>
        <v/>
      </c>
      <c r="Y165" s="18" t="n"/>
      <c r="Z165" s="19">
        <f>O165+1.5</f>
        <v/>
      </c>
      <c r="AA165" s="19" t="n"/>
      <c r="AB165" s="19" t="n"/>
      <c r="AC165" s="18" t="n"/>
      <c r="AD165" s="18" t="n"/>
      <c r="AE165" s="13" t="inlineStr">
        <is>
          <t>NOT_UPLOADED</t>
        </is>
      </c>
    </row>
    <row r="166" ht="16" customHeight="1">
      <c r="A166" s="12" t="n">
        <v>4008600419686</v>
      </c>
      <c r="B166" s="12" t="n">
        <v>4008600419686</v>
      </c>
      <c r="C166" s="13" t="n"/>
      <c r="D166" s="14" t="n"/>
      <c r="E166" s="14" t="inlineStr">
        <is>
          <t>BEB-4008600419686</t>
        </is>
      </c>
      <c r="F166" s="12" t="n">
        <v>10175294</v>
      </c>
      <c r="G166" s="14" t="inlineStr">
        <is>
          <t>Bebolino</t>
        </is>
      </c>
      <c r="H166" s="14" t="inlineStr">
        <is>
          <t>Nuk</t>
        </is>
      </c>
      <c r="I166" s="14" t="inlineStr">
        <is>
          <t>NUK for Nature Babyschnuller | aus nachhaltigem Silikon | kiefergerechte Form | BPA-frei | 0-6 Monate | terrakottarot | 2 Stück</t>
        </is>
      </c>
      <c r="J166" s="14" t="inlineStr">
        <is>
          <t>No</t>
        </is>
      </c>
      <c r="K166" s="14" t="inlineStr">
        <is>
          <t>https://www.amazon.de/dp/B0B9X7BPT5?th=1</t>
        </is>
      </c>
      <c r="L166" s="14" t="inlineStr">
        <is>
          <t>B0B9X7BPT5</t>
        </is>
      </c>
      <c r="M166" s="15" t="n">
        <v>11.91</v>
      </c>
      <c r="N166" s="15" t="n">
        <v>0</v>
      </c>
      <c r="O166" s="15" t="n">
        <v>11.5</v>
      </c>
      <c r="P166" s="15">
        <f>O166/1.19</f>
        <v/>
      </c>
      <c r="Q166" s="15">
        <f>O166-P166</f>
        <v/>
      </c>
      <c r="R166" s="15">
        <f>O166*0.15</f>
        <v/>
      </c>
      <c r="S166" s="15" t="n">
        <v>4.9</v>
      </c>
      <c r="T166" s="15">
        <f>S166*0.2</f>
        <v/>
      </c>
      <c r="U166" s="15" t="n">
        <v>0.4</v>
      </c>
      <c r="V166" s="15" t="n">
        <v>2.24</v>
      </c>
      <c r="W166" s="15">
        <f>V166*0.2</f>
        <v/>
      </c>
      <c r="X166" s="16">
        <f>O166-Q166-R166-S166-U166-V166+T166+W166</f>
        <v/>
      </c>
      <c r="Y166" s="14" t="n"/>
      <c r="Z166" s="15">
        <f>O166+1.5</f>
        <v/>
      </c>
      <c r="AA166" s="15" t="n"/>
      <c r="AB166" s="15" t="n"/>
      <c r="AC166" s="14" t="n"/>
      <c r="AD166" s="14" t="n"/>
      <c r="AE166" s="13" t="inlineStr">
        <is>
          <t>NOT_UPLOADED</t>
        </is>
      </c>
    </row>
    <row r="167" ht="16" customHeight="1">
      <c r="A167" s="17" t="n">
        <v>4008600419884</v>
      </c>
      <c r="B167" s="17" t="n">
        <v>4008600419884</v>
      </c>
      <c r="C167" s="13" t="n"/>
      <c r="D167" s="18" t="n"/>
      <c r="E167" s="18" t="inlineStr">
        <is>
          <t>BEB-4008600419884</t>
        </is>
      </c>
      <c r="F167" s="17" t="n">
        <v>10175295</v>
      </c>
      <c r="G167" s="18" t="inlineStr">
        <is>
          <t>Bebolino</t>
        </is>
      </c>
      <c r="H167" s="18" t="inlineStr">
        <is>
          <t>Nuk</t>
        </is>
      </c>
      <c r="I167" s="18" t="inlineStr">
        <is>
          <t>NUK for Nature Babyschnuller | aus nachhaltigem Silikon | kiefergerechte Form | BPA-frei | 0-6 Monate | beige | 2 Stück</t>
        </is>
      </c>
      <c r="J167" s="18" t="inlineStr">
        <is>
          <t>No</t>
        </is>
      </c>
      <c r="K167" s="18" t="inlineStr">
        <is>
          <t>https://www.amazon.de/dp/B0B9X764BW?th=1</t>
        </is>
      </c>
      <c r="L167" s="18" t="inlineStr">
        <is>
          <t>B0B9X764BW</t>
        </is>
      </c>
      <c r="M167" s="19" t="n">
        <v>15.99</v>
      </c>
      <c r="N167" s="19" t="n">
        <v>0</v>
      </c>
      <c r="O167" s="19" t="n">
        <v>14</v>
      </c>
      <c r="P167" s="19">
        <f>O167/1.19</f>
        <v/>
      </c>
      <c r="Q167" s="19">
        <f>O167-P167</f>
        <v/>
      </c>
      <c r="R167" s="19">
        <f>O167*0.15</f>
        <v/>
      </c>
      <c r="S167" s="19" t="n">
        <v>4.91</v>
      </c>
      <c r="T167" s="19">
        <f>S167*0.2</f>
        <v/>
      </c>
      <c r="U167" s="19" t="n">
        <v>0.4</v>
      </c>
      <c r="V167" s="19" t="n">
        <v>2.24</v>
      </c>
      <c r="W167" s="19">
        <f>V167*0.2</f>
        <v/>
      </c>
      <c r="X167" s="21">
        <f>O167-Q167-R167-S167-U167-V167+T167+W167</f>
        <v/>
      </c>
      <c r="Y167" s="18" t="n"/>
      <c r="Z167" s="19">
        <f>O167+1.5</f>
        <v/>
      </c>
      <c r="AA167" s="19" t="n"/>
      <c r="AB167" s="19" t="n"/>
      <c r="AC167" s="18" t="n"/>
      <c r="AD167" s="18" t="n"/>
      <c r="AE167" s="13" t="inlineStr">
        <is>
          <t>NOT_UPLOADED</t>
        </is>
      </c>
    </row>
    <row r="168" ht="16" customHeight="1">
      <c r="A168" s="12" t="n">
        <v>4008600419662</v>
      </c>
      <c r="B168" s="12" t="n">
        <v>4008600419662</v>
      </c>
      <c r="C168" s="13" t="n"/>
      <c r="D168" s="14" t="n"/>
      <c r="E168" s="14" t="inlineStr">
        <is>
          <t>BEB-4008600419662</t>
        </is>
      </c>
      <c r="F168" s="12" t="n">
        <v>10175296</v>
      </c>
      <c r="G168" s="14" t="inlineStr">
        <is>
          <t>Bebolino</t>
        </is>
      </c>
      <c r="H168" s="14" t="inlineStr">
        <is>
          <t>Nuk</t>
        </is>
      </c>
      <c r="I168" s="14" t="inlineStr">
        <is>
          <t>NUK for Nature Babyschnuller | aus nachhaltigem Silikon | kiefergerechte Form | BPA-frei | 0-6 Monate | eukalyptusgrün | 2 Stück</t>
        </is>
      </c>
      <c r="J168" s="14" t="inlineStr">
        <is>
          <t>No</t>
        </is>
      </c>
      <c r="K168" s="14" t="inlineStr">
        <is>
          <t>https://www.amazon.de/dp/B0B9XBB33K?th=1</t>
        </is>
      </c>
      <c r="L168" s="14" t="inlineStr">
        <is>
          <t>B0B9XBB33K</t>
        </is>
      </c>
      <c r="M168" s="15" t="n">
        <v>15.99</v>
      </c>
      <c r="N168" s="15" t="n">
        <v>0</v>
      </c>
      <c r="O168" s="15" t="n">
        <v>14.7</v>
      </c>
      <c r="P168" s="15">
        <f>O168/1.19</f>
        <v/>
      </c>
      <c r="Q168" s="15">
        <f>O168-P168</f>
        <v/>
      </c>
      <c r="R168" s="15">
        <f>O168*0.15</f>
        <v/>
      </c>
      <c r="S168" s="15" t="n">
        <v>4.91</v>
      </c>
      <c r="T168" s="15">
        <f>S168*0.2</f>
        <v/>
      </c>
      <c r="U168" s="15" t="n">
        <v>0.4</v>
      </c>
      <c r="V168" s="15" t="n">
        <v>2.24</v>
      </c>
      <c r="W168" s="15">
        <f>V168*0.2</f>
        <v/>
      </c>
      <c r="X168" s="21">
        <f>O168-Q168-R168-S168-U168-V168+T168+W168</f>
        <v/>
      </c>
      <c r="Y168" s="14" t="n"/>
      <c r="Z168" s="15">
        <f>O168+1.5</f>
        <v/>
      </c>
      <c r="AA168" s="15" t="n"/>
      <c r="AB168" s="15" t="n"/>
      <c r="AC168" s="14" t="n"/>
      <c r="AD168" s="14" t="n"/>
      <c r="AE168" s="13" t="inlineStr">
        <is>
          <t>NOT_UPLOADED</t>
        </is>
      </c>
    </row>
    <row r="169" ht="16" customHeight="1">
      <c r="A169" s="17" t="n">
        <v>8710103831648</v>
      </c>
      <c r="B169" s="17" t="n">
        <v>8710103831648</v>
      </c>
      <c r="C169" s="13" t="n"/>
      <c r="D169" s="18" t="n"/>
      <c r="E169" s="18" t="inlineStr">
        <is>
          <t>AXX-8710103831648</t>
        </is>
      </c>
      <c r="F169" s="17" t="inlineStr">
        <is>
          <t>PH.One Blade QP620/7170</t>
        </is>
      </c>
      <c r="G169" s="18" t="inlineStr">
        <is>
          <t>AXXON</t>
        </is>
      </c>
      <c r="H169" s="18" t="inlineStr">
        <is>
          <t>Philips Avent</t>
        </is>
      </c>
      <c r="I169" s="18" t="inlineStr">
        <is>
          <t>Philips OneBlade Original-Ersatzklingen mit Körper-Kit, 2er-Pack, QP620/50</t>
        </is>
      </c>
      <c r="J169" s="18" t="inlineStr">
        <is>
          <t>No</t>
        </is>
      </c>
      <c r="K169" s="18" t="inlineStr">
        <is>
          <t>https://www.amazon.de/dp/B0792FNM2D?th=1</t>
        </is>
      </c>
      <c r="L169" s="18" t="inlineStr">
        <is>
          <t>B0792FNM2D</t>
        </is>
      </c>
      <c r="M169" s="19" t="n">
        <v>42.09</v>
      </c>
      <c r="N169" s="19" t="n">
        <v>0</v>
      </c>
      <c r="O169" s="19" t="n">
        <v>39.79</v>
      </c>
      <c r="P169" s="19">
        <f>O169/1.19</f>
        <v/>
      </c>
      <c r="Q169" s="19">
        <f>O169-P169</f>
        <v/>
      </c>
      <c r="R169" s="19">
        <f>O169*0.15</f>
        <v/>
      </c>
      <c r="S169" s="19" t="n">
        <v>23.22</v>
      </c>
      <c r="T169" s="19">
        <f>S169*0.2</f>
        <v/>
      </c>
      <c r="U169" s="19" t="n">
        <v>0.4</v>
      </c>
      <c r="V169" s="19" t="n">
        <v>2.15</v>
      </c>
      <c r="W169" s="19">
        <f>V169*0.2</f>
        <v/>
      </c>
      <c r="X169" s="21">
        <f>O169-Q169-R169-S169-U169-V169+T169+W169</f>
        <v/>
      </c>
      <c r="Y169" s="18" t="n"/>
      <c r="Z169" s="19">
        <f>O169+1.5</f>
        <v/>
      </c>
      <c r="AA169" s="19" t="n"/>
      <c r="AB169" s="19" t="n"/>
      <c r="AC169" s="18" t="n"/>
      <c r="AD169" s="18" t="n"/>
      <c r="AE169" s="13" t="inlineStr">
        <is>
          <t>NOT_UPLOADED</t>
        </is>
      </c>
    </row>
    <row r="170" ht="16" customHeight="1">
      <c r="A170" s="12" t="n">
        <v>194735112241</v>
      </c>
      <c r="B170" s="12" t="n">
        <v>194735112241</v>
      </c>
      <c r="C170" s="13" t="n"/>
      <c r="D170" s="14" t="n"/>
      <c r="E170" s="14" t="inlineStr">
        <is>
          <t>TO BE UPLOADED</t>
        </is>
      </c>
      <c r="F170" s="12" t="inlineStr">
        <is>
          <t>HLC25</t>
        </is>
      </c>
      <c r="G170" s="14" t="inlineStr">
        <is>
          <t>Comsed</t>
        </is>
      </c>
      <c r="H170" s="14" t="inlineStr">
        <is>
          <t>Barbie</t>
        </is>
      </c>
      <c r="I170" s="14" t="inlineStr">
        <is>
          <t>Barbie Dreamtopia Zauberlicht Ballerina Puppe, mit rosa Tutu und blonden Haaren, 5 Licht- und Soundeffekte, Bewegliche Barbie, ab 3 Jahren, HLC25</t>
        </is>
      </c>
      <c r="J170" s="14" t="inlineStr">
        <is>
          <t>No</t>
        </is>
      </c>
      <c r="K170" s="14" t="inlineStr">
        <is>
          <t>https://www.amazon.de/dp/B0B5HWJQMM?th=1</t>
        </is>
      </c>
      <c r="L170" s="14" t="inlineStr">
        <is>
          <t>B0B5HWJQMM</t>
        </is>
      </c>
      <c r="M170" s="15" t="n"/>
      <c r="N170" s="15" t="n"/>
      <c r="O170" s="15" t="n"/>
      <c r="P170" s="15" t="n"/>
      <c r="Q170" s="15" t="n"/>
      <c r="R170" s="15" t="n"/>
      <c r="S170" s="15" t="n">
        <v>20.82</v>
      </c>
      <c r="T170" s="15">
        <f>S170*0.2</f>
        <v/>
      </c>
      <c r="U170" s="15" t="n">
        <v>0.4</v>
      </c>
      <c r="V170" s="15" t="n">
        <v>4.04</v>
      </c>
      <c r="W170" s="15">
        <f>V170*0.2</f>
        <v/>
      </c>
      <c r="X170" s="22" t="n"/>
      <c r="Y170" s="14" t="n"/>
      <c r="Z170" s="15" t="n"/>
      <c r="AA170" s="15" t="n"/>
      <c r="AB170" s="15" t="n"/>
      <c r="AC170" s="14" t="n"/>
      <c r="AD170" s="14" t="n"/>
      <c r="AE170" s="13" t="inlineStr">
        <is>
          <t>NOT_UPLOADED</t>
        </is>
      </c>
    </row>
    <row r="171" ht="16" customHeight="1">
      <c r="A171" s="17" t="n">
        <v>194735183777</v>
      </c>
      <c r="B171" s="17" t="n">
        <v>194735183777</v>
      </c>
      <c r="C171" s="13" t="n"/>
      <c r="D171" s="18" t="n"/>
      <c r="E171" s="18" t="inlineStr">
        <is>
          <t>TO BE UPLOADED</t>
        </is>
      </c>
      <c r="F171" s="17" t="inlineStr">
        <is>
          <t>HRR16</t>
        </is>
      </c>
      <c r="G171" s="18" t="inlineStr">
        <is>
          <t>Comsed</t>
        </is>
      </c>
      <c r="H171" s="18" t="inlineStr">
        <is>
          <t>Barbie</t>
        </is>
      </c>
      <c r="I171" s="18" t="inlineStr">
        <is>
          <t>Barbie Ein verborgener Zauber - Puppe mit Einhorn, pinkfarbenes Kleid mit Saphirblauen Details, Einhorn-Stirnband, abnehmbare Saphirflügel und Einhorn-Schwanz, für Kinder ab 3 Jahren, HRR16</t>
        </is>
      </c>
      <c r="J171" s="18" t="inlineStr">
        <is>
          <t>No</t>
        </is>
      </c>
      <c r="K171" s="18" t="inlineStr">
        <is>
          <t>https://www.amazon.de/dp/B0CB6KW16J</t>
        </is>
      </c>
      <c r="L171" s="18" t="inlineStr">
        <is>
          <t>B0CB6KW16J</t>
        </is>
      </c>
      <c r="M171" s="19" t="n"/>
      <c r="N171" s="19" t="n"/>
      <c r="O171" s="19" t="n"/>
      <c r="P171" s="19" t="n"/>
      <c r="Q171" s="19" t="n"/>
      <c r="R171" s="19" t="n"/>
      <c r="S171" s="19" t="n">
        <v>20.82</v>
      </c>
      <c r="T171" s="19">
        <f>S171*0.2</f>
        <v/>
      </c>
      <c r="U171" s="19" t="n">
        <v>0.4</v>
      </c>
      <c r="V171" s="19" t="n">
        <v>4.04</v>
      </c>
      <c r="W171" s="19">
        <f>V171*0.2</f>
        <v/>
      </c>
      <c r="X171" s="22" t="n"/>
      <c r="Y171" s="18" t="n"/>
      <c r="Z171" s="19" t="n"/>
      <c r="AA171" s="19" t="n"/>
      <c r="AB171" s="19" t="n"/>
      <c r="AC171" s="18" t="n"/>
      <c r="AD171" s="18" t="n"/>
      <c r="AE171" s="13" t="inlineStr">
        <is>
          <t>NOT_UPLOADED</t>
        </is>
      </c>
    </row>
    <row r="172" ht="16" customHeight="1">
      <c r="A172" s="12" t="n">
        <v>194735183630</v>
      </c>
      <c r="B172" s="12" t="n">
        <v>194735183630</v>
      </c>
      <c r="C172" s="13" t="n"/>
      <c r="D172" s="14" t="n"/>
      <c r="E172" s="14" t="inlineStr">
        <is>
          <t>TO BE UPLOADED</t>
        </is>
      </c>
      <c r="F172" s="12" t="inlineStr">
        <is>
          <t>HRP97</t>
        </is>
      </c>
      <c r="G172" s="14" t="inlineStr">
        <is>
          <t>Comsed</t>
        </is>
      </c>
      <c r="H172" s="14" t="inlineStr">
        <is>
          <t>Barbie</t>
        </is>
      </c>
      <c r="I172" s="14" t="inlineStr">
        <is>
          <t>BARBIE Meerjungfrau-Puppe - Inspiriert von der Fernsehserie "Barbie Ein verborgener Zauber", mit Farbwechseleffekt und Zubehör, 19 cm lange pinke Haare zum Stylen, für Kinder ab 3 Jahren, HRP97</t>
        </is>
      </c>
      <c r="J172" s="14" t="inlineStr">
        <is>
          <t>No</t>
        </is>
      </c>
      <c r="K172" s="14" t="inlineStr">
        <is>
          <t>https://www.amazon.de/dp/B0CKJ5QFH6?th=1</t>
        </is>
      </c>
      <c r="L172" s="14" t="inlineStr">
        <is>
          <t>B0CKJ5QFH6</t>
        </is>
      </c>
      <c r="M172" s="15" t="n"/>
      <c r="N172" s="15" t="n"/>
      <c r="O172" s="15" t="n"/>
      <c r="P172" s="15" t="n"/>
      <c r="Q172" s="15" t="n"/>
      <c r="R172" s="15" t="n"/>
      <c r="S172" s="15" t="n">
        <v>17.55</v>
      </c>
      <c r="T172" s="15">
        <f>S172*0.2</f>
        <v/>
      </c>
      <c r="U172" s="15" t="n">
        <v>0.4</v>
      </c>
      <c r="V172" s="15" t="n">
        <v>4.04</v>
      </c>
      <c r="W172" s="15">
        <f>V172*0.2</f>
        <v/>
      </c>
      <c r="X172" s="22" t="n"/>
      <c r="Y172" s="14" t="n"/>
      <c r="Z172" s="15" t="n"/>
      <c r="AA172" s="15" t="n"/>
      <c r="AB172" s="15" t="n"/>
      <c r="AC172" s="14" t="n"/>
      <c r="AD172" s="14" t="n"/>
      <c r="AE172" s="13" t="inlineStr">
        <is>
          <t>NOT_UPLOADED</t>
        </is>
      </c>
    </row>
    <row r="173" ht="16" customHeight="1">
      <c r="A173" s="17" t="n">
        <v>8710103989721</v>
      </c>
      <c r="B173" s="17" t="n">
        <v>8710103989721</v>
      </c>
      <c r="C173" s="13" t="n"/>
      <c r="D173" s="18" t="n"/>
      <c r="E173" s="18" t="inlineStr">
        <is>
          <t>AV-8710103989721</t>
        </is>
      </c>
      <c r="F173" s="17" t="inlineStr">
        <is>
          <t>SCY903/67</t>
        </is>
      </c>
      <c r="G173" s="18" t="inlineStr">
        <is>
          <t>IVENTAS</t>
        </is>
      </c>
      <c r="H173" s="18" t="inlineStr">
        <is>
          <t>Philips Avent</t>
        </is>
      </c>
      <c r="I173" s="18" t="inlineStr">
        <is>
          <t>Philips Avent Babyflasche Natural Response – Babyflasche, 260 ml, BPA-frei, für Babys ab 1 Monat, Koalamotiv (Modell SCY903/67)</t>
        </is>
      </c>
      <c r="J173" s="18" t="inlineStr">
        <is>
          <t>No</t>
        </is>
      </c>
      <c r="K173" s="18" t="inlineStr">
        <is>
          <t>https://www.amazon.de/Philips-Avent-Babyflasche-Natural-Response/dp/B0BWFLSRQM/ref=sr_1_1?__mk_de_DE=%C3%85M%C3%85%C5%BD%C3%95%C3%91&amp;crid=3E77UVX0M143R&amp;dib=eyJ2IjoiMSJ9.nzie7TraeHGZ082AfZzy9Qj7QHWUAiBWHjP45ZmaQ_lXel5VCI2nn5nWduTHBNJo.kgVL8xgfn7Bg8Gh8D6jgMu61fN1qHLuikV3OgfTMb0g&amp;dib_tag=se&amp;keywords=SCY903%2F67&amp;qid=1749120501&amp;sprefix=scy903%2F67%2Caps%2C154&amp;sr=8-1</t>
        </is>
      </c>
      <c r="L173" s="18" t="inlineStr">
        <is>
          <t>B0BWFLSRQM</t>
        </is>
      </c>
      <c r="M173" s="19" t="n">
        <v>18.25</v>
      </c>
      <c r="N173" s="19" t="n">
        <v>9.94</v>
      </c>
      <c r="O173" s="19" t="n">
        <v>18.25</v>
      </c>
      <c r="P173" s="19">
        <f>O173/1.19</f>
        <v/>
      </c>
      <c r="Q173" s="19">
        <f>O173-P173</f>
        <v/>
      </c>
      <c r="R173" s="19">
        <f>O173*0.15</f>
        <v/>
      </c>
      <c r="S173" s="19" t="n">
        <v>8.470000000000001</v>
      </c>
      <c r="T173" s="19">
        <f>S173*0.2</f>
        <v/>
      </c>
      <c r="U173" s="19" t="n">
        <v>0.4</v>
      </c>
      <c r="V173" s="19" t="n">
        <v>2.75</v>
      </c>
      <c r="W173" s="19">
        <f>V173*0.2</f>
        <v/>
      </c>
      <c r="X173" s="21">
        <f>O173-Q173-R173-S173-U173-V173+T173+W173</f>
        <v/>
      </c>
      <c r="Y173" s="18" t="n"/>
      <c r="Z173" s="19">
        <f>O173+1.5</f>
        <v/>
      </c>
      <c r="AA173" s="19" t="n"/>
      <c r="AB173" s="19" t="n"/>
      <c r="AC173" s="18" t="n"/>
      <c r="AD173" s="18" t="n"/>
      <c r="AE173" s="13" t="inlineStr">
        <is>
          <t>NOT_UPLOADED</t>
        </is>
      </c>
    </row>
    <row r="174" ht="16" customHeight="1">
      <c r="A174" s="12" t="n">
        <v>5021044013332</v>
      </c>
      <c r="B174" s="12" t="n">
        <v>5021044013332</v>
      </c>
      <c r="C174" s="20" t="inlineStr">
        <is>
          <t>DM 1011323</t>
        </is>
      </c>
      <c r="D174" s="14" t="n"/>
      <c r="E174" s="14" t="inlineStr">
        <is>
          <t>FOR-5021044013332</t>
        </is>
      </c>
      <c r="F174" s="12" t="inlineStr">
        <is>
          <t>M7000</t>
        </is>
      </c>
      <c r="G174" s="14" t="inlineStr">
        <is>
          <t>Fortuna</t>
        </is>
      </c>
      <c r="H174" s="14" t="inlineStr">
        <is>
          <t>Maybelline</t>
        </is>
      </c>
      <c r="I174" s="14" t="inlineStr">
        <is>
          <t>MAYBELLINE Mascara Volume Express Ultra Fast Black, 10 ml</t>
        </is>
      </c>
      <c r="J174" s="14" t="inlineStr">
        <is>
          <t>No</t>
        </is>
      </c>
      <c r="K174" s="14" t="inlineStr">
        <is>
          <t>https://www.amazon.de/Maybelline-Mascara-Express-Ultra-Black/dp/B007HMU78Y/ref=sr_1_2?__mk_de_DE=%C3%85M%C3%85%C5%BD%C3%95%C3%91&amp;crid=3QFV1ZRSFXH2N&amp;dib=eyJ2IjoiMSJ9.ZJuaBvgr1JyBp45fhX73TDRmebVddGw3-VE_lKodGZE.XozZCzIBVM6gypVAm4DI8mhCexmEiY170e9LtJ4HnCU&amp;dib_tag=se&amp;keywords=5021044013332&amp;qid=1749657551&amp;sprefix=5021044013332%2Caps%2C171&amp;sr=8-2&amp;th=1</t>
        </is>
      </c>
      <c r="L174" s="14" t="inlineStr">
        <is>
          <t>B007HMU78Y</t>
        </is>
      </c>
      <c r="M174" s="15" t="n">
        <v>9.34</v>
      </c>
      <c r="N174" s="15" t="n"/>
      <c r="O174" s="15" t="n">
        <v>9.25</v>
      </c>
      <c r="P174" s="15">
        <f>O174/1.19</f>
        <v/>
      </c>
      <c r="Q174" s="15">
        <f>O174-P174</f>
        <v/>
      </c>
      <c r="R174" s="15">
        <f>O174*0.15</f>
        <v/>
      </c>
      <c r="S174" s="15" t="n">
        <v>3.68</v>
      </c>
      <c r="T174" s="15">
        <f>S174*0.2</f>
        <v/>
      </c>
      <c r="U174" s="15" t="n">
        <v>0.4</v>
      </c>
      <c r="V174" s="15" t="n">
        <v>2</v>
      </c>
      <c r="W174" s="15">
        <f>V174*0.2</f>
        <v/>
      </c>
      <c r="X174" s="16">
        <f>O174-Q174-R174-S174-U174-V174+T174+W174</f>
        <v/>
      </c>
      <c r="Y174" s="14" t="n"/>
      <c r="Z174" s="15">
        <f>O174+1.5</f>
        <v/>
      </c>
      <c r="AA174" s="15" t="n"/>
      <c r="AB174" s="15" t="n"/>
      <c r="AC174" s="14" t="n"/>
      <c r="AD174" s="14" t="n"/>
      <c r="AE174" s="13" t="inlineStr">
        <is>
          <t>NOT_UPLOADED</t>
        </is>
      </c>
    </row>
    <row r="175" ht="16" customHeight="1">
      <c r="A175" s="17" t="n">
        <v>5021044013332</v>
      </c>
      <c r="B175" s="17" t="n">
        <v>5021044013332</v>
      </c>
      <c r="C175" s="20" t="inlineStr">
        <is>
          <t>PACK X 2  DM</t>
        </is>
      </c>
      <c r="D175" s="18" t="n"/>
      <c r="E175" s="18" t="inlineStr">
        <is>
          <t>FOR-5021044013332</t>
        </is>
      </c>
      <c r="F175" s="17" t="inlineStr">
        <is>
          <t>M7000</t>
        </is>
      </c>
      <c r="G175" s="18" t="inlineStr">
        <is>
          <t>Fortuna</t>
        </is>
      </c>
      <c r="H175" s="18" t="inlineStr">
        <is>
          <t>Maybelline</t>
        </is>
      </c>
      <c r="I175" s="18" t="inlineStr">
        <is>
          <t>2 x Maybelline New York Volum' Express The Classic Mascara 10ml Black</t>
        </is>
      </c>
      <c r="J175" s="18" t="inlineStr">
        <is>
          <t>No</t>
        </is>
      </c>
      <c r="K175" s="18" t="inlineStr">
        <is>
          <t>https://www.amazon.de/Maybelline-Volum-Express-Classic-Mascara/dp/B09HKZZXXT/ref=sr_1_1?__mk_de_DE=%C3%85M%C3%85%C5%BD%C3%95%C3%91&amp;crid=3M49GOITJGKYH&amp;dib=eyJ2IjoiMSJ9.bGU0ZX-8k_gPXH9R5l1ecA.AAOJ4tP5nM_GAF4IW7px35NPDg6b7ZB49aCnoYB3YKc&amp;dib_tag=se&amp;keywords=B09HKZZXXT&amp;qid=1754213286&amp;sprefix=b09hkzzxxt%2Caps%2C140&amp;sr=8-1</t>
        </is>
      </c>
      <c r="L175" s="18" t="inlineStr">
        <is>
          <t>B09HKZZXXT</t>
        </is>
      </c>
      <c r="M175" s="19" t="n"/>
      <c r="N175" s="19" t="n"/>
      <c r="O175" s="19" t="n">
        <v>15.8</v>
      </c>
      <c r="P175" s="19">
        <f>O175/1.19</f>
        <v/>
      </c>
      <c r="Q175" s="19">
        <f>O175-P175</f>
        <v/>
      </c>
      <c r="R175" s="19">
        <f>O175*0.15</f>
        <v/>
      </c>
      <c r="S175" s="19" t="n">
        <v>7.36</v>
      </c>
      <c r="T175" s="19">
        <f>S175*0.2</f>
        <v/>
      </c>
      <c r="U175" s="19" t="n">
        <v>0.4</v>
      </c>
      <c r="V175" s="19" t="n">
        <v>2.4</v>
      </c>
      <c r="W175" s="19">
        <f>V175*0.2</f>
        <v/>
      </c>
      <c r="X175" s="21">
        <f>O175-Q175-R175-S175-U175-V175+T175+W175</f>
        <v/>
      </c>
      <c r="Y175" s="18" t="n"/>
      <c r="Z175" s="19">
        <f>O175+1.5</f>
        <v/>
      </c>
      <c r="AA175" s="19" t="n"/>
      <c r="AB175" s="19" t="n"/>
      <c r="AC175" s="18" t="n"/>
      <c r="AD175" s="18" t="n"/>
      <c r="AE175" s="13" t="inlineStr">
        <is>
          <t>NOT_UPLOADED</t>
        </is>
      </c>
    </row>
    <row r="176" ht="16" customHeight="1">
      <c r="A176" s="12" t="n">
        <v>5021044013455</v>
      </c>
      <c r="B176" s="12" t="n">
        <v>5021044013455</v>
      </c>
      <c r="C176" s="13" t="n"/>
      <c r="D176" s="14" t="n"/>
      <c r="E176" s="14" t="inlineStr">
        <is>
          <t>FOR-5021044013455</t>
        </is>
      </c>
      <c r="F176" s="12" t="inlineStr">
        <is>
          <t>M7001</t>
        </is>
      </c>
      <c r="G176" s="14" t="inlineStr">
        <is>
          <t>Fortuna</t>
        </is>
      </c>
      <c r="H176" s="14" t="inlineStr">
        <is>
          <t>Maybelline</t>
        </is>
      </c>
      <c r="I176" s="14" t="inlineStr">
        <is>
          <t>Maybelline Classic Volum' Express Waterproof Mascara Black - 8.5ml</t>
        </is>
      </c>
      <c r="J176" s="14" t="inlineStr">
        <is>
          <t>No</t>
        </is>
      </c>
      <c r="K176" s="14" t="inlineStr">
        <is>
          <t>https://www.amazon.de/Maybelline-EXPRESS-CLASSIC-waterproof-mascara/dp/B00BW4X9LK/ref=sr_1_1?__mk_de_DE=%C3%85M%C3%85%C5%BD%C3%95%C3%91&amp;crid=2U3F18Y7JY77K&amp;dib=eyJ2IjoiMSJ9.r80gmST_AqyzJXf6a4aUVQ.VXqsporWDPLsFgzMRVUnxhDWrYeVKgzDHXP1W7L6RAI&amp;dib_tag=se&amp;keywords=5021044013455&amp;qid=1749657968&amp;sprefix=5021044013455%2Caps%2C144&amp;sr=8-1&amp;th=1</t>
        </is>
      </c>
      <c r="L176" s="14" t="inlineStr">
        <is>
          <t>B00BW4X9LK</t>
        </is>
      </c>
      <c r="M176" s="15" t="n">
        <v>9.34</v>
      </c>
      <c r="N176" s="15" t="n"/>
      <c r="O176" s="15" t="n">
        <v>9.699999999999999</v>
      </c>
      <c r="P176" s="15">
        <f>O176/1.19</f>
        <v/>
      </c>
      <c r="Q176" s="15">
        <f>O176-P176</f>
        <v/>
      </c>
      <c r="R176" s="15">
        <f>O176*0.15</f>
        <v/>
      </c>
      <c r="S176" s="15" t="n">
        <v>3.79</v>
      </c>
      <c r="T176" s="15">
        <f>S176*0.2</f>
        <v/>
      </c>
      <c r="U176" s="15" t="n">
        <v>0.4</v>
      </c>
      <c r="V176" s="15" t="n">
        <v>2</v>
      </c>
      <c r="W176" s="15">
        <f>V176*0.2</f>
        <v/>
      </c>
      <c r="X176" s="16">
        <f>O176-Q176-R176-S176-U176-V176+T176+W176</f>
        <v/>
      </c>
      <c r="Y176" s="14" t="n"/>
      <c r="Z176" s="15">
        <f>O176+1.5</f>
        <v/>
      </c>
      <c r="AA176" s="15" t="n"/>
      <c r="AB176" s="15" t="n"/>
      <c r="AC176" s="14" t="n"/>
      <c r="AD176" s="14" t="n"/>
      <c r="AE176" s="13" t="inlineStr">
        <is>
          <t>NOT_UPLOADED</t>
        </is>
      </c>
    </row>
    <row r="177" ht="16" customHeight="1">
      <c r="A177" s="17" t="n">
        <v>4084200649104</v>
      </c>
      <c r="B177" s="17" t="n">
        <v>5021044013455</v>
      </c>
      <c r="C177" s="13" t="n"/>
      <c r="D177" s="18" t="n"/>
      <c r="E177" s="18" t="inlineStr">
        <is>
          <t>FOR-4084200649104</t>
        </is>
      </c>
      <c r="F177" s="17" t="inlineStr">
        <is>
          <t>M7001</t>
        </is>
      </c>
      <c r="G177" s="18" t="inlineStr">
        <is>
          <t>Fortuna</t>
        </is>
      </c>
      <c r="H177" s="18" t="inlineStr">
        <is>
          <t>Maybelline</t>
        </is>
      </c>
      <c r="I177" s="18" t="inlineStr">
        <is>
          <t>Maybelline Jade Volum' Express Waterproof Mascara, 91, Schwarz, 8,5 ml</t>
        </is>
      </c>
      <c r="J177" s="18" t="inlineStr">
        <is>
          <t>No</t>
        </is>
      </c>
      <c r="K177" s="18" t="inlineStr">
        <is>
          <t>https://www.amazon.de/Maybelline-Express-Classic-Mascara-schwarz/dp/B0013BE902/ref=sr_1_1?__mk_de_DE=%C3%85M%C3%85%C5%BD%C3%95%C3%91&amp;crid=3IAOYN4NV411G&amp;dib=eyJ2IjoiMSJ9.Awts4B15HMdcvwofr7d3yA.EYOiV6h0-PFJ0HXAPjPimLYy0RvVMf1TA56cSCxpw44&amp;dib_tag=se&amp;keywords=B0013BE902&amp;qid=1752920453&amp;sprefix=b0013be902%2Caps%2C148&amp;sr=8-1&amp;th=1</t>
        </is>
      </c>
      <c r="L177" s="18" t="inlineStr">
        <is>
          <t>B0013BE902</t>
        </is>
      </c>
      <c r="M177" s="19" t="n"/>
      <c r="N177" s="19" t="n"/>
      <c r="O177" s="19" t="n">
        <v>9.5</v>
      </c>
      <c r="P177" s="19">
        <f>O177/1.19</f>
        <v/>
      </c>
      <c r="Q177" s="19">
        <f>O177-P177</f>
        <v/>
      </c>
      <c r="R177" s="19">
        <f>O177*0.15</f>
        <v/>
      </c>
      <c r="S177" s="19" t="n">
        <v>3.79</v>
      </c>
      <c r="T177" s="19">
        <f>S177*0.2</f>
        <v/>
      </c>
      <c r="U177" s="19" t="n">
        <v>0.4</v>
      </c>
      <c r="V177" s="19" t="n">
        <v>2</v>
      </c>
      <c r="W177" s="19">
        <f>V177*0.2</f>
        <v/>
      </c>
      <c r="X177" s="16">
        <f>O177-Q177-R177-S177-U177-V177+T177+W177</f>
        <v/>
      </c>
      <c r="Y177" s="18" t="n"/>
      <c r="Z177" s="19">
        <f>O177+1.5</f>
        <v/>
      </c>
      <c r="AA177" s="19" t="n"/>
      <c r="AB177" s="19" t="n"/>
      <c r="AC177" s="18" t="n"/>
      <c r="AD177" s="18" t="n"/>
      <c r="AE177" s="13" t="inlineStr">
        <is>
          <t>NOT_UPLOADED</t>
        </is>
      </c>
    </row>
    <row r="178" ht="16" customHeight="1">
      <c r="A178" s="12" t="n">
        <v>30144552</v>
      </c>
      <c r="B178" s="12" t="n">
        <v>30144552</v>
      </c>
      <c r="C178" s="13" t="n"/>
      <c r="D178" s="14" t="n"/>
      <c r="E178" s="14" t="inlineStr">
        <is>
          <t>FOR-0000030144552</t>
        </is>
      </c>
      <c r="F178" s="12" t="inlineStr">
        <is>
          <t>M7003</t>
        </is>
      </c>
      <c r="G178" s="14" t="inlineStr">
        <is>
          <t>Fortuna</t>
        </is>
      </c>
      <c r="H178" s="14" t="inlineStr">
        <is>
          <t>Maybelline</t>
        </is>
      </c>
      <c r="I178" s="14" t="inlineStr">
        <is>
          <t>Maybelline New York Burgundy Wimperntusche für extrem lange Wimpern, Lash Sensational Sky High Mascara, Burgundy Haze, 7,2 ml</t>
        </is>
      </c>
      <c r="J178" s="14" t="inlineStr">
        <is>
          <t>No</t>
        </is>
      </c>
      <c r="K178" s="14" t="inlineStr">
        <is>
          <t>https://www.amazon.de/Maybelline-Burgundy-Wimperntusche-Wimpern-Sensational/dp/B0CJ5FPMN3/ref=sr_1_1?__mk_de_DE=%C3%85M%C3%85%C5%BD%C3%95%C3%91&amp;crid=UHWGKVNO5RW1&amp;dib=eyJ2IjoiMSJ9.Csjqca64LBQ9QEzULa-H1Eisebz6FlCLi2VV1lz1q_oZI-D03B8FZGhZTe9P_SLuqScpxSVYjNQj-LQc-5hTo8urnOuMguC6JE2AQEl2MlFPDlf34QbWctW1qusFY69xyeEN-w9pbK7b3KBGS6xn901erpJkND4tm1gkmvBMJplcWfJ1gmbva-JYJ73SOgMzKC-GIHJQ40hV3yHOzdrZKtDa4FIZMS8ftxOhwIMMpxX9Ef_PJVrumFtXcI87NcFcY1uouCD6v5vDFnpCD9MsFpCzOiZVy2b500_qP_JgJiM.NeVABEQwXpyoJZMYO2LYo68Gwi5yqQ_qbH2rjWLKfYs&amp;dib_tag=se&amp;keywords=LASH%2BSENS.SKY%2BHIGH%2BBURGUNDY%2Bmaybelline&amp;qid=1749658177&amp;sprefix=lash%2Bsens.sky%2Bhigh%2Bburgundy%2Bmaybelline%2Caps%2C73&amp;sr=8-1&amp;th=1</t>
        </is>
      </c>
      <c r="L178" s="14" t="inlineStr">
        <is>
          <t>B0CJ5FPMN3</t>
        </is>
      </c>
      <c r="M178" s="15" t="n">
        <v>16.44</v>
      </c>
      <c r="N178" s="15" t="n"/>
      <c r="O178" s="15" t="n">
        <v>14.5</v>
      </c>
      <c r="P178" s="15">
        <f>O178/1.19</f>
        <v/>
      </c>
      <c r="Q178" s="15">
        <f>O178-P178</f>
        <v/>
      </c>
      <c r="R178" s="15">
        <f>O178*0.15</f>
        <v/>
      </c>
      <c r="S178" s="15" t="n">
        <v>7.41</v>
      </c>
      <c r="T178" s="15">
        <f>S178*0.2</f>
        <v/>
      </c>
      <c r="U178" s="15" t="n">
        <v>0.400000000000001</v>
      </c>
      <c r="V178" s="15" t="n">
        <v>2</v>
      </c>
      <c r="W178" s="15">
        <f>V178*0.2</f>
        <v/>
      </c>
      <c r="X178" s="21">
        <f>O178-Q178-R178-S178-U178-V178+T178+W178</f>
        <v/>
      </c>
      <c r="Y178" s="14" t="n"/>
      <c r="Z178" s="15">
        <f>O178+1.5</f>
        <v/>
      </c>
      <c r="AA178" s="15" t="n"/>
      <c r="AB178" s="15" t="n"/>
      <c r="AC178" s="14" t="n"/>
      <c r="AD178" s="14" t="n"/>
      <c r="AE178" s="13" t="inlineStr">
        <is>
          <t>NOT_UPLOADED</t>
        </is>
      </c>
    </row>
    <row r="179" ht="16" customHeight="1">
      <c r="A179" s="17" t="n">
        <v>3600531691691</v>
      </c>
      <c r="B179" s="17" t="n">
        <v>30144552</v>
      </c>
      <c r="C179" s="20" t="inlineStr">
        <is>
          <t>PACK X 2</t>
        </is>
      </c>
      <c r="D179" s="18" t="n"/>
      <c r="E179" s="18" t="inlineStr">
        <is>
          <t>FOR-3600531691691</t>
        </is>
      </c>
      <c r="F179" s="17" t="inlineStr">
        <is>
          <t>M7003</t>
        </is>
      </c>
      <c r="G179" s="18" t="inlineStr">
        <is>
          <t>Fortuna</t>
        </is>
      </c>
      <c r="H179" s="18" t="inlineStr">
        <is>
          <t>Maybelline</t>
        </is>
      </c>
      <c r="I179" s="18" t="inlineStr">
        <is>
          <t>Maybelline New York Sky High Lash Sensational Volumengebende und verlängerende Farbe Burgundy Haze mit flexibler Bürste für lange definierte Wimpern - 2er Set</t>
        </is>
      </c>
      <c r="J179" s="18" t="inlineStr">
        <is>
          <t>No</t>
        </is>
      </c>
      <c r="K179" s="18" t="inlineStr">
        <is>
          <t>https://www.amazon.de/Maybelline-Sensational-Volumengebende-verl%C3%A4ngerende-definierte/dp/B0DLBJJK5P/ref=sr_1_1?__mk_de_DE=%C3%85M%C3%85%C5%BD%C3%95%C3%91&amp;crid=1D0NALFXK1IGI&amp;dib=eyJ2IjoiMSJ9.XGrtqqh71UR1xrodqyGXwA.DQ-R_2ceoDd-jh3ZMF2nzJy5ycwuyHbIg7YlIHiG35E&amp;dib_tag=se&amp;keywords=B0DLBJJK5P&amp;qid=1754215305&amp;rdc=1&amp;sprefix=b0dlbjjk5p%2Caps%2C135&amp;sr=8-1</t>
        </is>
      </c>
      <c r="L179" s="18" t="inlineStr">
        <is>
          <t>B0DLBJJK5P</t>
        </is>
      </c>
      <c r="M179" s="19" t="n"/>
      <c r="N179" s="19" t="n"/>
      <c r="O179" s="19" t="n">
        <v>25.9</v>
      </c>
      <c r="P179" s="19">
        <f>O179/1.19</f>
        <v/>
      </c>
      <c r="Q179" s="19">
        <f>O179-P179</f>
        <v/>
      </c>
      <c r="R179" s="19">
        <f>O179*0.15</f>
        <v/>
      </c>
      <c r="S179" s="19" t="n">
        <v>14.82</v>
      </c>
      <c r="T179" s="19">
        <f>S179*0.2</f>
        <v/>
      </c>
      <c r="U179" s="19" t="n">
        <v>0.400000000000001</v>
      </c>
      <c r="V179" s="19" t="n">
        <v>2.2</v>
      </c>
      <c r="W179" s="19">
        <f>V179*0.2</f>
        <v/>
      </c>
      <c r="X179" s="21">
        <f>O179-Q179-R179-S179-U179-V179+T179+W179</f>
        <v/>
      </c>
      <c r="Y179" s="18" t="n"/>
      <c r="Z179" s="19">
        <f>O179+1.5</f>
        <v/>
      </c>
      <c r="AA179" s="19" t="n"/>
      <c r="AB179" s="19" t="n"/>
      <c r="AC179" s="18" t="n"/>
      <c r="AD179" s="18" t="n"/>
      <c r="AE179" s="13" t="inlineStr">
        <is>
          <t>NOT_UPLOADED</t>
        </is>
      </c>
    </row>
    <row r="180" ht="16" customHeight="1">
      <c r="A180" s="12" t="n">
        <v>30189195</v>
      </c>
      <c r="B180" s="12" t="n">
        <v>30189195</v>
      </c>
      <c r="C180" s="13" t="n"/>
      <c r="D180" s="14" t="n"/>
      <c r="E180" s="14" t="inlineStr">
        <is>
          <t>FOR- 000030189195</t>
        </is>
      </c>
      <c r="F180" s="12" t="inlineStr">
        <is>
          <t>M7006</t>
        </is>
      </c>
      <c r="G180" s="14" t="inlineStr">
        <is>
          <t>Fortuna</t>
        </is>
      </c>
      <c r="H180" s="14" t="inlineStr">
        <is>
          <t>Maybelline</t>
        </is>
      </c>
      <c r="I180" s="14" t="inlineStr">
        <is>
          <t>Maybelline New York Lash Sensational Space Diamond, silber glitzernde Topcoat für ein schimmerndes Augen-Make-Up, Extreme Länge &amp; volles Volumen, Intensiver Look, Sky High, 8 ml</t>
        </is>
      </c>
      <c r="J180" s="14" t="inlineStr">
        <is>
          <t>No</t>
        </is>
      </c>
      <c r="K180" s="14" t="inlineStr">
        <is>
          <t>https://www.amazon.de/Maybelline-Sensational-glitzernde-schimmerndes-Augen-Make-Up/dp/B0DHCYMVQJ/ref=sr_1_5?__mk_de_DE=%C3%85M%C3%85%C5%BD%C3%95%C3%91&amp;crid=2KFXZZYJE9DPS&amp;dib=eyJ2IjoiMSJ9.Fo0bhTLJeAwLKmUERotmXA.t01ZaIkL21aDaTJsdodb3ZN0E3VlLYpzUapZ8BazHUc&amp;dib_tag=se&amp;keywords=B0DHCYMVQJ&amp;qid=1754232083&amp;sprefix=b0dhcymvqj%2Caps%2C121&amp;sr=8-5&amp;th=1</t>
        </is>
      </c>
      <c r="L180" s="14" t="inlineStr">
        <is>
          <t>B0DHCYMVQJ</t>
        </is>
      </c>
      <c r="M180" s="15" t="n">
        <v>14.5</v>
      </c>
      <c r="N180" s="15" t="n"/>
      <c r="O180" s="15" t="n">
        <v>15.3</v>
      </c>
      <c r="P180" s="15">
        <f>O180/1.19</f>
        <v/>
      </c>
      <c r="Q180" s="15">
        <f>O180-P180</f>
        <v/>
      </c>
      <c r="R180" s="15">
        <f>O180*0.15</f>
        <v/>
      </c>
      <c r="S180" s="15" t="n">
        <v>7.41</v>
      </c>
      <c r="T180" s="15">
        <f>S180*0.2</f>
        <v/>
      </c>
      <c r="U180" s="15" t="n">
        <v>0.400000000000001</v>
      </c>
      <c r="V180" s="15" t="n">
        <v>2.2</v>
      </c>
      <c r="W180" s="15">
        <f>V180*0.2</f>
        <v/>
      </c>
      <c r="X180" s="21">
        <f>O180-Q180-R180-S180-U180-V180+T180+W180</f>
        <v/>
      </c>
      <c r="Y180" s="14" t="n"/>
      <c r="Z180" s="15">
        <f>O180+1.5</f>
        <v/>
      </c>
      <c r="AA180" s="15" t="n"/>
      <c r="AB180" s="15" t="n"/>
      <c r="AC180" s="14" t="n"/>
      <c r="AD180" s="14" t="n"/>
      <c r="AE180" s="13" t="inlineStr">
        <is>
          <t>NOT_UPLOADED</t>
        </is>
      </c>
    </row>
    <row r="181" ht="16" customHeight="1">
      <c r="A181" s="17" t="n">
        <v>3600551024295</v>
      </c>
      <c r="B181" s="17" t="n">
        <v>30189195</v>
      </c>
      <c r="C181" s="13" t="n"/>
      <c r="D181" s="18" t="n"/>
      <c r="E181" s="18" t="inlineStr">
        <is>
          <t>FOR-3600551024295</t>
        </is>
      </c>
      <c r="F181" s="17" t="inlineStr">
        <is>
          <t>M7006</t>
        </is>
      </c>
      <c r="G181" s="18" t="inlineStr">
        <is>
          <t>Fortuna</t>
        </is>
      </c>
      <c r="H181" s="18" t="inlineStr">
        <is>
          <t>Maybelline</t>
        </is>
      </c>
      <c r="I181" s="18" t="inlineStr">
        <is>
          <t>Maybelline New York Sky High Lash Sensational Mascara mit Glitzereffekt, flexible Bürste, hinterlässt keine Klumpen, verlängert und volumisierend, Farbe Space Diamond – 2 Mascaras</t>
        </is>
      </c>
      <c r="J181" s="18" t="inlineStr">
        <is>
          <t>No</t>
        </is>
      </c>
      <c r="K181" s="18" t="inlineStr">
        <is>
          <t>https://www.amazon.de/Maybelline-Sensational-Glitzereffekt-hinterl%C3%A4sst-volumisierend/dp/B0DR2QVT2L/ref=sr_1_1?__mk_de_DE=%C3%85M%C3%85%C5%BD%C3%95%C3%91&amp;crid=3EDLXTAA7W9UT&amp;dib=eyJ2IjoiMSJ9.Q_e110lJfSJWSV4O4H3m9w.fqlo1-zuj5xFmU6a3TN293QmJckPinvGcgfSM_9kuuc&amp;dib_tag=se&amp;keywords=B0DR2QVT2L&amp;qid=1754233377&amp;sprefix=b0dr2qvt2l%2Caps%2C139&amp;sr=8-1&amp;th=1</t>
        </is>
      </c>
      <c r="L181" s="18" t="inlineStr">
        <is>
          <t>B0DR2QVT2L</t>
        </is>
      </c>
      <c r="M181" s="19" t="n">
        <v>27.49</v>
      </c>
      <c r="N181" s="19" t="n"/>
      <c r="O181" s="19" t="n">
        <v>27.35</v>
      </c>
      <c r="P181" s="19">
        <f>O181/1.19</f>
        <v/>
      </c>
      <c r="Q181" s="19">
        <f>O181-P181</f>
        <v/>
      </c>
      <c r="R181" s="19">
        <f>O181*0.15</f>
        <v/>
      </c>
      <c r="S181" s="19" t="n">
        <v>14.82</v>
      </c>
      <c r="T181" s="19">
        <f>S181*0.2</f>
        <v/>
      </c>
      <c r="U181" s="19" t="n">
        <v>0.400000000000001</v>
      </c>
      <c r="V181" s="19" t="n">
        <v>2.4</v>
      </c>
      <c r="W181" s="19">
        <f>V181*0.2</f>
        <v/>
      </c>
      <c r="X181" s="21">
        <f>O181-Q181-R181-S181-U181-V181+T181+W181</f>
        <v/>
      </c>
      <c r="Y181" s="18" t="n"/>
      <c r="Z181" s="19">
        <f>O181+1.5</f>
        <v/>
      </c>
      <c r="AA181" s="19" t="n"/>
      <c r="AB181" s="19" t="n"/>
      <c r="AC181" s="18" t="n"/>
      <c r="AD181" s="18" t="n"/>
      <c r="AE181" s="13" t="inlineStr">
        <is>
          <t>NOT_UPLOADED</t>
        </is>
      </c>
    </row>
    <row r="182" ht="16" customHeight="1">
      <c r="A182" s="12" t="n">
        <v>30074576</v>
      </c>
      <c r="B182" s="12" t="n">
        <v>30074576</v>
      </c>
      <c r="C182" s="13" t="n"/>
      <c r="D182" s="14" t="n"/>
      <c r="E182" s="14" t="inlineStr">
        <is>
          <t>FOR-0000030074576</t>
        </is>
      </c>
      <c r="F182" s="12" t="inlineStr">
        <is>
          <t>M7007</t>
        </is>
      </c>
      <c r="G182" s="14" t="inlineStr">
        <is>
          <t>Fortuna</t>
        </is>
      </c>
      <c r="H182" s="14" t="inlineStr">
        <is>
          <t>Maybelline</t>
        </is>
      </c>
      <c r="I182" s="14" t="inlineStr">
        <is>
          <t>Maybelline New York Colossal 9,5 ml</t>
        </is>
      </c>
      <c r="J182" s="14" t="inlineStr">
        <is>
          <t>No</t>
        </is>
      </c>
      <c r="K182" s="14" t="inlineStr">
        <is>
          <t>https://www.amazon.de/Maybelline-Colossal-Volum-Express-Mascara/dp/B07C78VSZX/ref=sr_1_1?__mk_de_DE=%C3%85M%C3%85%C5%BD%C3%95%C3%91&amp;crid=1UE81WTF8YZZL&amp;dib=eyJ2IjoiMSJ9.MPn1QcSMdPLk1wvdtj_Gqi0E5_avgvX6GiiaDOhTQR6GMzziqmhKrD2cyHT2l6pQQAzJuo7oNSVKXvc98OAuApEqKOVgbst7_YHDb5XmqUk.kZUn4KimBJLU5187a1vfQsxYgSZTHKCHPJDj627S-S0&amp;dib_tag=se&amp;keywords=0000030074576&amp;qid=1749658631&amp;sprefix=0000030074576%2Caps%2C96&amp;sr=8-1</t>
        </is>
      </c>
      <c r="L182" s="14" t="inlineStr">
        <is>
          <t>B07C78VSZX</t>
        </is>
      </c>
      <c r="M182" s="15" t="n">
        <v>12.78</v>
      </c>
      <c r="N182" s="15" t="n"/>
      <c r="O182" s="15" t="n">
        <v>12.6</v>
      </c>
      <c r="P182" s="15">
        <f>O182/1.19</f>
        <v/>
      </c>
      <c r="Q182" s="15">
        <f>O182-P182</f>
        <v/>
      </c>
      <c r="R182" s="15">
        <f>O182*0.15</f>
        <v/>
      </c>
      <c r="S182" s="15" t="n">
        <v>5.28</v>
      </c>
      <c r="T182" s="15">
        <f>S182*0.2</f>
        <v/>
      </c>
      <c r="U182" s="15" t="n">
        <v>0.400000000000001</v>
      </c>
      <c r="V182" s="15" t="n">
        <v>2.17</v>
      </c>
      <c r="W182" s="15">
        <f>V182*0.2</f>
        <v/>
      </c>
      <c r="X182" s="21">
        <f>O182-Q182-R182-S182-U182-V182+T182+W182</f>
        <v/>
      </c>
      <c r="Y182" s="14" t="n"/>
      <c r="Z182" s="15">
        <f>O182+1.5</f>
        <v/>
      </c>
      <c r="AA182" s="15" t="n"/>
      <c r="AB182" s="15" t="n"/>
      <c r="AC182" s="14" t="n"/>
      <c r="AD182" s="14" t="n"/>
      <c r="AE182" s="13" t="inlineStr">
        <is>
          <t>NOT_UPLOADED</t>
        </is>
      </c>
    </row>
    <row r="183" ht="16" customHeight="1">
      <c r="A183" s="17" t="n">
        <v>5021044088064</v>
      </c>
      <c r="B183" s="17" t="n">
        <v>30074576</v>
      </c>
      <c r="C183" s="13" t="n"/>
      <c r="D183" s="18" t="n"/>
      <c r="E183" s="18" t="inlineStr">
        <is>
          <t>FOR- 5021044088064</t>
        </is>
      </c>
      <c r="F183" s="17" t="inlineStr">
        <is>
          <t>M7007</t>
        </is>
      </c>
      <c r="G183" s="18" t="inlineStr">
        <is>
          <t>Fortuna</t>
        </is>
      </c>
      <c r="H183" s="18" t="inlineStr">
        <is>
          <t>Maybelline</t>
        </is>
      </c>
      <c r="I183" s="18" t="inlineStr">
        <is>
          <t>MAYBELLINE Die Colossal Volum Express Mascara Glam Black 10.7 ml</t>
        </is>
      </c>
      <c r="J183" s="18" t="inlineStr">
        <is>
          <t>No</t>
        </is>
      </c>
      <c r="K183" s="18" t="inlineStr">
        <is>
          <t>https://www.amazon.de/MAYBELLINE-Colossal-Volum-Express-Mascara/dp/B007OWU4QW</t>
        </is>
      </c>
      <c r="L183" s="18" t="inlineStr">
        <is>
          <t>B007OWU4QW</t>
        </is>
      </c>
      <c r="M183" s="19" t="n"/>
      <c r="N183" s="19" t="n"/>
      <c r="O183" s="19" t="n">
        <v>12.6</v>
      </c>
      <c r="P183" s="19">
        <f>O183/1.19</f>
        <v/>
      </c>
      <c r="Q183" s="19">
        <f>O183-P183</f>
        <v/>
      </c>
      <c r="R183" s="19">
        <f>O183*0.15</f>
        <v/>
      </c>
      <c r="S183" s="19" t="n">
        <v>5.28</v>
      </c>
      <c r="T183" s="19">
        <f>S183*0.2</f>
        <v/>
      </c>
      <c r="U183" s="19" t="n">
        <v>0.400000000000001</v>
      </c>
      <c r="V183" s="19" t="n">
        <v>2.17</v>
      </c>
      <c r="W183" s="19">
        <f>V183*0.2</f>
        <v/>
      </c>
      <c r="X183" s="21">
        <f>O183-Q183-R183-S183-U183-V183+T183+W183</f>
        <v/>
      </c>
      <c r="Y183" s="18" t="n"/>
      <c r="Z183" s="19">
        <f>O183+1.5</f>
        <v/>
      </c>
      <c r="AA183" s="19" t="n"/>
      <c r="AB183" s="19" t="n"/>
      <c r="AC183" s="18" t="n"/>
      <c r="AD183" s="18" t="n"/>
      <c r="AE183" s="13" t="inlineStr">
        <is>
          <t>NOT_UPLOADED</t>
        </is>
      </c>
    </row>
    <row r="184" ht="16" customHeight="1">
      <c r="A184" s="12" t="n">
        <v>30079847</v>
      </c>
      <c r="B184" s="12" t="n">
        <v>30074576</v>
      </c>
      <c r="C184" s="13" t="n"/>
      <c r="D184" s="14" t="n"/>
      <c r="E184" s="14" t="inlineStr">
        <is>
          <t>FOR-000030079847</t>
        </is>
      </c>
      <c r="F184" s="12" t="inlineStr">
        <is>
          <t>M7007</t>
        </is>
      </c>
      <c r="G184" s="14" t="inlineStr">
        <is>
          <t>Fortuna</t>
        </is>
      </c>
      <c r="H184" s="14" t="inlineStr">
        <is>
          <t>Maybelline</t>
        </is>
      </c>
      <c r="I184" s="14" t="inlineStr">
        <is>
          <t>Maybelline New York Volum' Express Mascara Colossal Schwarz 10,7 ml</t>
        </is>
      </c>
      <c r="J184" s="14" t="inlineStr">
        <is>
          <t>No</t>
        </is>
      </c>
      <c r="K184" s="14" t="inlineStr">
        <is>
          <t>https://www.amazon.de/Maybelline-New-York-Colossal-Mascara/dp/B078X4DTW1/ref=sr_1_1?__mk_de_DE=%C3%85M%C3%85%C5%BD%C3%95%C3%91&amp;crid=XIUW22PNTFMY&amp;dib=eyJ2IjoiMSJ9.Z8oaXJTaDgOJtlhbLH0lwYImxyXXml49nn061rtiLsHGjHj071QN20LucGBJIEps.VwjXhI6CqViIr79j_RWnJTxDbUP7qRBZDVJAzcyB7eU&amp;dib_tag=se&amp;keywords=0000030079847&amp;qid=1749658826&amp;sprefix=0000030079847%2Caps%2C83&amp;sr=8-1&amp;th=1</t>
        </is>
      </c>
      <c r="L184" s="14" t="inlineStr">
        <is>
          <t>B078X4DTW1</t>
        </is>
      </c>
      <c r="M184" s="15" t="n">
        <v>12.78</v>
      </c>
      <c r="N184" s="15" t="n">
        <v>9.99</v>
      </c>
      <c r="O184" s="15" t="n">
        <v>12.6</v>
      </c>
      <c r="P184" s="15">
        <f>O184/1.19</f>
        <v/>
      </c>
      <c r="Q184" s="15">
        <f>O184-P184</f>
        <v/>
      </c>
      <c r="R184" s="15">
        <f>O184*0.15</f>
        <v/>
      </c>
      <c r="S184" s="15" t="n">
        <v>5.28</v>
      </c>
      <c r="T184" s="15">
        <f>S184*0.2</f>
        <v/>
      </c>
      <c r="U184" s="15" t="n">
        <v>0.400000000000001</v>
      </c>
      <c r="V184" s="15" t="n">
        <v>2.17</v>
      </c>
      <c r="W184" s="15">
        <f>V184*0.2</f>
        <v/>
      </c>
      <c r="X184" s="21">
        <f>O184-Q184-R184-S184-U184-V184+T184+W184</f>
        <v/>
      </c>
      <c r="Y184" s="14" t="n"/>
      <c r="Z184" s="15">
        <f>O184+1.5</f>
        <v/>
      </c>
      <c r="AA184" s="15" t="n"/>
      <c r="AB184" s="15" t="n"/>
      <c r="AC184" s="14" t="n"/>
      <c r="AD184" s="14" t="n"/>
      <c r="AE184" s="13" t="inlineStr">
        <is>
          <t>NOT_UPLOADED</t>
        </is>
      </c>
    </row>
    <row r="185" ht="16" customHeight="1">
      <c r="A185" s="17" t="n">
        <v>752771303636</v>
      </c>
      <c r="B185" s="17" t="n">
        <v>30079847</v>
      </c>
      <c r="C185" s="13" t="n"/>
      <c r="D185" s="18" t="n"/>
      <c r="E185" s="18" t="inlineStr">
        <is>
          <t>FOR-0752771303636</t>
        </is>
      </c>
      <c r="F185" s="17" t="inlineStr">
        <is>
          <t>M7008</t>
        </is>
      </c>
      <c r="G185" s="18" t="inlineStr">
        <is>
          <t>Fortuna</t>
        </is>
      </c>
      <c r="H185" s="18" t="inlineStr">
        <is>
          <t>Maybelline</t>
        </is>
      </c>
      <c r="I185" s="18" t="inlineStr">
        <is>
          <t>Maybelline The Colossal Volum' Express Mascara 10ml - 100% Black</t>
        </is>
      </c>
      <c r="J185" s="18" t="inlineStr">
        <is>
          <t>No</t>
        </is>
      </c>
      <c r="K185" s="18" t="inlineStr">
        <is>
          <t>https://www.amazon.de/Maybelline-Colossal-Volum-Express-Mascara/dp/B016WOFZB6/ref=sr_1_1_mod_primary_new?__mk_de_DE=%C3%85M%C3%85%C5%BD%C3%95%C3%91&amp;crid=1MZN5FB7JXRK7&amp;dib=eyJ2IjoiMSJ9.nT48KdquLZmxNs9ED8bkpQ.ioaB5jQTbbWu6VbR7JO9qdWorVi9WwACjo8H8OROFZY&amp;dib_tag=se&amp;keywords=B016WOFZB6&amp;qid=1752923298&amp;sbo=RZvfv%2F%2FHxDF%2BO5021pAnSA%3D%3D&amp;sprefix=b016wofzb6%2Caps%2C189&amp;sr=8-1</t>
        </is>
      </c>
      <c r="L185" s="18" t="inlineStr">
        <is>
          <t>B016WOFZB6</t>
        </is>
      </c>
      <c r="M185" s="19" t="n"/>
      <c r="N185" s="19" t="n"/>
      <c r="O185" s="19" t="n">
        <v>12</v>
      </c>
      <c r="P185" s="19">
        <f>O185/1.19</f>
        <v/>
      </c>
      <c r="Q185" s="19">
        <f>O185-P185</f>
        <v/>
      </c>
      <c r="R185" s="19">
        <f>O185*0.15</f>
        <v/>
      </c>
      <c r="S185" s="19" t="n">
        <v>5.28</v>
      </c>
      <c r="T185" s="19">
        <f>S185*0.2</f>
        <v/>
      </c>
      <c r="U185" s="19" t="n">
        <v>0.400000000000001</v>
      </c>
      <c r="V185" s="19" t="n">
        <v>2</v>
      </c>
      <c r="W185" s="19">
        <f>V185*0.2</f>
        <v/>
      </c>
      <c r="X185" s="21">
        <f>O185-Q185-R185-S185-U185-V185+T185+W185</f>
        <v/>
      </c>
      <c r="Y185" s="18" t="n"/>
      <c r="Z185" s="19">
        <f>O185+1.5</f>
        <v/>
      </c>
      <c r="AA185" s="19" t="n"/>
      <c r="AB185" s="19" t="n"/>
      <c r="AC185" s="18" t="n"/>
      <c r="AD185" s="18" t="n"/>
      <c r="AE185" s="13" t="inlineStr">
        <is>
          <t>NOT_UPLOADED</t>
        </is>
      </c>
    </row>
    <row r="186" ht="16" customHeight="1">
      <c r="A186" s="12" t="n">
        <v>4084200311766</v>
      </c>
      <c r="B186" s="12" t="n">
        <v>30079847</v>
      </c>
      <c r="C186" s="13" t="n"/>
      <c r="D186" s="14" t="n"/>
      <c r="E186" s="14" t="inlineStr">
        <is>
          <t>FOR-4084200311766</t>
        </is>
      </c>
      <c r="F186" s="12" t="inlineStr">
        <is>
          <t>M7008</t>
        </is>
      </c>
      <c r="G186" s="14" t="inlineStr">
        <is>
          <t>Fortuna</t>
        </is>
      </c>
      <c r="H186" s="14" t="inlineStr">
        <is>
          <t>Maybelline</t>
        </is>
      </c>
      <c r="I186" s="14" t="inlineStr">
        <is>
          <t>Maybelline New York Schwarze Wimperntusche mit Collagen für voluminöse Wimpern in nur einem Auftrag, Volum'Express The Colossal Mascara, 100% Black, 1 x 10,7 ml</t>
        </is>
      </c>
      <c r="J186" s="14" t="inlineStr">
        <is>
          <t>No</t>
        </is>
      </c>
      <c r="K186" s="14" t="inlineStr">
        <is>
          <t>https://www.amazon.de/Maybelline-kolossales-Wimpernvolumen-Auftragen-intensivem/dp/B002W5VWTE/ref=sr_1_1?__mk_de_DE=%C3%85M%C3%85%C5%BD%C3%95%C3%91&amp;crid=QOYPMQ9T6RSR&amp;dib=eyJ2IjoiMSJ9.5mL77A_K-ROZxlelm-rBpQ.e9kzZuAVwAyS3uqOiAPGqmtADTDoXJHW9hBwbghCO5c&amp;dib_tag=se&amp;keywords=B002W5VWTE&amp;qid=1752923860&amp;sprefix=b002w5vwte%2Caps%2C128&amp;sr=8-1&amp;th=1</t>
        </is>
      </c>
      <c r="L186" s="14" t="inlineStr">
        <is>
          <t>B002W5VWTE</t>
        </is>
      </c>
      <c r="M186" s="15" t="n"/>
      <c r="N186" s="15" t="n"/>
      <c r="O186" s="15" t="n">
        <v>12</v>
      </c>
      <c r="P186" s="15">
        <f>O186/1.19</f>
        <v/>
      </c>
      <c r="Q186" s="15">
        <f>O186-P186</f>
        <v/>
      </c>
      <c r="R186" s="15">
        <f>O186*0.15</f>
        <v/>
      </c>
      <c r="S186" s="15" t="n">
        <v>5.28</v>
      </c>
      <c r="T186" s="15">
        <f>S186*0.2</f>
        <v/>
      </c>
      <c r="U186" s="15" t="n">
        <v>0.400000000000001</v>
      </c>
      <c r="V186" s="15" t="n">
        <v>2</v>
      </c>
      <c r="W186" s="15">
        <f>V186*0.2</f>
        <v/>
      </c>
      <c r="X186" s="21">
        <f>O186-Q186-R186-S186-U186-V186+T186+W186</f>
        <v/>
      </c>
      <c r="Y186" s="14" t="n"/>
      <c r="Z186" s="15">
        <f>O186+1.5</f>
        <v/>
      </c>
      <c r="AA186" s="15" t="n"/>
      <c r="AB186" s="15" t="n"/>
      <c r="AC186" s="14" t="n"/>
      <c r="AD186" s="14" t="n"/>
      <c r="AE186" s="13" t="inlineStr">
        <is>
          <t>NOT_UPLOADED</t>
        </is>
      </c>
    </row>
    <row r="187" ht="16" customHeight="1">
      <c r="A187" s="17" t="n">
        <v>3600531571481</v>
      </c>
      <c r="B187" s="17" t="n">
        <v>30079847</v>
      </c>
      <c r="C187" s="20" t="inlineStr">
        <is>
          <t>PACK X 3</t>
        </is>
      </c>
      <c r="D187" s="18" t="n"/>
      <c r="E187" s="18" t="inlineStr">
        <is>
          <t>FOR-3600531571481</t>
        </is>
      </c>
      <c r="F187" s="17" t="inlineStr">
        <is>
          <t>M7008</t>
        </is>
      </c>
      <c r="G187" s="18" t="inlineStr">
        <is>
          <t>Fortuna</t>
        </is>
      </c>
      <c r="H187" s="18" t="inlineStr">
        <is>
          <t>Maybelline</t>
        </is>
      </c>
      <c r="I187" s="18" t="inlineStr">
        <is>
          <t>Maybelline New York Mascara Volum'Express, The Colossal, 100% Black, 3 x 10,7 ml</t>
        </is>
      </c>
      <c r="J187" s="18" t="inlineStr">
        <is>
          <t>No</t>
        </is>
      </c>
      <c r="K187" s="18" t="inlineStr">
        <is>
          <t>https://www.amazon.de/Maybelline-New-York-Colossal-milliliters/dp/B07PHT6JQY/ref=sr_1_1_mod_primary_new?__mk_de_DE=%C3%85M%C3%85%C5%BD%C3%95%C3%91&amp;crid=1R2ZDW3B7WSBH&amp;dib=eyJ2IjoiMSJ9.ipZW8ijeBThLiTbpYDRM9w.XA4nOIAG1Ozd7g87YPgdaBw8cKCuW2YUVB-Vyn23kcY&amp;dib_tag=se&amp;keywords=B07PHT6JQY&amp;qid=1754237735&amp;sbo=RZvfv%2F%2FHxDF%2BO5021pAnSA%3D%3D&amp;sprefix=b07pht6jqy%2Caps%2C157&amp;sr=8-1</t>
        </is>
      </c>
      <c r="L187" s="18" t="inlineStr">
        <is>
          <t>B07PHT6JQY</t>
        </is>
      </c>
      <c r="M187" s="19" t="n"/>
      <c r="N187" s="19" t="n"/>
      <c r="O187" s="19" t="n">
        <v>29.7</v>
      </c>
      <c r="P187" s="19">
        <f>O187/1.19</f>
        <v/>
      </c>
      <c r="Q187" s="19">
        <f>O187-P187</f>
        <v/>
      </c>
      <c r="R187" s="19">
        <f>O187*0.15</f>
        <v/>
      </c>
      <c r="S187" s="19" t="n">
        <v>15.84</v>
      </c>
      <c r="T187" s="19">
        <f>S187*0.2</f>
        <v/>
      </c>
      <c r="U187" s="19" t="n">
        <v>0.400000000000001</v>
      </c>
      <c r="V187" s="19" t="n">
        <v>2.5</v>
      </c>
      <c r="W187" s="19">
        <f>V187*0.2</f>
        <v/>
      </c>
      <c r="X187" s="21">
        <f>O187-Q187-R187-S187-U187-V187+T187+W187</f>
        <v/>
      </c>
      <c r="Y187" s="18" t="n"/>
      <c r="Z187" s="19">
        <f>O187+1.5</f>
        <v/>
      </c>
      <c r="AA187" s="19" t="n"/>
      <c r="AB187" s="19" t="n"/>
      <c r="AC187" s="18" t="n"/>
      <c r="AD187" s="18" t="n"/>
      <c r="AE187" s="13" t="inlineStr">
        <is>
          <t>NOT_UPLOADED</t>
        </is>
      </c>
    </row>
    <row r="188" ht="16" customHeight="1">
      <c r="A188" s="12" t="n">
        <v>30145436</v>
      </c>
      <c r="B188" s="12" t="n">
        <v>30145436</v>
      </c>
      <c r="C188" s="13" t="n"/>
      <c r="D188" s="14" t="n"/>
      <c r="E188" s="14" t="inlineStr">
        <is>
          <t>FOR-0000030145436</t>
        </is>
      </c>
      <c r="F188" s="12" t="inlineStr">
        <is>
          <t>M7010</t>
        </is>
      </c>
      <c r="G188" s="14" t="inlineStr">
        <is>
          <t>Fortuna</t>
        </is>
      </c>
      <c r="H188" s="14" t="inlineStr">
        <is>
          <t>Maybelline</t>
        </is>
      </c>
      <c r="I188" s="14" t="inlineStr">
        <is>
          <t>Maybelline New York Schwarze Wimperntusche für 24h Schwung und Volumen, Mit Memory Curl Formel für unvergessliches Augen Make-up, Colossal Curl Bounce Mascara, Very Black, 1 x 10 ml</t>
        </is>
      </c>
      <c r="J188" s="14" t="inlineStr">
        <is>
          <t>No</t>
        </is>
      </c>
      <c r="K188" s="14" t="inlineStr">
        <is>
          <t>https://www.amazon.de/Maybelline-Schwarze-Wimperntusche-unvergessliches-Colossal/dp/B09N4F89WM/ref=sr_1_1?__mk_de_DE=%C3%85M%C3%85%C5%BD%C3%95%C3%91&amp;crid=3KFE2FM9LCEU0&amp;dib=eyJ2IjoiMSJ9.DNdHSwhhSBUq4v8aeavk27ptlYv0KgPMiMqPe8I763bGjHj071QN20LucGBJIEps.IJrrUixiPBj1DbV6AqSy9nu6S4Txser_2kloniR5IeU&amp;dib_tag=se&amp;keywords=0000030145436&amp;qid=1749671475&amp;sprefix=0000030145436%2Caps%2C123&amp;sr=8-1&amp;th=1</t>
        </is>
      </c>
      <c r="L188" s="14" t="inlineStr">
        <is>
          <t>B09N4F89WM</t>
        </is>
      </c>
      <c r="M188" s="15" t="n">
        <v>16.45</v>
      </c>
      <c r="N188" s="15" t="n">
        <v>8.25</v>
      </c>
      <c r="O188" s="15" t="n">
        <v>14.67</v>
      </c>
      <c r="P188" s="15">
        <f>O188/1.19</f>
        <v/>
      </c>
      <c r="Q188" s="15">
        <f>O188-P188</f>
        <v/>
      </c>
      <c r="R188" s="15">
        <f>O188*0.15</f>
        <v/>
      </c>
      <c r="S188" s="15" t="n">
        <v>6.92</v>
      </c>
      <c r="T188" s="15">
        <f>S188*0.2</f>
        <v/>
      </c>
      <c r="U188" s="15" t="n">
        <v>0.400000000000001</v>
      </c>
      <c r="V188" s="15" t="n">
        <v>2</v>
      </c>
      <c r="W188" s="15">
        <f>V188*0.2</f>
        <v/>
      </c>
      <c r="X188" s="21">
        <f>O188-Q188-R188-S188-U188-V188+T188+W188</f>
        <v/>
      </c>
      <c r="Y188" s="14" t="n"/>
      <c r="Z188" s="15">
        <f>O188+1.5</f>
        <v/>
      </c>
      <c r="AA188" s="15" t="n"/>
      <c r="AB188" s="15" t="n"/>
      <c r="AC188" s="14" t="n"/>
      <c r="AD188" s="14" t="n"/>
      <c r="AE188" s="13" t="inlineStr">
        <is>
          <t>NOT_UPLOADED</t>
        </is>
      </c>
    </row>
    <row r="189" ht="16" customHeight="1">
      <c r="A189" s="17" t="n">
        <v>30150041</v>
      </c>
      <c r="B189" s="17" t="n">
        <v>30150041</v>
      </c>
      <c r="C189" s="13" t="n"/>
      <c r="D189" s="18" t="n"/>
      <c r="E189" s="18" t="inlineStr">
        <is>
          <t>FOR-0000030150041</t>
        </is>
      </c>
      <c r="F189" s="17" t="inlineStr">
        <is>
          <t>M7011</t>
        </is>
      </c>
      <c r="G189" s="18" t="inlineStr">
        <is>
          <t>Fortuna</t>
        </is>
      </c>
      <c r="H189" s="18" t="inlineStr">
        <is>
          <t>Maybelline</t>
        </is>
      </c>
      <c r="I189" s="18" t="inlineStr">
        <is>
          <t>Maybelline New York Schwarze Wimperntusche für 24h Schwung und Volumen, Mit Memory Curl Formel, Colossal Curl Bounce Mascara, After Dark, 1 x 10 ml</t>
        </is>
      </c>
      <c r="J189" s="18" t="inlineStr">
        <is>
          <t>No</t>
        </is>
      </c>
      <c r="K189" s="18" t="inlineStr">
        <is>
          <t>https://www.amazon.de/Maybelline-Schwarze-Wimperntusche-Schwung-Colossal/dp/B0BNJ4SQHJ/ref=sr_1_1?__mk_de_DE=%C3%85M%C3%85%C5%BD%C3%95%C3%91&amp;crid=MMSIM5BU4NSS&amp;dib=eyJ2IjoiMSJ9.X_MG52aqV71yY_7sSjAZEQ.4JaI5QAGSCq0orgZtFCSiN7q0jFf5LqdG65dJNYw0vg&amp;dib_tag=se&amp;keywords=0000030150041&amp;qid=1749671894&amp;sprefix=0000030150041%2Caps%2C120&amp;sr=8-1&amp;th=1</t>
        </is>
      </c>
      <c r="L189" s="18" t="inlineStr">
        <is>
          <t>B0BNJ4SQHJ</t>
        </is>
      </c>
      <c r="M189" s="19" t="n">
        <v>16.49</v>
      </c>
      <c r="N189" s="19" t="n"/>
      <c r="O189" s="19" t="n">
        <v>14.67</v>
      </c>
      <c r="P189" s="19">
        <f>O189/1.19</f>
        <v/>
      </c>
      <c r="Q189" s="19">
        <f>O189-P189</f>
        <v/>
      </c>
      <c r="R189" s="19">
        <f>O189*0.15</f>
        <v/>
      </c>
      <c r="S189" s="19" t="n">
        <v>6.92</v>
      </c>
      <c r="T189" s="19">
        <f>S189*0.2</f>
        <v/>
      </c>
      <c r="U189" s="19" t="n">
        <v>0.400000000000001</v>
      </c>
      <c r="V189" s="19" t="n">
        <v>2</v>
      </c>
      <c r="W189" s="19">
        <f>V189*0.2</f>
        <v/>
      </c>
      <c r="X189" s="21">
        <f>O189-Q189-R189-S189-U189-V189+T189+W189</f>
        <v/>
      </c>
      <c r="Y189" s="18" t="n"/>
      <c r="Z189" s="19">
        <f>O189+1.5</f>
        <v/>
      </c>
      <c r="AA189" s="19" t="n"/>
      <c r="AB189" s="19" t="n"/>
      <c r="AC189" s="18" t="n"/>
      <c r="AD189" s="18" t="n"/>
      <c r="AE189" s="13" t="inlineStr">
        <is>
          <t>NOT_UPLOADED</t>
        </is>
      </c>
    </row>
    <row r="190" ht="16" customHeight="1">
      <c r="A190" s="12" t="n">
        <v>30144224</v>
      </c>
      <c r="B190" s="12" t="n">
        <v>30144224</v>
      </c>
      <c r="C190" s="13" t="n"/>
      <c r="D190" s="14" t="n"/>
      <c r="E190" s="14" t="inlineStr">
        <is>
          <t>FOR-0000030144224</t>
        </is>
      </c>
      <c r="F190" s="12" t="inlineStr">
        <is>
          <t>M7012</t>
        </is>
      </c>
      <c r="G190" s="14" t="inlineStr">
        <is>
          <t>Fortuna</t>
        </is>
      </c>
      <c r="H190" s="14" t="inlineStr">
        <is>
          <t>Maybelline</t>
        </is>
      </c>
      <c r="I190" s="14" t="inlineStr">
        <is>
          <t>Maybelline New York Schwarze Mascara für maximale Länge und Volumen, Mit 360° Wimpern-Fächer und Pro Vitamin B5, Lash Sensational Firework Mascara, Very Black, 10 ml</t>
        </is>
      </c>
      <c r="J190" s="14" t="inlineStr">
        <is>
          <t>No</t>
        </is>
      </c>
      <c r="K190" s="14" t="inlineStr">
        <is>
          <t>https://www.amazon.de/Maybelline-Schwarze-maximale-Wimpern-F%C3%A4cher-Sensational/dp/B0CVL6Y6FB/ref=sr_1_1?__mk_de_DE=%C3%85M%C3%85%C5%BD%C3%95%C3%91&amp;crid=32D44BY57MIJG&amp;dib=eyJ2IjoiMSJ9.yZao5biTIpFODCTrNLYFetqRptaAtTGFHDoxydtuhOQ.LFvWO6iILuGHfEUX4fyQBFU__8rbYJzbPmsFoWFiMBM&amp;dib_tag=se&amp;keywords=0000030144224&amp;qid=1749672068&amp;sprefix=0000030144224%2Caps%2C106&amp;sr=8-1&amp;th=1</t>
        </is>
      </c>
      <c r="L190" s="14" t="inlineStr">
        <is>
          <t>B0CVL6Y6FB</t>
        </is>
      </c>
      <c r="M190" s="15" t="n">
        <v>17.97</v>
      </c>
      <c r="N190" s="15" t="n"/>
      <c r="O190" s="15" t="n">
        <v>15.4</v>
      </c>
      <c r="P190" s="15">
        <f>O190/1.19</f>
        <v/>
      </c>
      <c r="Q190" s="15">
        <f>O190-P190</f>
        <v/>
      </c>
      <c r="R190" s="15">
        <f>O190*0.15</f>
        <v/>
      </c>
      <c r="S190" s="15" t="n">
        <v>7.73</v>
      </c>
      <c r="T190" s="15">
        <f>S190*0.2</f>
        <v/>
      </c>
      <c r="U190" s="15" t="n">
        <v>0.400000000000001</v>
      </c>
      <c r="V190" s="15" t="n">
        <v>2</v>
      </c>
      <c r="W190" s="15">
        <f>V190*0.2</f>
        <v/>
      </c>
      <c r="X190" s="21">
        <f>O190-Q190-R190-S190-U190-V190+T190+W190</f>
        <v/>
      </c>
      <c r="Y190" s="14" t="n"/>
      <c r="Z190" s="15">
        <f>O190+1.5</f>
        <v/>
      </c>
      <c r="AA190" s="15" t="n"/>
      <c r="AB190" s="15" t="n"/>
      <c r="AC190" s="14" t="n"/>
      <c r="AD190" s="14" t="n"/>
      <c r="AE190" s="13" t="inlineStr">
        <is>
          <t>NOT_UPLOADED</t>
        </is>
      </c>
    </row>
    <row r="191" ht="16" customHeight="1">
      <c r="A191" s="17" t="n">
        <v>30152434</v>
      </c>
      <c r="B191" s="17" t="n">
        <v>30152434</v>
      </c>
      <c r="C191" s="13" t="n"/>
      <c r="D191" s="18" t="n"/>
      <c r="E191" s="18" t="inlineStr">
        <is>
          <t>FOR-0000030152434</t>
        </is>
      </c>
      <c r="F191" s="17" t="inlineStr">
        <is>
          <t>M7014</t>
        </is>
      </c>
      <c r="G191" s="18" t="inlineStr">
        <is>
          <t>Fortuna</t>
        </is>
      </c>
      <c r="H191" s="18" t="inlineStr">
        <is>
          <t>Maybelline</t>
        </is>
      </c>
      <c r="I191" s="18" t="inlineStr">
        <is>
          <t>Maybelline New York Sky High Primer für Wimperntusche, Noch mehr Länge und Volumen, Mascara-Basis mit wimpernverlängerndem Effekt, Lash Sensational, Schwarz, 1 x 7,7 ml</t>
        </is>
      </c>
      <c r="J191" s="18" t="inlineStr">
        <is>
          <t>No</t>
        </is>
      </c>
      <c r="K191" s="18" t="inlineStr">
        <is>
          <t>https://www.amazon.de/Maybelline-Wimperntusche-Mascara-Basis-wimpernverl%C3%A4ngerndem-Sensational/dp/B0BNQVMGZV/ref=sr_1_1?__mk_de_DE=%C3%85M%C3%85%C5%BD%C3%95%C3%91&amp;crid=1M1TQROM2S4D2&amp;dib=eyJ2IjoiMSJ9.W0X7aU2CfGKDWYgq3W4Big.fSn9YOdQ6JHogEnEPSmBSlbx_r2JFYUYKVFpuIf-TO8&amp;dib_tag=se&amp;keywords=0000030152434&amp;qid=1749672284&amp;rdc=1&amp;sprefix=0000030152434%2Caps%2C122&amp;sr=8-1&amp;th=1</t>
        </is>
      </c>
      <c r="L191" s="18" t="inlineStr">
        <is>
          <t>B0BNQVMGZV</t>
        </is>
      </c>
      <c r="M191" s="19" t="n">
        <v>16.45</v>
      </c>
      <c r="N191" s="19" t="n"/>
      <c r="O191" s="19" t="n">
        <v>15.4</v>
      </c>
      <c r="P191" s="19">
        <f>O191/1.19</f>
        <v/>
      </c>
      <c r="Q191" s="19">
        <f>O191-P191</f>
        <v/>
      </c>
      <c r="R191" s="19">
        <f>O191*0.15</f>
        <v/>
      </c>
      <c r="S191" s="19" t="n">
        <v>7.4</v>
      </c>
      <c r="T191" s="19">
        <f>S191*0.2</f>
        <v/>
      </c>
      <c r="U191" s="19" t="n">
        <v>0.400000000000001</v>
      </c>
      <c r="V191" s="19" t="n">
        <v>2</v>
      </c>
      <c r="W191" s="19">
        <f>V191*0.2</f>
        <v/>
      </c>
      <c r="X191" s="21">
        <f>O191-Q191-R191-S191-U191-V191+T191+W191</f>
        <v/>
      </c>
      <c r="Y191" s="18" t="n"/>
      <c r="Z191" s="19">
        <f>O191+1.5</f>
        <v/>
      </c>
      <c r="AA191" s="19" t="n"/>
      <c r="AB191" s="19" t="n"/>
      <c r="AC191" s="18" t="n"/>
      <c r="AD191" s="18" t="n"/>
      <c r="AE191" s="13" t="inlineStr">
        <is>
          <t>NOT_UPLOADED</t>
        </is>
      </c>
    </row>
    <row r="192" ht="16" customHeight="1">
      <c r="A192" s="12" t="n">
        <v>30167223</v>
      </c>
      <c r="B192" s="12" t="n">
        <v>30167223</v>
      </c>
      <c r="C192" s="13" t="n"/>
      <c r="D192" s="14" t="n"/>
      <c r="E192" s="14" t="inlineStr">
        <is>
          <t>FOR-0000030167223</t>
        </is>
      </c>
      <c r="F192" s="12" t="inlineStr">
        <is>
          <t>M7015</t>
        </is>
      </c>
      <c r="G192" s="14" t="inlineStr">
        <is>
          <t>Fortuna</t>
        </is>
      </c>
      <c r="H192" s="14" t="inlineStr">
        <is>
          <t>Maybelline</t>
        </is>
      </c>
      <c r="I192" s="14" t="inlineStr">
        <is>
          <t>Maybelline New York Wasserfeste, schwarze Wimperntusche für extrem lange Wimpern, Lash Sensational Sky High Mascara, Black Waterproof, 6 ml</t>
        </is>
      </c>
      <c r="J192" s="14" t="inlineStr">
        <is>
          <t>No</t>
        </is>
      </c>
      <c r="K192" s="14" t="inlineStr">
        <is>
          <t>https://www.amazon.de/Maybelline-New-York-Wasserfeste-Wimperntusche/dp/B0092QK8N2/ref=sr_1_1?__mk_de_DE=%C3%85M%C3%85%C5%BD%C3%95%C3%91&amp;crid=Y47MNL55K2NF&amp;dib=eyJ2IjoiMSJ9.peICCp5xypoPNdjGkh5eWBCOVp0iiBS-26-PalnWWhWKPkvM9HiFvsLvYkfeaimp.AXiGQksFwqTByEJUcoA8GoaCzI9X5ZAY7-cPDZSn_2g&amp;dib_tag=se&amp;keywords=0000030167223&amp;qid=1749672469&amp;rdc=1&amp;sprefix=0000030167223%2Caps%2C128&amp;sr=8-1&amp;th=1</t>
        </is>
      </c>
      <c r="L192" s="14" t="inlineStr">
        <is>
          <t>B0092QK8N2</t>
        </is>
      </c>
      <c r="M192" s="15" t="n">
        <v>16.45</v>
      </c>
      <c r="N192" s="15" t="n"/>
      <c r="O192" s="15" t="n">
        <v>14.8</v>
      </c>
      <c r="P192" s="15">
        <f>O192/1.19</f>
        <v/>
      </c>
      <c r="Q192" s="15">
        <f>O192-P192</f>
        <v/>
      </c>
      <c r="R192" s="15">
        <f>O192*0.15</f>
        <v/>
      </c>
      <c r="S192" s="15" t="n">
        <v>7.4</v>
      </c>
      <c r="T192" s="15">
        <f>S192*0.2</f>
        <v/>
      </c>
      <c r="U192" s="15" t="n">
        <v>0.400000000000001</v>
      </c>
      <c r="V192" s="15" t="n">
        <v>2</v>
      </c>
      <c r="W192" s="15">
        <f>V192*0.2</f>
        <v/>
      </c>
      <c r="X192" s="21">
        <f>O192-Q192-R192-S192-U192-V192+T192+W192</f>
        <v/>
      </c>
      <c r="Y192" s="14" t="n"/>
      <c r="Z192" s="15">
        <f>O192+1.5</f>
        <v/>
      </c>
      <c r="AA192" s="15" t="n"/>
      <c r="AB192" s="15" t="n"/>
      <c r="AC192" s="14" t="n"/>
      <c r="AD192" s="14" t="n"/>
      <c r="AE192" s="13" t="inlineStr">
        <is>
          <t>NOT_UPLOADED</t>
        </is>
      </c>
    </row>
    <row r="193" ht="16" customHeight="1">
      <c r="A193" s="17" t="n">
        <v>30152830</v>
      </c>
      <c r="B193" s="17" t="n">
        <v>30152830</v>
      </c>
      <c r="C193" s="13" t="n"/>
      <c r="D193" s="18" t="n"/>
      <c r="E193" s="18" t="inlineStr">
        <is>
          <t>FOR-0000030152830</t>
        </is>
      </c>
      <c r="F193" s="17" t="inlineStr">
        <is>
          <t>M7016</t>
        </is>
      </c>
      <c r="G193" s="18" t="inlineStr">
        <is>
          <t>Fortuna</t>
        </is>
      </c>
      <c r="H193" s="18" t="inlineStr">
        <is>
          <t>Maybelline</t>
        </is>
      </c>
      <c r="I193" s="18" t="inlineStr">
        <is>
          <t>Maybelline New York Wimperntusche für extreme Länge und volles Volumen, Mascara mit wimpernverlängerndem Effekt, Lash Sensational Sky High Cosmic Black, Schwarz, 1 x 7,2 ml</t>
        </is>
      </c>
      <c r="J193" s="18" t="inlineStr">
        <is>
          <t>No</t>
        </is>
      </c>
      <c r="K193" s="18" t="inlineStr">
        <is>
          <t>https://www.amazon.de/Maybelline-Wimperntusche-extreme-wimpernverl%C3%A4ngerndem-Sensational/dp/B09NQHCKJK/ref=sr_1_1?__mk_de_DE=%C3%85M%C3%85%C5%BD%C3%95%C3%91&amp;crid=21RD5PBQDAOUC&amp;dib=eyJ2IjoiMSJ9.fAz6ZHcwL8dP3RJUDhCGHAiZXMy6OQ1DeQzbl2o3cOI.rTgghEKDfkOzM8a9Rv7zWRpLIs4cZbilg2jB-zbpG5k&amp;dib_tag=se&amp;keywords=0000030152830&amp;qid=1749672603&amp;rdc=1&amp;sprefix=0000030152830%2Caps%2C119&amp;sr=8-1</t>
        </is>
      </c>
      <c r="L193" s="18" t="inlineStr">
        <is>
          <t>B09NQHCKJK</t>
        </is>
      </c>
      <c r="M193" s="19" t="n">
        <v>16.44</v>
      </c>
      <c r="N193" s="19" t="n"/>
      <c r="O193" s="19" t="n">
        <v>14.47</v>
      </c>
      <c r="P193" s="19">
        <f>O193/1.19</f>
        <v/>
      </c>
      <c r="Q193" s="19">
        <f>O193-P193</f>
        <v/>
      </c>
      <c r="R193" s="19">
        <f>O193*0.15</f>
        <v/>
      </c>
      <c r="S193" s="19" t="n">
        <v>7.4</v>
      </c>
      <c r="T193" s="19">
        <f>S193*0.2</f>
        <v/>
      </c>
      <c r="U193" s="19" t="n">
        <v>0.400000000000001</v>
      </c>
      <c r="V193" s="19" t="n">
        <v>2</v>
      </c>
      <c r="W193" s="19">
        <f>V193*0.2</f>
        <v/>
      </c>
      <c r="X193" s="21">
        <f>O193-Q193-R193-S193-U193-V193+T193+W193</f>
        <v/>
      </c>
      <c r="Y193" s="18" t="n"/>
      <c r="Z193" s="19">
        <f>O193+1.5</f>
        <v/>
      </c>
      <c r="AA193" s="19" t="n"/>
      <c r="AB193" s="19" t="n"/>
      <c r="AC193" s="18" t="n"/>
      <c r="AD193" s="18" t="n"/>
      <c r="AE193" s="13" t="inlineStr">
        <is>
          <t>NOT_UPLOADED</t>
        </is>
      </c>
    </row>
    <row r="194" ht="16" customHeight="1">
      <c r="A194" s="12" t="n">
        <v>30147317</v>
      </c>
      <c r="B194" s="12" t="n">
        <v>30147317</v>
      </c>
      <c r="C194" s="13" t="n"/>
      <c r="D194" s="14" t="n"/>
      <c r="E194" s="14" t="inlineStr">
        <is>
          <t>FOR-0000030147317</t>
        </is>
      </c>
      <c r="F194" s="12" t="inlineStr">
        <is>
          <t>M7017</t>
        </is>
      </c>
      <c r="G194" s="14" t="inlineStr">
        <is>
          <t>Fortuna</t>
        </is>
      </c>
      <c r="H194" s="14" t="inlineStr">
        <is>
          <t>Maybelline</t>
        </is>
      </c>
      <c r="I194" s="14" t="inlineStr">
        <is>
          <t>Maybelline New York Schwarze Wimperntusche für extrem lange Wimpern, Lash Sensational Sky High Mascara, Braun, 7,2 ml</t>
        </is>
      </c>
      <c r="J194" s="14" t="inlineStr">
        <is>
          <t>No</t>
        </is>
      </c>
      <c r="K194" s="14" t="inlineStr">
        <is>
          <t>https://www.amazon.de/Maybelline-Schwarze-Wimperntusche-Wimpern-Sensational/dp/B0BNJ6XS8Y/ref=sr_1_1?__mk_de_DE=%C3%85M%C3%85%C5%BD%C3%95%C3%91&amp;crid=Z306C4CFYP03&amp;dib=eyJ2IjoiMSJ9.gDySW6DPxPbMtYIosedEMg._85NFathPEjBMqeD48ow6OOGFsFLMdgjnYsR6dcbtQY&amp;dib_tag=se&amp;keywords=0000030147317&amp;qid=1749672719&amp;rdc=1&amp;sprefix=0000030147317%2Caps%2C109&amp;sr=8-1&amp;th=1</t>
        </is>
      </c>
      <c r="L194" s="14" t="inlineStr">
        <is>
          <t>B0BNJ6XS8Y</t>
        </is>
      </c>
      <c r="M194" s="15" t="n">
        <v>16.44</v>
      </c>
      <c r="N194" s="15" t="n"/>
      <c r="O194" s="15" t="n">
        <v>15.3</v>
      </c>
      <c r="P194" s="15">
        <f>O194/1.19</f>
        <v/>
      </c>
      <c r="Q194" s="15">
        <f>O194-P194</f>
        <v/>
      </c>
      <c r="R194" s="15">
        <f>O194*0.15</f>
        <v/>
      </c>
      <c r="S194" s="15" t="n">
        <v>7.4</v>
      </c>
      <c r="T194" s="15">
        <f>S194*0.2</f>
        <v/>
      </c>
      <c r="U194" s="15" t="n">
        <v>0.400000000000001</v>
      </c>
      <c r="V194" s="15" t="n">
        <v>2</v>
      </c>
      <c r="W194" s="15">
        <f>V194*0.2</f>
        <v/>
      </c>
      <c r="X194" s="21">
        <f>O194-Q194-R194-S194-U194-V194+T194+W194</f>
        <v/>
      </c>
      <c r="Y194" s="14" t="n"/>
      <c r="Z194" s="15">
        <f>O194+1.5</f>
        <v/>
      </c>
      <c r="AA194" s="15" t="n"/>
      <c r="AB194" s="15" t="n"/>
      <c r="AC194" s="14" t="n"/>
      <c r="AD194" s="14" t="n"/>
      <c r="AE194" s="13" t="inlineStr">
        <is>
          <t>NOT_UPLOADED</t>
        </is>
      </c>
    </row>
    <row r="195" ht="16" customHeight="1">
      <c r="A195" s="17" t="n">
        <v>3600531230906</v>
      </c>
      <c r="B195" s="17" t="n">
        <v>3600531230906</v>
      </c>
      <c r="C195" s="13" t="n"/>
      <c r="D195" s="18" t="n"/>
      <c r="E195" s="18" t="inlineStr">
        <is>
          <t>FOR-3600531230906</t>
        </is>
      </c>
      <c r="F195" s="17" t="inlineStr">
        <is>
          <t>M7019</t>
        </is>
      </c>
      <c r="G195" s="18" t="inlineStr">
        <is>
          <t>Fortuna</t>
        </is>
      </c>
      <c r="H195" s="18" t="inlineStr">
        <is>
          <t>Maybelline</t>
        </is>
      </c>
      <c r="I195" s="18" t="inlineStr">
        <is>
          <t>Maybelline New York Mascara für Volumen und Definition, Lash Sensational, Intense Black, 9,5 ml</t>
        </is>
      </c>
      <c r="J195" s="18" t="inlineStr">
        <is>
          <t>No</t>
        </is>
      </c>
      <c r="K195" s="18" t="inlineStr">
        <is>
          <t>https://www.amazon.de/Lash-Sensational-Maybelline-Intense-Black/dp/B0151NW9EA/ref=sr_1_1?__mk_de_DE=%C3%85M%C3%85%C5%BD%C3%95%C3%91&amp;crid=37RMK05JC9A4Q&amp;dib=eyJ2IjoiMSJ9.ZDU21yJNstA48nS15pAtZg5ZFGLdfdSfeeyYsvDIQqPGjHj071QN20LucGBJIEps.RgkelXJ-geaEV7SM2A4SioyA2bgJV9OvyGqYHpgAGH8&amp;dib_tag=se&amp;keywords=3600531230906&amp;qid=1749672851&amp;rdc=1&amp;sprefix=3600531230906%2Caps%2C102&amp;sr=8-1&amp;th=1</t>
        </is>
      </c>
      <c r="L195" s="18" t="inlineStr">
        <is>
          <t>B0151NW9EA</t>
        </is>
      </c>
      <c r="M195" s="19" t="n">
        <v>14.01</v>
      </c>
      <c r="N195" s="19" t="n"/>
      <c r="O195" s="19" t="n">
        <v>13.2</v>
      </c>
      <c r="P195" s="19">
        <f>O195/1.19</f>
        <v/>
      </c>
      <c r="Q195" s="19">
        <f>O195-P195</f>
        <v/>
      </c>
      <c r="R195" s="19">
        <f>O195*0.15</f>
        <v/>
      </c>
      <c r="S195" s="19" t="n">
        <v>6.25</v>
      </c>
      <c r="T195" s="19">
        <f>S195*0.2</f>
        <v/>
      </c>
      <c r="U195" s="19" t="n">
        <v>0.400000000000001</v>
      </c>
      <c r="V195" s="19" t="n">
        <v>2</v>
      </c>
      <c r="W195" s="19">
        <f>V195*0.2</f>
        <v/>
      </c>
      <c r="X195" s="21">
        <f>O195-Q195-R195-S195-U195-V195+T195+W195</f>
        <v/>
      </c>
      <c r="Y195" s="18" t="n"/>
      <c r="Z195" s="19">
        <f>O195+1.5</f>
        <v/>
      </c>
      <c r="AA195" s="19" t="n"/>
      <c r="AB195" s="19" t="n"/>
      <c r="AC195" s="18" t="n"/>
      <c r="AD195" s="18" t="n"/>
      <c r="AE195" s="13" t="inlineStr">
        <is>
          <t>NOT_UPLOADED</t>
        </is>
      </c>
    </row>
    <row r="196" ht="16" customHeight="1">
      <c r="A196" s="12" t="n">
        <v>3600531230845</v>
      </c>
      <c r="B196" s="12" t="n">
        <v>3600531230906</v>
      </c>
      <c r="C196" s="13" t="n"/>
      <c r="D196" s="14" t="n"/>
      <c r="E196" s="14" t="inlineStr">
        <is>
          <t>FOR-3600531230906</t>
        </is>
      </c>
      <c r="F196" s="12" t="inlineStr">
        <is>
          <t>M7019</t>
        </is>
      </c>
      <c r="G196" s="14" t="inlineStr">
        <is>
          <t>Fortuna</t>
        </is>
      </c>
      <c r="H196" s="14" t="inlineStr">
        <is>
          <t>Maybelline</t>
        </is>
      </c>
      <c r="I196" s="14" t="inlineStr">
        <is>
          <t>Maybelline New York Lash Sensational Mascara 1-piece Intense Black</t>
        </is>
      </c>
      <c r="J196" s="14" t="inlineStr">
        <is>
          <t>No</t>
        </is>
      </c>
      <c r="K196" s="14" t="inlineStr">
        <is>
          <t>https://www.amazon.de/-/en/Maybelline-Sensational-Mascara-1-piece-Intense/dp/B01468LA0A/ref=sr_1_12?crid=RP3EU7RDMARW&amp;dib=eyJ2IjoiMSJ9.l2JT-MAjB5F3nxYFSjR4a8KxiLucjUGES0aLx1tEoyuNCfx4yKQ3FuysnPpe7vbfzxaIppnMD3wJ6bNDxZWpiZLRkpz47W2PsXMSmXgO_ljrOCl-6xCqaaCRvLvsrLAJihFArowigsE6DEve9ERrhEEn2K9A7NHs7F-CS28GaOIR_LB_lLEJHHBYK0P51eiDmEoEeDRpopBL2vaFc7FMSZRnUX7I-Zbx5CzeJN72LjwOTSLmgB6Y0BcR1OWqBipkJzVn-RdjrHuDv0cEvRbmMbKR-5sVnQAc5fzUOxbtzP0.5HG5mVeOfetbH2Z0pfFXh-sfgS4uopTRSaFTQ84Y6ow&amp;dib_tag=se&amp;keywords=MAYBELLINE%2BLASH%2BSENSATIONAL&amp;qid=1752927174&amp;sprefix=maybelline%2Blash%2Bsensational%2Caps%2C139&amp;sr=8-12&amp;th=1</t>
        </is>
      </c>
      <c r="L196" s="14" t="inlineStr">
        <is>
          <t>B01468LA0A</t>
        </is>
      </c>
      <c r="M196" s="15" t="n"/>
      <c r="N196" s="15" t="n"/>
      <c r="O196" s="15" t="n">
        <v>13.09</v>
      </c>
      <c r="P196" s="15">
        <f>O196/1.19</f>
        <v/>
      </c>
      <c r="Q196" s="15">
        <f>O196-P196</f>
        <v/>
      </c>
      <c r="R196" s="15">
        <f>O196*0.15</f>
        <v/>
      </c>
      <c r="S196" s="15" t="n">
        <v>6.25</v>
      </c>
      <c r="T196" s="15">
        <f>S196*0.2</f>
        <v/>
      </c>
      <c r="U196" s="15" t="n">
        <v>0.400000000000001</v>
      </c>
      <c r="V196" s="15" t="n">
        <v>2</v>
      </c>
      <c r="W196" s="15">
        <f>V196*0.2</f>
        <v/>
      </c>
      <c r="X196" s="21">
        <f>O196-Q196-R196-S196-U196-V196+T196+W196</f>
        <v/>
      </c>
      <c r="Y196" s="14" t="n"/>
      <c r="Z196" s="15">
        <f>O196+1.5</f>
        <v/>
      </c>
      <c r="AA196" s="15" t="n"/>
      <c r="AB196" s="15" t="n"/>
      <c r="AC196" s="14" t="n"/>
      <c r="AD196" s="14" t="n"/>
      <c r="AE196" s="13" t="inlineStr">
        <is>
          <t>NOT_UPLOADED</t>
        </is>
      </c>
    </row>
    <row r="197" ht="16" customHeight="1">
      <c r="A197" s="17" t="n">
        <v>30114319</v>
      </c>
      <c r="B197" s="17" t="n">
        <v>30114319</v>
      </c>
      <c r="C197" s="13" t="n"/>
      <c r="D197" s="18" t="n"/>
      <c r="E197" s="18" t="inlineStr">
        <is>
          <t>FOR-0000030114319</t>
        </is>
      </c>
      <c r="F197" s="17" t="inlineStr">
        <is>
          <t>M7020</t>
        </is>
      </c>
      <c r="G197" s="18" t="inlineStr">
        <is>
          <t>Fortuna</t>
        </is>
      </c>
      <c r="H197" s="18" t="inlineStr">
        <is>
          <t>Maybelline</t>
        </is>
      </c>
      <c r="I197" s="18" t="inlineStr">
        <is>
          <t>Maybelline New York Schwarze Wimperntusche für extra Volumen, Volum' Express The Colossal Go Extreme Mascara, Nr. 4 Leather Black, 1 x 9,5 ml</t>
        </is>
      </c>
      <c r="J197" s="18" t="inlineStr">
        <is>
          <t>No</t>
        </is>
      </c>
      <c r="K197" s="18" t="inlineStr">
        <is>
          <t>https://www.amazon.de/Maybelline-Wimperntusche-kolossales-ultra-intensives-Doppel-Pump-Wimpernb%C3%BCrste/dp/B008X1GA6Q/ref=sr_1_1?__mk_de_DE=%C3%85M%C3%85%C5%BD%C3%95%C3%91&amp;crid=2T8EXITVTI8A5&amp;dib=eyJ2IjoiMSJ9.B766x6RBMEDaRhb1bHWNFMQ8pELO7ir8kILf__2c2RQ.GI2I_iah3LECTMIgVrstPUX2i2AcHe8nvR6OEPhbqBI&amp;dib_tag=se&amp;keywords=0000030114319&amp;qid=1749673025&amp;sprefix=0000030114319%2Caps%2C126&amp;sr=8-1&amp;th=1</t>
        </is>
      </c>
      <c r="L197" s="18" t="inlineStr">
        <is>
          <t>B008X1GA6Q</t>
        </is>
      </c>
      <c r="M197" s="19" t="n">
        <v>12.78</v>
      </c>
      <c r="N197" s="19" t="n"/>
      <c r="O197" s="19" t="n">
        <v>11.75</v>
      </c>
      <c r="P197" s="19">
        <f>O197/1.19</f>
        <v/>
      </c>
      <c r="Q197" s="19">
        <f>O197-P197</f>
        <v/>
      </c>
      <c r="R197" s="19">
        <f>O197*0.15</f>
        <v/>
      </c>
      <c r="S197" s="19" t="n">
        <v>5.27</v>
      </c>
      <c r="T197" s="19">
        <f>S197*0.2</f>
        <v/>
      </c>
      <c r="U197" s="19" t="n">
        <v>0.400000000000001</v>
      </c>
      <c r="V197" s="19" t="n">
        <v>2</v>
      </c>
      <c r="W197" s="19">
        <f>V197*0.2</f>
        <v/>
      </c>
      <c r="X197" s="16">
        <f>O197-Q197-R197-S197-U197-V197+T197+W197</f>
        <v/>
      </c>
      <c r="Y197" s="18" t="n"/>
      <c r="Z197" s="19">
        <f>O197+1.5</f>
        <v/>
      </c>
      <c r="AA197" s="19" t="n">
        <v>5.11</v>
      </c>
      <c r="AB197" s="19" t="n">
        <v>2079014</v>
      </c>
      <c r="AC197" s="18" t="n"/>
      <c r="AD197" s="18" t="n"/>
      <c r="AE197" s="13" t="inlineStr">
        <is>
          <t>NOT_UPLOADED</t>
        </is>
      </c>
    </row>
    <row r="198" ht="16" customHeight="1">
      <c r="A198" s="12" t="n">
        <v>3600531143459</v>
      </c>
      <c r="B198" s="12" t="n">
        <v>3600531143459</v>
      </c>
      <c r="C198" s="13" t="n"/>
      <c r="D198" s="14" t="n"/>
      <c r="E198" s="14" t="inlineStr">
        <is>
          <t>FOR-3600531143459</t>
        </is>
      </c>
      <c r="F198" s="12" t="inlineStr">
        <is>
          <t>M7021</t>
        </is>
      </c>
      <c r="G198" s="14" t="inlineStr">
        <is>
          <t>Fortuna</t>
        </is>
      </c>
      <c r="H198" s="14" t="inlineStr">
        <is>
          <t>Maybelline</t>
        </is>
      </c>
      <c r="I198" s="14" t="inlineStr">
        <is>
          <t>Maybelline New York Mascara für Volumen und Definition, Lash Sensational, Very Black, 9,5 ml</t>
        </is>
      </c>
      <c r="J198" s="14" t="inlineStr">
        <is>
          <t>No</t>
        </is>
      </c>
      <c r="K198" s="14" t="inlineStr">
        <is>
          <t>https://www.amazon.de/Maybelline-Sensational-Mascara-01-sehr-schwarz/dp/B00PFCSXD4/ref=sr_1_1?__mk_de_DE=%C3%85M%C3%85%C5%BD%C3%95%C3%91&amp;crid=3R6VOFW4JETTG&amp;dib=eyJ2IjoiMSJ9.TnfabXZrmb_uFB6kZ6OZw7KQ38JCE3smMYOTmq0rulY5-rtPR9B9bj0BlO3QO0cycR9XhNLKQNfpJX3IL2P-USB0-2nAuU0UNQnDJogfVO0.S8I79KH6CKbmFxKdFu0-ivl8Z2eoQSave1EKdU0F5p4&amp;dib_tag=se&amp;keywords=3600531143459&amp;qid=1749673152&amp;sprefix=3600531143459%2Caps%2C132&amp;sr=8-1&amp;th=1</t>
        </is>
      </c>
      <c r="L198" s="14" t="inlineStr">
        <is>
          <t>B00PFCSXD4</t>
        </is>
      </c>
      <c r="M198" s="15" t="n">
        <v>14</v>
      </c>
      <c r="N198" s="15" t="n"/>
      <c r="O198" s="15" t="n">
        <v>13.6</v>
      </c>
      <c r="P198" s="15">
        <f>O198/1.19</f>
        <v/>
      </c>
      <c r="Q198" s="15">
        <f>O198-P198</f>
        <v/>
      </c>
      <c r="R198" s="15">
        <f>O198*0.15</f>
        <v/>
      </c>
      <c r="S198" s="15" t="n">
        <v>6.25</v>
      </c>
      <c r="T198" s="15">
        <f>S198*0.2</f>
        <v/>
      </c>
      <c r="U198" s="15" t="n">
        <v>0.400000000000002</v>
      </c>
      <c r="V198" s="15" t="n">
        <v>2</v>
      </c>
      <c r="W198" s="15">
        <f>V198*0.2</f>
        <v/>
      </c>
      <c r="X198" s="21">
        <f>O198-Q198-R198-S198-U198-V198+T198+W198</f>
        <v/>
      </c>
      <c r="Y198" s="14" t="n"/>
      <c r="Z198" s="15">
        <f>O198+1.5</f>
        <v/>
      </c>
      <c r="AA198" s="15" t="n"/>
      <c r="AB198" s="15" t="n"/>
      <c r="AC198" s="14" t="n"/>
      <c r="AD198" s="14" t="n"/>
      <c r="AE198" s="13" t="inlineStr">
        <is>
          <t>NOT_UPLOADED</t>
        </is>
      </c>
    </row>
    <row r="199" ht="16" customHeight="1">
      <c r="A199" s="17" t="n">
        <v>30166967</v>
      </c>
      <c r="B199" s="17" t="n">
        <v>30166967</v>
      </c>
      <c r="C199" s="13" t="n"/>
      <c r="D199" s="18" t="inlineStr">
        <is>
          <t>UPLOAD APPROVE</t>
        </is>
      </c>
      <c r="E199" s="18" t="inlineStr">
        <is>
          <t>FOR-0000030166967</t>
        </is>
      </c>
      <c r="F199" s="17" t="inlineStr">
        <is>
          <t>M7022</t>
        </is>
      </c>
      <c r="G199" s="18" t="inlineStr">
        <is>
          <t>Fortuna</t>
        </is>
      </c>
      <c r="H199" s="18" t="inlineStr">
        <is>
          <t>Maybelline</t>
        </is>
      </c>
      <c r="I199" s="18" t="inlineStr">
        <is>
          <t>Maybelline New York Schwarze Wimperntusche für extrem lange Wimpern, Lash Sensational Sky High Mascara, Very Black, 7,2 ml</t>
        </is>
      </c>
      <c r="J199" s="18" t="inlineStr">
        <is>
          <t>No</t>
        </is>
      </c>
      <c r="K199" s="18" t="inlineStr">
        <is>
          <t>https://www.amazon.de/Maybelline-Schwarze-Wimperntusche-Wimpern-Sensational/dp/B08P4YPB8Q/ref=sr_1_1?__mk_de_DE=%C3%85M%C3%85%C5%BD%C3%95%C3%91&amp;crid=K1QXMU6VK8MM&amp;dib=eyJ2IjoiMSJ9.EiOYvltSGcc_3Jfh9KId4BtfSAH_U0fjjLV4v2s0bJYtYYs6i86KmWFtpMyJ1Rls96ZdyGXmTt_0MHg3uFewaQRfzk6ywJNGkp7xgf5aBo_Zxsqm72i9lXSxAYAGzAXt.d4T7En_Z92klYmoSZ_4JYATkWa7rohPNcX6BqjFyLps&amp;dib_tag=se&amp;keywords=000030166967&amp;qid=1749673464&amp;rdc=1&amp;sprefix=000030166967%2Caps%2C128&amp;sr=8-1&amp;th=1</t>
        </is>
      </c>
      <c r="L199" s="18" t="inlineStr">
        <is>
          <t>B08P4YPB8Q</t>
        </is>
      </c>
      <c r="M199" s="19" t="n">
        <v>16.44</v>
      </c>
      <c r="N199" s="19" t="n"/>
      <c r="O199" s="19" t="n">
        <v>14.7</v>
      </c>
      <c r="P199" s="19">
        <f>O199/1.19</f>
        <v/>
      </c>
      <c r="Q199" s="19">
        <f>O199-P199</f>
        <v/>
      </c>
      <c r="R199" s="19">
        <f>O199*0.15</f>
        <v/>
      </c>
      <c r="S199" s="19" t="n">
        <v>7.41</v>
      </c>
      <c r="T199" s="19">
        <f>S199*0.2</f>
        <v/>
      </c>
      <c r="U199" s="19" t="n">
        <v>0.400000000000002</v>
      </c>
      <c r="V199" s="19" t="n">
        <v>2</v>
      </c>
      <c r="W199" s="19">
        <f>V199*0.2</f>
        <v/>
      </c>
      <c r="X199" s="21">
        <f>O199-Q199-R199-S199-U199-V199+T199+W199</f>
        <v/>
      </c>
      <c r="Y199" s="18" t="n"/>
      <c r="Z199" s="19">
        <f>O199+1.5</f>
        <v/>
      </c>
      <c r="AA199" s="19" t="n"/>
      <c r="AB199" s="19" t="n"/>
      <c r="AC199" s="18" t="n"/>
      <c r="AD199" s="18" t="n"/>
      <c r="AE199" s="13" t="inlineStr">
        <is>
          <t>NOT_UPLOADED</t>
        </is>
      </c>
    </row>
    <row r="200" ht="16" customHeight="1">
      <c r="A200" s="12" t="n">
        <v>30164420</v>
      </c>
      <c r="B200" s="12" t="n">
        <v>30166967</v>
      </c>
      <c r="C200" s="13" t="n"/>
      <c r="D200" s="14" t="inlineStr">
        <is>
          <t>CHANGE PRICE 01.03</t>
        </is>
      </c>
      <c r="E200" s="14" t="inlineStr">
        <is>
          <t>FOR-0000030164420</t>
        </is>
      </c>
      <c r="F200" s="12" t="inlineStr">
        <is>
          <t>M7022</t>
        </is>
      </c>
      <c r="G200" s="14" t="inlineStr">
        <is>
          <t>Fortuna</t>
        </is>
      </c>
      <c r="H200" s="14" t="inlineStr">
        <is>
          <t>Maybelline</t>
        </is>
      </c>
      <c r="I200" s="14" t="inlineStr">
        <is>
          <t>Maybelline New York Mascara for Volume and Length, Sky High - Very Black, 7.2 ml</t>
        </is>
      </c>
      <c r="J200" s="14" t="inlineStr">
        <is>
          <t>No</t>
        </is>
      </c>
      <c r="K200" s="14" t="inlineStr">
        <is>
          <t>https://www.amazon.de/-/en/Maybelline-York-Mascara-Length-High/dp/B08QFK83F3/ref=sr_1_2?crid=3Q84P8B4CBEQF&amp;dib=eyJ2IjoiMSJ9.gbDXlxTL-DKoOoBAQAntr4dvZLrL5I-I2g8QQhJv073IiHb1LVzgUCSuRMfTfSf0PxwAHjnKiCvnHOF9zb4vi7-0LQEsX2XwwZViJLMLe8l73EbQm3y1Q646xS8yE5QYm3MF69jHwBj1xqMJo1HAyR5KVR3aHEeEj_yHpfzsrI_alkYskpPY4pLqqmUwRCVgaVEhGzWvhfQTTc_MJIB9CRQ3ACEkeIAgMCF54H2Hh1ToxWbWQBTE5yppTkt_Zf7yvHYJhdBVd-A4HyRuE9IdumL0QUMsOaySkLTs0El7JPo.kedvlvtwhF7ECdWsyaII24Ixd1uJDNkAn1LLS1sVEXo&amp;dib_tag=se&amp;keywords=MAYBELLINE+NEW+YORK+SKY+HIGH&amp;qid=1752938464&amp;sprefix=maybelline+new+york+sky+high%2Caps%2C176&amp;sr=8-2</t>
        </is>
      </c>
      <c r="L200" s="14" t="inlineStr">
        <is>
          <t>B08QFK83F3</t>
        </is>
      </c>
      <c r="M200" s="15" t="n"/>
      <c r="N200" s="15" t="n"/>
      <c r="O200" s="15" t="n">
        <v>12.5</v>
      </c>
      <c r="P200" s="15">
        <f>O200/1.19</f>
        <v/>
      </c>
      <c r="Q200" s="15">
        <f>O200-P200</f>
        <v/>
      </c>
      <c r="R200" s="15">
        <f>O200*0.15</f>
        <v/>
      </c>
      <c r="S200" s="15" t="n">
        <v>5.41</v>
      </c>
      <c r="T200" s="15">
        <f>S200*0.2</f>
        <v/>
      </c>
      <c r="U200" s="15" t="n">
        <v>0.400000000000002</v>
      </c>
      <c r="V200" s="15" t="n">
        <v>1.92</v>
      </c>
      <c r="W200" s="15">
        <f>V200*0.2</f>
        <v/>
      </c>
      <c r="X200" s="21">
        <f>O200-Q200-R200-S200-U200-V200+T200+W200</f>
        <v/>
      </c>
      <c r="Y200" s="14" t="n"/>
      <c r="Z200" s="15">
        <f>O200+1.5</f>
        <v/>
      </c>
      <c r="AA200" s="15" t="n">
        <v>8.51</v>
      </c>
      <c r="AB200" s="15" t="n"/>
      <c r="AC200" s="14" t="n"/>
      <c r="AD200" s="14" t="n"/>
      <c r="AE200" s="13" t="inlineStr">
        <is>
          <t>NOT_UPLOADED</t>
        </is>
      </c>
    </row>
    <row r="201" ht="16" customHeight="1">
      <c r="A201" s="17" t="n">
        <v>3600531143657</v>
      </c>
      <c r="B201" s="17" t="n">
        <v>3600531143657</v>
      </c>
      <c r="C201" s="20" t="inlineStr">
        <is>
          <t>DM shop BP</t>
        </is>
      </c>
      <c r="D201" s="18" t="n"/>
      <c r="E201" s="18" t="inlineStr">
        <is>
          <t>FOR-3600531143657</t>
        </is>
      </c>
      <c r="F201" s="17" t="inlineStr">
        <is>
          <t>M7023</t>
        </is>
      </c>
      <c r="G201" s="18" t="inlineStr">
        <is>
          <t>Fortuna</t>
        </is>
      </c>
      <c r="H201" s="18" t="inlineStr">
        <is>
          <t>Maybelline</t>
        </is>
      </c>
      <c r="I201" s="18" t="inlineStr">
        <is>
          <t>2 x Maybelline Lash Sensational Full Fan Effect Mascara Black Waterproof 9.5ml</t>
        </is>
      </c>
      <c r="J201" s="18" t="inlineStr">
        <is>
          <t>No</t>
        </is>
      </c>
      <c r="K201" s="18" t="inlineStr">
        <is>
          <t>https://www.amazon.de/Maybelline-Sensational-Effect-Mascara-New/dp/B08RXCT29K/ref=sr_1_1?__mk_de_DE=%C3%85M%C3%85%C5%BD%C3%95%C3%91&amp;crid=2J7TAA2QWB74X&amp;dib=eyJ2IjoiMSJ9.p2gQEmiJnGTQ5rTyqveklOfuHF_wOV060FfHn0EPu6A.0mXtiY17k4gHIhPxRi_N5ugXLnzvYpfl1M5Odfh2yGU&amp;dib_tag=se&amp;keywords=3600531143657&amp;qid=1749673664&amp;sprefix=3600531143657%2Caps%2C148&amp;sr=8-1</t>
        </is>
      </c>
      <c r="L201" s="18" t="inlineStr">
        <is>
          <t>B08RXCT29K</t>
        </is>
      </c>
      <c r="M201" s="19" t="n">
        <v>23.92</v>
      </c>
      <c r="N201" s="19" t="n"/>
      <c r="O201" s="19" t="n">
        <v>12.95</v>
      </c>
      <c r="P201" s="19">
        <f>O201/1.19</f>
        <v/>
      </c>
      <c r="Q201" s="19">
        <f>O201-P201</f>
        <v/>
      </c>
      <c r="R201" s="19">
        <f>O201*0.15</f>
        <v/>
      </c>
      <c r="S201" s="19" t="n">
        <v>6.26</v>
      </c>
      <c r="T201" s="19">
        <f>S201*0.2</f>
        <v/>
      </c>
      <c r="U201" s="19" t="n">
        <v>0.400000000000002</v>
      </c>
      <c r="V201" s="19" t="n">
        <v>2.4</v>
      </c>
      <c r="W201" s="19">
        <f>V201*0.2</f>
        <v/>
      </c>
      <c r="X201" s="16">
        <f>O201-Q201-R201-S201-U201-V201+T201+W201</f>
        <v/>
      </c>
      <c r="Y201" s="18" t="n"/>
      <c r="Z201" s="19">
        <f>O201+1.5</f>
        <v/>
      </c>
      <c r="AA201" s="19" t="n">
        <v>10.21</v>
      </c>
      <c r="AB201" s="19" t="n"/>
      <c r="AC201" s="18" t="n"/>
      <c r="AD201" s="18" t="n"/>
      <c r="AE201" s="13" t="inlineStr">
        <is>
          <t>NOT_UPLOADED</t>
        </is>
      </c>
    </row>
    <row r="202" ht="16" customHeight="1">
      <c r="A202" s="12" t="n">
        <v>3600531143657</v>
      </c>
      <c r="B202" s="12" t="n">
        <v>3600531143657</v>
      </c>
      <c r="C202" s="20" t="inlineStr">
        <is>
          <t>DM shop BP</t>
        </is>
      </c>
      <c r="D202" s="14" t="n"/>
      <c r="E202" s="14" t="inlineStr">
        <is>
          <t>FOR-03600531143657</t>
        </is>
      </c>
      <c r="F202" s="12" t="inlineStr">
        <is>
          <t>M7023</t>
        </is>
      </c>
      <c r="G202" s="14" t="inlineStr">
        <is>
          <t>Fortuna</t>
        </is>
      </c>
      <c r="H202" s="14" t="inlineStr">
        <is>
          <t>Maybelline</t>
        </is>
      </c>
      <c r="I202" s="14" t="inlineStr">
        <is>
          <t>Maybelline New York Lash Sensational Full Eyelash Fan Mascara in Very Black Waterproof, 1 piece</t>
        </is>
      </c>
      <c r="J202" s="14" t="inlineStr">
        <is>
          <t>No</t>
        </is>
      </c>
      <c r="K202" s="14" t="inlineStr">
        <is>
          <t>https://www.amazon.de/Sensational-Lash-Mascara-Very-WTP/dp/B00VP2SSFG/ref=sr_1_1?__mk_de_DE=%C3%85M%C3%85%C5%BD%C3%95%C3%91&amp;crid=2EHV4CA5CJ1KX&amp;dib=eyJ2IjoiMSJ9.v2ncuXmstbYak5WgiVkpjg.Wqnmicr1eoBwRv2EN1fIeKQA_9AE0xHRshroEygEx94&amp;dib_tag=se&amp;keywords=B00VP2SSFG&amp;qid=1752954866&amp;rdc=1&amp;sprefix=b00vp2ssfg%2Caps%2C128&amp;sr=8-1</t>
        </is>
      </c>
      <c r="L202" s="14" t="inlineStr">
        <is>
          <t>B00VP2SSFG</t>
        </is>
      </c>
      <c r="M202" s="15" t="n">
        <v>14.01</v>
      </c>
      <c r="N202" s="15" t="n"/>
      <c r="O202" s="15" t="n">
        <v>11.65</v>
      </c>
      <c r="P202" s="15">
        <f>O202/1.19</f>
        <v/>
      </c>
      <c r="Q202" s="15">
        <f>O202-P202</f>
        <v/>
      </c>
      <c r="R202" s="15">
        <f>O202*0.15</f>
        <v/>
      </c>
      <c r="S202" s="15" t="n">
        <v>6.26</v>
      </c>
      <c r="T202" s="15">
        <f>S202*0.2</f>
        <v/>
      </c>
      <c r="U202" s="15" t="n">
        <v>0.400000000000002</v>
      </c>
      <c r="V202" s="15" t="n">
        <v>1.92</v>
      </c>
      <c r="W202" s="15">
        <f>V202*0.2</f>
        <v/>
      </c>
      <c r="X202" s="16">
        <f>O202-Q202-R202-S202-U202-V202+T202+W202</f>
        <v/>
      </c>
      <c r="Y202" s="14" t="n"/>
      <c r="Z202" s="15">
        <f>O202+1.5</f>
        <v/>
      </c>
      <c r="AA202" s="15" t="n">
        <v>5.11</v>
      </c>
      <c r="AB202" s="15" t="n"/>
      <c r="AC202" s="14" t="n">
        <v>1459718</v>
      </c>
      <c r="AD202" s="14" t="n"/>
      <c r="AE202" s="13" t="inlineStr">
        <is>
          <t>NOT_UPLOADED</t>
        </is>
      </c>
    </row>
    <row r="203" ht="16" customHeight="1">
      <c r="A203" s="17" t="n">
        <v>3600531320065</v>
      </c>
      <c r="B203" s="17" t="n">
        <v>3600531320065</v>
      </c>
      <c r="C203" s="20" t="inlineStr">
        <is>
          <t>DM shop BP</t>
        </is>
      </c>
      <c r="D203" s="18" t="n"/>
      <c r="E203" s="18" t="inlineStr">
        <is>
          <t>FOR-3600531320065</t>
        </is>
      </c>
      <c r="F203" s="17" t="inlineStr">
        <is>
          <t>M7025</t>
        </is>
      </c>
      <c r="G203" s="18" t="inlineStr">
        <is>
          <t>Fortuna</t>
        </is>
      </c>
      <c r="H203" s="18" t="inlineStr">
        <is>
          <t>Maybelline</t>
        </is>
      </c>
      <c r="I203" s="18" t="inlineStr">
        <is>
          <t>Maybelline New York Mascara für Volumen und Definition, Lash Sensational Luscious, Very Black, 9,5 ml</t>
        </is>
      </c>
      <c r="J203" s="18" t="inlineStr">
        <is>
          <t>No</t>
        </is>
      </c>
      <c r="K203" s="18" t="inlineStr">
        <is>
          <t>https://www.amazon.de/Maybelline-Sensational-Luscious-Mascara-Schwarz/dp/B01BP0VPUM/ref=sr_1_1?__mk_de_DE=%C3%85M%C3%85%C5%BD%C3%95%C3%91&amp;crid=3G7YH00AB91V0&amp;dib=eyJ2IjoiMSJ9.UDHalRledBalaPJRrs6l8pGOYNOqaRNd8ETa6WKj2O_l2Gvfv1oS6oENtEOlp-Wu.5psiC9gZymmebeNooWx3Xq1o96A-kWjMJosTSajB0Yg&amp;dib_tag=se&amp;keywords=3600531320065&amp;qid=1749673847&amp;sprefix=3600531320065%2Caps%2C126&amp;sr=8-1&amp;th=1</t>
        </is>
      </c>
      <c r="L203" s="18" t="inlineStr">
        <is>
          <t>B01BP0VPUM</t>
        </is>
      </c>
      <c r="M203" s="19" t="n">
        <v>14</v>
      </c>
      <c r="N203" s="19" t="n"/>
      <c r="O203" s="19" t="n">
        <v>11.7</v>
      </c>
      <c r="P203" s="19">
        <f>O203/1.19</f>
        <v/>
      </c>
      <c r="Q203" s="19">
        <f>O203-P203</f>
        <v/>
      </c>
      <c r="R203" s="19">
        <f>O203*0.15</f>
        <v/>
      </c>
      <c r="S203" s="19" t="n">
        <v>4.91</v>
      </c>
      <c r="T203" s="19">
        <f>S203*0.2</f>
        <v/>
      </c>
      <c r="U203" s="19" t="n">
        <v>0.400000000000002</v>
      </c>
      <c r="V203" s="19" t="n">
        <v>2</v>
      </c>
      <c r="W203" s="19">
        <f>V203*0.2</f>
        <v/>
      </c>
      <c r="X203" s="21">
        <f>O203-Q203-R203-S203-U203-V203+T203+W203</f>
        <v/>
      </c>
      <c r="Y203" s="18" t="n"/>
      <c r="Z203" s="19">
        <f>O203+1.5</f>
        <v/>
      </c>
      <c r="AA203" s="19" t="n"/>
      <c r="AB203" s="19" t="n"/>
      <c r="AC203" s="18" t="n"/>
      <c r="AD203" s="18" t="n"/>
      <c r="AE203" s="13" t="inlineStr">
        <is>
          <t>NOT_UPLOADED</t>
        </is>
      </c>
    </row>
    <row r="204" ht="16" customHeight="1">
      <c r="A204" s="12" t="n">
        <v>30143401</v>
      </c>
      <c r="B204" s="12" t="n">
        <v>30143401</v>
      </c>
      <c r="C204" s="13" t="n"/>
      <c r="D204" s="14" t="n"/>
      <c r="E204" s="14" t="inlineStr">
        <is>
          <t>FOR-3600531224516</t>
        </is>
      </c>
      <c r="F204" s="12" t="inlineStr">
        <is>
          <t>M7030</t>
        </is>
      </c>
      <c r="G204" s="14" t="inlineStr">
        <is>
          <t>Fortuna</t>
        </is>
      </c>
      <c r="H204" s="14" t="inlineStr">
        <is>
          <t>Maybelline</t>
        </is>
      </c>
      <c r="I204" s="14" t="inlineStr">
        <is>
          <t>Maybelline Mascaras</t>
        </is>
      </c>
      <c r="J204" s="14" t="inlineStr">
        <is>
          <t>No</t>
        </is>
      </c>
      <c r="K204" s="14" t="inlineStr">
        <is>
          <t>https://www.amazon.de/Maybelline-New-York-Mascara-Bolder/dp/B07CGYK9RM/ref=sr_1_1?__mk_de_DE=%C3%85M%C3%85%C5%BD%C3%95%C3%91&amp;crid=2XVG389S2P5SO&amp;dib=eyJ2IjoiMSJ9.40g5rkTvY9pVcgCXlNJvSg.vu5Zy7Z511MPlW8dlqGytL4bNfGQFxPUTYOkA6zabDs&amp;dib_tag=se&amp;keywords=000030143401&amp;qid=1749674015&amp;sprefix=000030143401%2Caps%2C85&amp;sr=8-1</t>
        </is>
      </c>
      <c r="L204" s="14" t="inlineStr">
        <is>
          <t>B07CGYK9RM</t>
        </is>
      </c>
      <c r="M204" s="15" t="n">
        <v>12.78</v>
      </c>
      <c r="N204" s="15" t="n"/>
      <c r="O204" s="15" t="n">
        <v>11.95</v>
      </c>
      <c r="P204" s="15">
        <f>O204/1.19</f>
        <v/>
      </c>
      <c r="Q204" s="15">
        <f>O204-P204</f>
        <v/>
      </c>
      <c r="R204" s="15">
        <f>O204*0.15</f>
        <v/>
      </c>
      <c r="S204" s="15" t="n">
        <v>4.91</v>
      </c>
      <c r="T204" s="15">
        <f>S204*0.2</f>
        <v/>
      </c>
      <c r="U204" s="15" t="n">
        <v>0.400000000000002</v>
      </c>
      <c r="V204" s="15" t="n">
        <v>2</v>
      </c>
      <c r="W204" s="15">
        <f>V204*0.2</f>
        <v/>
      </c>
      <c r="X204" s="21">
        <f>O204-Q204-R204-S204-U204-V204+T204+W204</f>
        <v/>
      </c>
      <c r="Y204" s="14" t="n"/>
      <c r="Z204" s="15">
        <f>O204+1.5</f>
        <v/>
      </c>
      <c r="AA204" s="15" t="n"/>
      <c r="AB204" s="15" t="n"/>
      <c r="AC204" s="14" t="n"/>
      <c r="AD204" s="14" t="n"/>
      <c r="AE204" s="13" t="inlineStr">
        <is>
          <t>NOT_UPLOADED</t>
        </is>
      </c>
    </row>
    <row r="205" ht="16" customHeight="1">
      <c r="A205" s="17" t="n">
        <v>30143418</v>
      </c>
      <c r="B205" s="17" t="n">
        <v>30143401</v>
      </c>
      <c r="C205" s="13" t="n"/>
      <c r="D205" s="18" t="n"/>
      <c r="E205" s="18" t="inlineStr">
        <is>
          <t>FOR-0000030143418</t>
        </is>
      </c>
      <c r="F205" s="17" t="inlineStr">
        <is>
          <t>M7030</t>
        </is>
      </c>
      <c r="G205" s="18" t="inlineStr">
        <is>
          <t>Fortuna</t>
        </is>
      </c>
      <c r="H205" s="18" t="inlineStr">
        <is>
          <t>Maybelline</t>
        </is>
      </c>
      <c r="I205" s="18" t="inlineStr">
        <is>
          <t>Maybelline New York Mascara für Volumen, Volum'Express The Colossal Big Shot, Daring Black, 9,5 ml</t>
        </is>
      </c>
      <c r="J205" s="18" t="inlineStr">
        <is>
          <t>No</t>
        </is>
      </c>
      <c r="K205" s="18" t="inlineStr">
        <is>
          <t>https://www.amazon.de/Maybelline-Express-Colossal-Mascara-schwarz/dp/B077PQN2QB/ref=sr_1_1?__mk_de_DE=%C3%85M%C3%85%C5%BD%C3%95%C3%91&amp;crid=QZ0ZK3YX2AHE&amp;dib=eyJ2IjoiMSJ9.BLc-snUOHUt7Hdy-vAHAtQ.VR-pvZTTzxLl5Y_PCT7w4cjVf_Fd1cvyGuBOVDtRn00&amp;dib_tag=se&amp;keywords=B077PQN2QB&amp;qid=1752956377&amp;sprefix=b077pqn2qb%2Caps%2C167&amp;sr=8-1</t>
        </is>
      </c>
      <c r="L205" s="18" t="inlineStr">
        <is>
          <t>B077PQN2QB</t>
        </is>
      </c>
      <c r="M205" s="19" t="n"/>
      <c r="N205" s="19" t="n"/>
      <c r="O205" s="19" t="n">
        <v>11.2</v>
      </c>
      <c r="P205" s="19">
        <f>O205/1.19</f>
        <v/>
      </c>
      <c r="Q205" s="19">
        <f>O205-P205</f>
        <v/>
      </c>
      <c r="R205" s="19">
        <f>O205*0.15</f>
        <v/>
      </c>
      <c r="S205" s="19" t="n">
        <v>5.28</v>
      </c>
      <c r="T205" s="19">
        <f>S205*0.2</f>
        <v/>
      </c>
      <c r="U205" s="19" t="n">
        <v>0.400000000000002</v>
      </c>
      <c r="V205" s="19" t="n">
        <v>2</v>
      </c>
      <c r="W205" s="19">
        <f>V205*0.2</f>
        <v/>
      </c>
      <c r="X205" s="16">
        <f>O205-Q205-R205-S205-U205-V205+T205+W205</f>
        <v/>
      </c>
      <c r="Y205" s="18" t="n"/>
      <c r="Z205" s="19">
        <f>O205+1.5</f>
        <v/>
      </c>
      <c r="AA205" s="19" t="n"/>
      <c r="AB205" s="19" t="n"/>
      <c r="AC205" s="18" t="n"/>
      <c r="AD205" s="18" t="n"/>
      <c r="AE205" s="13" t="inlineStr">
        <is>
          <t>NOT_UPLOADED</t>
        </is>
      </c>
    </row>
    <row r="206" ht="16" customHeight="1">
      <c r="A206" s="12" t="n">
        <v>3600531584702</v>
      </c>
      <c r="B206" s="12" t="n">
        <v>3600531584696</v>
      </c>
      <c r="C206" s="13" t="n"/>
      <c r="D206" s="14" t="n"/>
      <c r="E206" s="14" t="inlineStr">
        <is>
          <t>FOR-3600531584702</t>
        </is>
      </c>
      <c r="F206" s="12" t="inlineStr">
        <is>
          <t>M7036</t>
        </is>
      </c>
      <c r="G206" s="14" t="inlineStr">
        <is>
          <t>Fortuna</t>
        </is>
      </c>
      <c r="H206" s="14" t="inlineStr">
        <is>
          <t>Maybelline</t>
        </is>
      </c>
      <c r="I206" s="14" t="inlineStr">
        <is>
          <t>Maybelline The Falsies Lash Lift Mascara - 01 Black - Zwart - Volume Mascara</t>
        </is>
      </c>
      <c r="J206" s="14" t="inlineStr">
        <is>
          <t>No</t>
        </is>
      </c>
      <c r="K206" s="14" t="inlineStr">
        <is>
          <t>https://www.amazon.de/-/en/Maybelline-Falsies-Lash-Lift-Mascara/dp/B081J8JSG1/ref=sr_1_1?crid=E8KH1TJEVJ4J&amp;dib=eyJ2IjoiMSJ9.WbDzQU4XLHU8oadXskgqIw.jEY3z1Al4SsezOqtzG35qpNiFS5VJeCjl1HGSJ-yEOM&amp;dib_tag=se&amp;keywords=B081J8JSG1&amp;qid=1757088364&amp;s=beauty&amp;sprefix=b081j8jsg1%2Cbeauty%2C309&amp;sr=1-1</t>
        </is>
      </c>
      <c r="L206" s="14" t="inlineStr">
        <is>
          <t>B081J8JSG1</t>
        </is>
      </c>
      <c r="M206" s="15" t="n"/>
      <c r="N206" s="15" t="n"/>
      <c r="O206" s="15" t="n">
        <v>14.9</v>
      </c>
      <c r="P206" s="15">
        <f>O206/1.19</f>
        <v/>
      </c>
      <c r="Q206" s="15">
        <f>O206-P206</f>
        <v/>
      </c>
      <c r="R206" s="15">
        <f>O206*0.15</f>
        <v/>
      </c>
      <c r="S206" s="15" t="n">
        <v>6.59</v>
      </c>
      <c r="T206" s="15">
        <f>S206*0.2</f>
        <v/>
      </c>
      <c r="U206" s="15" t="n">
        <v>0.400000000000002</v>
      </c>
      <c r="V206" s="15" t="n">
        <v>2</v>
      </c>
      <c r="W206" s="15">
        <f>V206*0.2</f>
        <v/>
      </c>
      <c r="X206" s="21">
        <f>O206-Q206-R206-S206-U206-V206+T206+W206</f>
        <v/>
      </c>
      <c r="Y206" s="14" t="n"/>
      <c r="Z206" s="15">
        <f>O206+1.5</f>
        <v/>
      </c>
      <c r="AA206" s="15" t="n">
        <v>6.6</v>
      </c>
      <c r="AB206" s="15" t="n"/>
      <c r="AC206" s="14" t="n">
        <v>1624084</v>
      </c>
      <c r="AD206" s="14" t="n"/>
      <c r="AE206" s="13" t="inlineStr">
        <is>
          <t>NOT_UPLOADED</t>
        </is>
      </c>
    </row>
    <row r="207" ht="16" customHeight="1">
      <c r="A207" s="17" t="n">
        <v>3600531584696</v>
      </c>
      <c r="B207" s="17" t="n">
        <v>3600531584696</v>
      </c>
      <c r="C207" s="13" t="n"/>
      <c r="D207" s="18" t="n"/>
      <c r="E207" s="18" t="inlineStr">
        <is>
          <t>FOR-3600531584696</t>
        </is>
      </c>
      <c r="F207" s="17" t="inlineStr">
        <is>
          <t>M7036</t>
        </is>
      </c>
      <c r="G207" s="18" t="inlineStr">
        <is>
          <t>Fortuna</t>
        </is>
      </c>
      <c r="H207" s="18" t="inlineStr">
        <is>
          <t>Maybelline</t>
        </is>
      </c>
      <c r="I207" s="18" t="inlineStr">
        <is>
          <t>Maybelline New York Mascara mit Falsche-Wimpern-Effekt, Falsies Lash Lift, 01 Black, 9,6 ml</t>
        </is>
      </c>
      <c r="J207" s="18" t="inlineStr">
        <is>
          <t>No</t>
        </is>
      </c>
      <c r="K207" s="18" t="inlineStr">
        <is>
          <t>https://www.amazon.de/Maybelline-New-York-Falsies-Mascara/dp/B0816Q532Y/ref=sr_1_1?__mk_de_DE=%C3%85M%C3%85%C5%BD%C3%95%C3%91&amp;crid=2X481H67ORXXW&amp;dib=eyJ2IjoiMSJ9.ZkaqNyNC1Y8Qs4I40bwnjyzgOt5DM9o7Ox7G-aahp_XGjHj071QN20LucGBJIEps.QzUVTbyW0u17DSJaDyYoOCekPcpjUfol6FgzIPr0Sls&amp;dib_tag=se&amp;keywords=3600531584696&amp;qid=1749674301&amp;sprefix=3600531584696%2Caps%2C117&amp;sr=8-1&amp;th=1</t>
        </is>
      </c>
      <c r="L207" s="18" t="inlineStr">
        <is>
          <t>B0816Q532Y</t>
        </is>
      </c>
      <c r="M207" s="19" t="n">
        <v>15.84</v>
      </c>
      <c r="N207" s="19" t="n"/>
      <c r="O207" s="19" t="n">
        <v>14.4</v>
      </c>
      <c r="P207" s="19">
        <f>O207/1.19</f>
        <v/>
      </c>
      <c r="Q207" s="19">
        <f>O207-P207</f>
        <v/>
      </c>
      <c r="R207" s="19">
        <f>O207*0.15</f>
        <v/>
      </c>
      <c r="S207" s="19" t="n">
        <v>6.59</v>
      </c>
      <c r="T207" s="19">
        <f>S207*0.2</f>
        <v/>
      </c>
      <c r="U207" s="19" t="n">
        <v>0.400000000000002</v>
      </c>
      <c r="V207" s="19" t="n">
        <v>2</v>
      </c>
      <c r="W207" s="19">
        <f>V207*0.2</f>
        <v/>
      </c>
      <c r="X207" s="21">
        <f>O207-Q207-R207-S207-U207-V207+T207+W207</f>
        <v/>
      </c>
      <c r="Y207" s="18" t="n"/>
      <c r="Z207" s="19">
        <f>O207+1.5</f>
        <v/>
      </c>
      <c r="AA207" s="19" t="n">
        <v>6.6</v>
      </c>
      <c r="AB207" s="19" t="n"/>
      <c r="AC207" s="18" t="n">
        <v>1624084</v>
      </c>
      <c r="AD207" s="18" t="n"/>
      <c r="AE207" s="13" t="inlineStr">
        <is>
          <t>NOT_UPLOADED</t>
        </is>
      </c>
    </row>
    <row r="208" ht="16" customHeight="1">
      <c r="A208" s="12" t="n">
        <v>3600531608729</v>
      </c>
      <c r="B208" s="12" t="n">
        <v>3600531608729</v>
      </c>
      <c r="C208" s="13" t="n"/>
      <c r="D208" s="14" t="n"/>
      <c r="E208" s="14" t="inlineStr">
        <is>
          <t>FOR-3600531608729</t>
        </is>
      </c>
      <c r="F208" s="12" t="inlineStr">
        <is>
          <t>M7037</t>
        </is>
      </c>
      <c r="G208" s="14" t="inlineStr">
        <is>
          <t>Fortuna</t>
        </is>
      </c>
      <c r="H208" s="14" t="inlineStr">
        <is>
          <t>Maybelline</t>
        </is>
      </c>
      <c r="I208" s="14" t="inlineStr">
        <is>
          <t>Maybelline New York Mascara für Volumen und Definition, Lash Sensational, Burgundy Brown, 9,5 ml</t>
        </is>
      </c>
      <c r="J208" s="14" t="inlineStr">
        <is>
          <t>No</t>
        </is>
      </c>
      <c r="K208" s="14" t="inlineStr">
        <is>
          <t>https://www.amazon.de/Maybelline-Sensational-Voller-Wimpern-F%C3%A4cher-Mascara-Burgundy/dp/B085SFJZ7R/ref=sr_1_1?__mk_de_DE=%C3%85M%C3%85%C5%BD%C3%95%C3%91&amp;crid=B2V6KIHUA576&amp;dib=eyJ2IjoiMSJ9.ddo5VpkhrDI44yaob1Dnqg.8isW0gxtQUo5GFWEsJ_LK877Y9k0a9aQyooMcrGqMqQ&amp;dib_tag=se&amp;keywords=3600531608729&amp;qid=1749674504&amp;rdc=1&amp;sprefix=3600531608729%2Caps%2C79&amp;sr=8-1&amp;th=1</t>
        </is>
      </c>
      <c r="L208" s="14" t="inlineStr">
        <is>
          <t>B085SFJZ7R</t>
        </is>
      </c>
      <c r="M208" s="15" t="n">
        <v>14</v>
      </c>
      <c r="N208" s="15" t="n"/>
      <c r="O208" s="15" t="n">
        <v>13.2</v>
      </c>
      <c r="P208" s="15">
        <f>O208/1.19</f>
        <v/>
      </c>
      <c r="Q208" s="15">
        <f>O208-P208</f>
        <v/>
      </c>
      <c r="R208" s="15">
        <f>O208*0.15</f>
        <v/>
      </c>
      <c r="S208" s="15" t="n">
        <v>6.25</v>
      </c>
      <c r="T208" s="15">
        <f>S208*0.2</f>
        <v/>
      </c>
      <c r="U208" s="15" t="n">
        <v>0.400000000000002</v>
      </c>
      <c r="V208" s="15" t="n">
        <v>2</v>
      </c>
      <c r="W208" s="15">
        <f>V208*0.2</f>
        <v/>
      </c>
      <c r="X208" s="21">
        <f>O208-Q208-R208-S208-U208-V208+T208+W208</f>
        <v/>
      </c>
      <c r="Y208" s="14" t="n"/>
      <c r="Z208" s="15">
        <f>O208+1.5</f>
        <v/>
      </c>
      <c r="AA208" s="15" t="n">
        <v>5.11</v>
      </c>
      <c r="AB208" s="15" t="n"/>
      <c r="AC208" s="14" t="n"/>
      <c r="AD208" s="14" t="n"/>
      <c r="AE208" s="13" t="inlineStr">
        <is>
          <t>NOT_UPLOADED</t>
        </is>
      </c>
    </row>
    <row r="209" ht="16" customHeight="1">
      <c r="A209" s="17" t="n">
        <v>3600531629106</v>
      </c>
      <c r="B209" s="17" t="n">
        <v>3600531629106</v>
      </c>
      <c r="C209" s="13" t="n"/>
      <c r="D209" s="18" t="n"/>
      <c r="E209" s="18" t="inlineStr">
        <is>
          <t>FOR-3600531629106</t>
        </is>
      </c>
      <c r="F209" s="17" t="inlineStr">
        <is>
          <t>M7038</t>
        </is>
      </c>
      <c r="G209" s="18" t="inlineStr">
        <is>
          <t>Fortuna</t>
        </is>
      </c>
      <c r="H209" s="18" t="inlineStr">
        <is>
          <t>Maybelline</t>
        </is>
      </c>
      <c r="I209" s="18" t="inlineStr">
        <is>
          <t>Maybelline New York Mascara mit Falsche Wimpern Effekt, Schwarze Wimperntusche mit Fasern, Falsies Lash Lift, Nr. 01 Ultra Black, 1 x 9,6 ml</t>
        </is>
      </c>
      <c r="J209" s="18" t="inlineStr">
        <is>
          <t>No</t>
        </is>
      </c>
      <c r="K209" s="18" t="inlineStr">
        <is>
          <t>https://www.amazon.de/Maybelline-Mascara-Falsche-Schwarze-Wimperntusche/dp/B08NVLV2L9/ref=sr_1_1?__mk_de_DE=%C3%85M%C3%85%C5%BD%C3%95%C3%91&amp;crid=2J4G0FGZOT87&amp;dib=eyJ2IjoiMSJ9.gLL7MiYtWCfO_1xioIGF3F3xzJO7pUGBl5fWbTvhFHCR-B_7Lh2ThRpX8CuRmIJD.p5El1L47lDfk4nfkFzzqLPwGzhQYD8FvGM2ql7g4zfQ&amp;dib_tag=se&amp;keywords=3600531629106&amp;qid=1749674625&amp;sprefix=3600531629106%2Caps%2C139&amp;sr=8-1&amp;th=1</t>
        </is>
      </c>
      <c r="L209" s="18" t="inlineStr">
        <is>
          <t>B08NVLV2L9</t>
        </is>
      </c>
      <c r="M209" s="19" t="n">
        <v>15.84</v>
      </c>
      <c r="N209" s="19" t="n"/>
      <c r="O209" s="19" t="n">
        <v>14.77</v>
      </c>
      <c r="P209" s="19">
        <f>O209/1.19</f>
        <v/>
      </c>
      <c r="Q209" s="19">
        <f>O209-P209</f>
        <v/>
      </c>
      <c r="R209" s="19">
        <f>O209*0.15</f>
        <v/>
      </c>
      <c r="S209" s="19" t="n">
        <v>6.59</v>
      </c>
      <c r="T209" s="19">
        <f>S209*0.2</f>
        <v/>
      </c>
      <c r="U209" s="19" t="n">
        <v>0.400000000000002</v>
      </c>
      <c r="V209" s="19" t="n">
        <v>2</v>
      </c>
      <c r="W209" s="19">
        <f>V209*0.2</f>
        <v/>
      </c>
      <c r="X209" s="21">
        <f>O209-Q209-R209-S209-U209-V209+T209+W209</f>
        <v/>
      </c>
      <c r="Y209" s="18" t="n"/>
      <c r="Z209" s="19">
        <f>O209+1.5</f>
        <v/>
      </c>
      <c r="AA209" s="19" t="n"/>
      <c r="AB209" s="19" t="n"/>
      <c r="AC209" s="18" t="n"/>
      <c r="AD209" s="18" t="n"/>
      <c r="AE209" s="13" t="inlineStr">
        <is>
          <t>NOT_UPLOADED</t>
        </is>
      </c>
    </row>
    <row r="210" ht="16" customHeight="1">
      <c r="A210" s="12" t="n">
        <v>30161467</v>
      </c>
      <c r="B210" s="12" t="n">
        <v>30161467</v>
      </c>
      <c r="C210" s="13" t="n"/>
      <c r="D210" s="14" t="n"/>
      <c r="E210" s="14" t="inlineStr">
        <is>
          <t>FOR-000030158986</t>
        </is>
      </c>
      <c r="F210" s="12" t="inlineStr">
        <is>
          <t>M7039</t>
        </is>
      </c>
      <c r="G210" s="14" t="inlineStr">
        <is>
          <t>Fortuna</t>
        </is>
      </c>
      <c r="H210" s="14" t="inlineStr">
        <is>
          <t>Maybelline</t>
        </is>
      </c>
      <c r="I210" s="14" t="inlineStr">
        <is>
          <t>Maybelline New York Mascara mit Falsche Wimpern Effekt, Mit Hybrid Faser Techologie und verlängernder Helix Bürste, The Falsies Surreal Mascara, Schwarz, 10 ml</t>
        </is>
      </c>
      <c r="J210" s="14" t="inlineStr">
        <is>
          <t>No</t>
        </is>
      </c>
      <c r="K210" s="14" t="inlineStr">
        <is>
          <t>https://www.amazon.de/Maybelline-Mascara-Falsche-Techologie-verl%C3%A4ngernder/dp/B0BQ65RZ5L/ref=sr_1_1?__mk_de_DE=%C3%85M%C3%85%C5%BD%C3%95%C3%91&amp;crid=146OPLVQ1OI7D&amp;dib=eyJ2IjoiMSJ9.Uyawc26wjllPWHasMHbj1A.cQlZSCzfpKqpn-8mvQL4iRUkyPj-ng-aHMHWhSV_b5Q&amp;dib_tag=se&amp;keywords=0000030161467&amp;qid=1749674924&amp;rdc=1&amp;sprefix=0000030161467%2Caps%2C104&amp;sr=8-1</t>
        </is>
      </c>
      <c r="L210" s="14" t="inlineStr">
        <is>
          <t>B0BQ65RZ5L</t>
        </is>
      </c>
      <c r="M210" s="15" t="n">
        <v>17.68</v>
      </c>
      <c r="N210" s="15" t="n"/>
      <c r="O210" s="15" t="n">
        <v>17.49</v>
      </c>
      <c r="P210" s="15">
        <f>O210/1.19</f>
        <v/>
      </c>
      <c r="Q210" s="15">
        <f>O210-P210</f>
        <v/>
      </c>
      <c r="R210" s="15">
        <f>O210*0.15</f>
        <v/>
      </c>
      <c r="S210" s="15" t="n">
        <v>7.83</v>
      </c>
      <c r="T210" s="15">
        <f>S210*0.2</f>
        <v/>
      </c>
      <c r="U210" s="15" t="n">
        <v>0.400000000000002</v>
      </c>
      <c r="V210" s="15" t="n">
        <v>2.08</v>
      </c>
      <c r="W210" s="15">
        <f>V210*0.2</f>
        <v/>
      </c>
      <c r="X210" s="21">
        <f>O210-Q210-R210-S210-U210-V210+T210+W210</f>
        <v/>
      </c>
      <c r="Y210" s="14" t="n"/>
      <c r="Z210" s="15">
        <f>O210+1.5</f>
        <v/>
      </c>
      <c r="AA210" s="15" t="n"/>
      <c r="AB210" s="15" t="n"/>
      <c r="AC210" s="14" t="n"/>
      <c r="AD210" s="14" t="n"/>
      <c r="AE210" s="13" t="inlineStr">
        <is>
          <t>NOT_UPLOADED</t>
        </is>
      </c>
    </row>
    <row r="211" ht="16" customHeight="1">
      <c r="A211" s="17" t="n">
        <v>30149663</v>
      </c>
      <c r="B211" s="17" t="n">
        <v>30149663</v>
      </c>
      <c r="C211" s="13" t="n"/>
      <c r="D211" s="18" t="n"/>
      <c r="E211" s="18" t="inlineStr">
        <is>
          <t>FOR-3600531684068</t>
        </is>
      </c>
      <c r="F211" s="17" t="inlineStr">
        <is>
          <t>M7040</t>
        </is>
      </c>
      <c r="G211" s="18" t="inlineStr">
        <is>
          <t>Fortuna</t>
        </is>
      </c>
      <c r="H211" s="18" t="inlineStr">
        <is>
          <t>Maybelline</t>
        </is>
      </c>
      <c r="I211" s="18" t="inlineStr">
        <is>
          <t>Maybelline New York Mascara mit Falsche Wimpern Effekt, Hybrid Faser Technologie und verlängernder Helix Bürste, The Falsies Surreal Mascara, 10 ml</t>
        </is>
      </c>
      <c r="J211" s="18" t="inlineStr">
        <is>
          <t>No</t>
        </is>
      </c>
      <c r="K211" s="18" t="inlineStr">
        <is>
          <t>https://www.amazon.de/Maybelline-Mascara-Falsche-Technologie-verl%C3%A4ngernder/dp/B0CJ5HF9XH/ref=sr_1_1?__mk_de_DE=%C3%85M%C3%85%C5%BD%C3%95%C3%91&amp;crid=3P1GEJTZR3XPK&amp;dib=eyJ2IjoiMSJ9.lngAltxOGr8Tcj1_925ezg.eOedONKBAI3m1ihQ3WCXnphN8zr3P0WKzhhKm6kz1xg&amp;dib_tag=se&amp;keywords=0000030149663&amp;qid=1749675143&amp;rdc=1&amp;sprefix=0000030149663%2Caps%2C134&amp;sr=8-1</t>
        </is>
      </c>
      <c r="L211" s="18" t="inlineStr">
        <is>
          <t>B0CJ5HF9XH</t>
        </is>
      </c>
      <c r="M211" s="19" t="n">
        <v>17.71</v>
      </c>
      <c r="N211" s="19" t="n"/>
      <c r="O211" s="19" t="n">
        <v>15.47</v>
      </c>
      <c r="P211" s="19">
        <f>O211/1.19</f>
        <v/>
      </c>
      <c r="Q211" s="19">
        <f>O211-P211</f>
        <v/>
      </c>
      <c r="R211" s="19">
        <f>O211*0.15</f>
        <v/>
      </c>
      <c r="S211" s="19" t="n">
        <v>7.9</v>
      </c>
      <c r="T211" s="19">
        <f>S211*0.2</f>
        <v/>
      </c>
      <c r="U211" s="19" t="n">
        <v>0.400000000000002</v>
      </c>
      <c r="V211" s="19" t="n">
        <v>2</v>
      </c>
      <c r="W211" s="19">
        <f>V211*0.2</f>
        <v/>
      </c>
      <c r="X211" s="21">
        <f>O211-Q211-R211-S211-U211-V211+T211+W211</f>
        <v/>
      </c>
      <c r="Y211" s="18" t="n"/>
      <c r="Z211" s="19">
        <f>O211+1.5</f>
        <v/>
      </c>
      <c r="AA211" s="19" t="n"/>
      <c r="AB211" s="19" t="n"/>
      <c r="AC211" s="18" t="n"/>
      <c r="AD211" s="18" t="n"/>
      <c r="AE211" s="13" t="inlineStr">
        <is>
          <t>NOT_UPLOADED</t>
        </is>
      </c>
    </row>
    <row r="212" ht="16" customHeight="1">
      <c r="A212" s="12" t="n">
        <v>3600530427482</v>
      </c>
      <c r="B212" s="12" t="n">
        <v>3600530427482</v>
      </c>
      <c r="C212" s="13" t="n"/>
      <c r="D212" s="14" t="n"/>
      <c r="E212" s="14" t="inlineStr">
        <is>
          <t>FOR-3600530427482</t>
        </is>
      </c>
      <c r="F212" s="12" t="inlineStr">
        <is>
          <t>M4000</t>
        </is>
      </c>
      <c r="G212" s="14" t="inlineStr">
        <is>
          <t>Fortuna</t>
        </is>
      </c>
      <c r="H212" s="14" t="inlineStr">
        <is>
          <t>Maybelline</t>
        </is>
      </c>
      <c r="I212" s="14" t="inlineStr">
        <is>
          <t>MAYBELLINE GEMEY MAYBELINE - Fond de teint - AFFINITONE Unifiant ton sur ton - 16_vanille rosé</t>
        </is>
      </c>
      <c r="J212" s="14" t="inlineStr">
        <is>
          <t>No</t>
        </is>
      </c>
      <c r="K212" s="14" t="inlineStr">
        <is>
          <t>https://www.amazon.de/GEMEY-MAYBELINE-AFFINITONE-Unifiant-16_vanille/dp/B00568ULLE/ref=sr_1_1?__mk_de_DE=%C3%85M%C3%85%C5%BD%C3%95%C3%91&amp;crid=3I0J4IWKACLIH&amp;dib=eyJ2IjoiMSJ9.calbMoqcjgzPXxXUGcJBLEHAY578CxKWfR6fmsodaRTGjHj071QN20LucGBJIEps.WRcutHFrxQ6elVZML095Bz68rtEFOKAEUCh_lulAxLg&amp;dib_tag=se&amp;keywords=3600530427482&amp;qid=1749926197&amp;sprefix=3600530427482%2Caps%2C68&amp;sr=8-1&amp;th=1</t>
        </is>
      </c>
      <c r="L212" s="14" t="inlineStr">
        <is>
          <t>B00568ULLE</t>
        </is>
      </c>
      <c r="M212" s="15" t="n">
        <v>14.65</v>
      </c>
      <c r="N212" s="15" t="n"/>
      <c r="O212" s="15" t="n">
        <v>13.39</v>
      </c>
      <c r="P212" s="15">
        <f>O212/1.19</f>
        <v/>
      </c>
      <c r="Q212" s="15">
        <f>O212-P212</f>
        <v/>
      </c>
      <c r="R212" s="15">
        <f>O212*0.15</f>
        <v/>
      </c>
      <c r="S212" s="15" t="n">
        <v>6.25</v>
      </c>
      <c r="T212" s="15">
        <f>S212*0.2</f>
        <v/>
      </c>
      <c r="U212" s="15" t="n">
        <v>0.400000000000002</v>
      </c>
      <c r="V212" s="15" t="n">
        <v>2.08</v>
      </c>
      <c r="W212" s="15">
        <f>V212*0.2</f>
        <v/>
      </c>
      <c r="X212" s="21">
        <f>O212-Q212-R212-S212-U212-V212+T212+W212</f>
        <v/>
      </c>
      <c r="Y212" s="14" t="n"/>
      <c r="Z212" s="15">
        <f>O212+1.5</f>
        <v/>
      </c>
      <c r="AA212" s="15" t="n">
        <v>6.26</v>
      </c>
      <c r="AB212" s="15" t="n">
        <v>11.3815</v>
      </c>
      <c r="AC212" s="14" t="n">
        <v>2036165</v>
      </c>
      <c r="AD212" s="14" t="n"/>
      <c r="AE212" s="13" t="inlineStr">
        <is>
          <t>NOT_UPLOADED</t>
        </is>
      </c>
    </row>
    <row r="213" ht="16" customHeight="1">
      <c r="A213" s="17" t="n">
        <v>3600530427482</v>
      </c>
      <c r="B213" s="17" t="n">
        <v>3600530427482</v>
      </c>
      <c r="C213" s="13" t="n"/>
      <c r="D213" s="18" t="n"/>
      <c r="E213" s="18" t="inlineStr">
        <is>
          <t>FOR-36005304274821</t>
        </is>
      </c>
      <c r="F213" s="17" t="inlineStr">
        <is>
          <t>M4000</t>
        </is>
      </c>
      <c r="G213" s="18" t="inlineStr">
        <is>
          <t>Fortuna</t>
        </is>
      </c>
      <c r="H213" s="18" t="inlineStr">
        <is>
          <t>Maybelline</t>
        </is>
      </c>
      <c r="I213" s="18" t="inlineStr">
        <is>
          <t>Maybelline Affinitone Unifying Foundation Cream (16 Vanilla Rose) 30 ml</t>
        </is>
      </c>
      <c r="J213" s="18" t="inlineStr">
        <is>
          <t>No</t>
        </is>
      </c>
      <c r="K213" s="18" t="inlineStr">
        <is>
          <t>https://www.amazon.de/Maybelline-Affinitone-Unifying-Foundation-Vanilla/dp/B00CYG030K/ref=sr_1_1_mod_primary_new?__mk_de_DE=%C3%85M%C3%85%C5%BD%C3%95%C3%91&amp;crid=F7H908M3IYWB&amp;dib=eyJ2IjoiMSJ9.94WJHF17rDhQC2icI9rhjw.2WfvVw1utpT-GyMTtc-aoSNEgPghiDPyU2j2PAPiUPg&amp;dib_tag=se&amp;keywords=B00CYG030K&amp;qid=1753271736&amp;sbo=RZvfv%2F%2FHxDF%2BO5021pAnSA%3D%3D&amp;sprefix=b00cyg030k%2Caps%2C183&amp;sr=8-1&amp;th=1</t>
        </is>
      </c>
      <c r="L213" s="18" t="inlineStr">
        <is>
          <t>B00CYG030K</t>
        </is>
      </c>
      <c r="M213" s="19" t="n"/>
      <c r="N213" s="19" t="n"/>
      <c r="O213" s="19" t="n">
        <v>12.99</v>
      </c>
      <c r="P213" s="19">
        <f>O213/1.19</f>
        <v/>
      </c>
      <c r="Q213" s="19">
        <f>O213-P213</f>
        <v/>
      </c>
      <c r="R213" s="19">
        <f>O213*0.15</f>
        <v/>
      </c>
      <c r="S213" s="19" t="n">
        <v>6.25</v>
      </c>
      <c r="T213" s="19">
        <f>S213*0.2</f>
        <v/>
      </c>
      <c r="U213" s="19" t="n">
        <v>0.400000000000002</v>
      </c>
      <c r="V213" s="19" t="n">
        <v>2.08</v>
      </c>
      <c r="W213" s="19">
        <f>V213*0.2</f>
        <v/>
      </c>
      <c r="X213" s="16">
        <f>O213-Q213-R213-S213-U213-V213+T213+W213</f>
        <v/>
      </c>
      <c r="Y213" s="18" t="n"/>
      <c r="Z213" s="19">
        <f>O213+1.5</f>
        <v/>
      </c>
      <c r="AA213" s="19" t="n"/>
      <c r="AB213" s="19" t="n">
        <v>11.0415</v>
      </c>
      <c r="AC213" s="18" t="n"/>
      <c r="AD213" s="18" t="n"/>
      <c r="AE213" s="13" t="inlineStr">
        <is>
          <t>NOT_UPLOADED</t>
        </is>
      </c>
    </row>
    <row r="214" ht="16" customHeight="1">
      <c r="A214" s="12" t="n">
        <v>3600530427499</v>
      </c>
      <c r="B214" s="12" t="n">
        <v>3600530427499</v>
      </c>
      <c r="C214" s="13" t="n"/>
      <c r="D214" s="14" t="n"/>
      <c r="E214" s="14" t="inlineStr">
        <is>
          <t>FOR-3600530427499</t>
        </is>
      </c>
      <c r="F214" s="12" t="inlineStr">
        <is>
          <t>M4001</t>
        </is>
      </c>
      <c r="G214" s="14" t="inlineStr">
        <is>
          <t>Fortuna</t>
        </is>
      </c>
      <c r="H214" s="14" t="inlineStr">
        <is>
          <t>Maybelline</t>
        </is>
      </c>
      <c r="I214" s="14" t="inlineStr">
        <is>
          <t>Maybelline Affinitone Unifying Foundation Cream (17 Rose Beige) 30 ml Acrylonitrile Butadiene Styrene (ABS)</t>
        </is>
      </c>
      <c r="J214" s="14" t="inlineStr">
        <is>
          <t>No</t>
        </is>
      </c>
      <c r="K214" s="14" t="inlineStr">
        <is>
          <t>https://www.amazon.de/Maybelline-Affinitone-Unifying-Foundation-Cream/dp/B00Z04QCP8/ref=sr_1_1?__mk_de_DE=%C3%85M%C3%85%C5%BD%C3%95%C3%91&amp;crid=159E7OND45RAT&amp;dib=eyJ2IjoiMSJ9.Tz_RdfzneOqUXHffu7h6V1RJw6WhV22qXyjKxR6w6W0.gO7I8Mm4gQrkYsikmB_LoOvlJ6qgUOKzljBANwRQFb8&amp;dib_tag=se&amp;keywords=3600530427499&amp;qid=1749926647&amp;sprefix=3600530427499%2Caps%2C75&amp;sr=8-1&amp;th=1</t>
        </is>
      </c>
      <c r="L214" s="14" t="inlineStr">
        <is>
          <t>B00Z04QCP8</t>
        </is>
      </c>
      <c r="M214" s="15" t="n">
        <v>14.68</v>
      </c>
      <c r="N214" s="15" t="n"/>
      <c r="O214" s="15" t="n">
        <v>13.2</v>
      </c>
      <c r="P214" s="15">
        <f>O214/1.19</f>
        <v/>
      </c>
      <c r="Q214" s="15">
        <f>O214-P214</f>
        <v/>
      </c>
      <c r="R214" s="15">
        <f>O214*0.15</f>
        <v/>
      </c>
      <c r="S214" s="15" t="n">
        <v>6.25</v>
      </c>
      <c r="T214" s="15">
        <f>S214*0.2</f>
        <v/>
      </c>
      <c r="U214" s="15" t="n">
        <v>0.400000000000002</v>
      </c>
      <c r="V214" s="15" t="n">
        <v>2.08</v>
      </c>
      <c r="W214" s="15">
        <f>V214*0.2</f>
        <v/>
      </c>
      <c r="X214" s="21">
        <f>O214-Q214-R214-S214-U214-V214+T214+W214</f>
        <v/>
      </c>
      <c r="Y214" s="14" t="n"/>
      <c r="Z214" s="15">
        <f>O214+1.5</f>
        <v/>
      </c>
      <c r="AA214" s="15" t="n"/>
      <c r="AB214" s="15" t="n">
        <v>11.22</v>
      </c>
      <c r="AC214" s="14" t="n"/>
      <c r="AD214" s="14" t="n"/>
      <c r="AE214" s="13" t="inlineStr">
        <is>
          <t>NOT_UPLOADED</t>
        </is>
      </c>
    </row>
    <row r="215" ht="16" customHeight="1">
      <c r="A215" s="17" t="n">
        <v>3600530427505</v>
      </c>
      <c r="B215" s="17" t="n">
        <v>3600530427505</v>
      </c>
      <c r="C215" s="13" t="n"/>
      <c r="D215" s="18" t="n"/>
      <c r="E215" s="18" t="inlineStr">
        <is>
          <t>FOR-3600530427505</t>
        </is>
      </c>
      <c r="F215" s="17" t="inlineStr">
        <is>
          <t>M4002</t>
        </is>
      </c>
      <c r="G215" s="18" t="inlineStr">
        <is>
          <t>Fortuna</t>
        </is>
      </c>
      <c r="H215" s="18" t="inlineStr">
        <is>
          <t>Maybelline</t>
        </is>
      </c>
      <c r="I215" s="18" t="inlineStr">
        <is>
          <t>Maybelline New York Affinitone Perfecting And Protecting Foundation With Vitamin E, Golden Beige"24"</t>
        </is>
      </c>
      <c r="J215" s="18" t="inlineStr">
        <is>
          <t>No</t>
        </is>
      </c>
      <c r="K215" s="18" t="inlineStr">
        <is>
          <t>https://www.amazon.de/Maybelline-Affinitone-Perfecting-Protecting-Foundation/dp/B007W16BS0/ref=sr_1_1?__mk_de_DE=%C3%85M%C3%85%C5%BD%C3%95%C3%91&amp;crid=17AXB5VP786NH&amp;dib=eyJ2IjoiMSJ9.uGmhdk1aMD9WDtuZlVvD_A.mmYON6zIYbYvBIzzHH7JqtASLEdHKqINfHVy_P85ckA&amp;dib_tag=se&amp;keywords=3600530427505&amp;qid=1749926849&amp;sprefix=3600530427505%2Caps%2C124&amp;sr=8-1&amp;th=1</t>
        </is>
      </c>
      <c r="L215" s="18" t="inlineStr">
        <is>
          <t>B007W16BS0</t>
        </is>
      </c>
      <c r="M215" s="19" t="n">
        <v>14.65</v>
      </c>
      <c r="N215" s="19" t="n"/>
      <c r="O215" s="19" t="n">
        <v>13.97</v>
      </c>
      <c r="P215" s="19">
        <f>O215/1.19</f>
        <v/>
      </c>
      <c r="Q215" s="19">
        <f>O215-P215</f>
        <v/>
      </c>
      <c r="R215" s="19">
        <f>O215*0.15</f>
        <v/>
      </c>
      <c r="S215" s="19" t="n">
        <v>6.25</v>
      </c>
      <c r="T215" s="19">
        <f>S215*0.2</f>
        <v/>
      </c>
      <c r="U215" s="19" t="n">
        <v>0.400000000000002</v>
      </c>
      <c r="V215" s="19" t="n">
        <v>2.08</v>
      </c>
      <c r="W215" s="19">
        <f>V215*0.2</f>
        <v/>
      </c>
      <c r="X215" s="21">
        <f>O215-Q215-R215-S215-U215-V215+T215+W215</f>
        <v/>
      </c>
      <c r="Y215" s="18" t="n"/>
      <c r="Z215" s="19">
        <f>O215+1.5</f>
        <v/>
      </c>
      <c r="AA215" s="19" t="n"/>
      <c r="AB215" s="19" t="n">
        <v>11.8745</v>
      </c>
      <c r="AC215" s="18" t="n"/>
      <c r="AD215" s="18" t="n"/>
      <c r="AE215" s="13" t="inlineStr">
        <is>
          <t>NOT_UPLOADED</t>
        </is>
      </c>
    </row>
    <row r="216" ht="16" customHeight="1">
      <c r="A216" s="12" t="n">
        <v>3600530586097</v>
      </c>
      <c r="B216" s="12" t="n">
        <v>3600530427505</v>
      </c>
      <c r="C216" s="13" t="n"/>
      <c r="D216" s="14" t="n"/>
      <c r="E216" s="14" t="inlineStr">
        <is>
          <t>FOR-3600530586097</t>
        </is>
      </c>
      <c r="F216" s="12" t="inlineStr">
        <is>
          <t>M4002</t>
        </is>
      </c>
      <c r="G216" s="14" t="inlineStr">
        <is>
          <t>Fortuna</t>
        </is>
      </c>
      <c r="H216" s="14" t="inlineStr">
        <is>
          <t>Maybelline</t>
        </is>
      </c>
      <c r="I216" s="14" t="inlineStr">
        <is>
          <t>GEMEY MAYBELINE - Fond de teint - AFFINITONE Unifiant ton sur ton - 24_beige doré</t>
        </is>
      </c>
      <c r="J216" s="14" t="inlineStr">
        <is>
          <t>No</t>
        </is>
      </c>
      <c r="K216" s="14" t="inlineStr">
        <is>
          <t>https://www.amazon.de/GEMEY-MAYBELINE-AFFINITONE-Unifiant-24_beige/dp/B0088Q8AWS/ref=sr_1_1?__mk_de_DE=%C3%85M%C3%85%C5%BD%C3%95%C3%91&amp;crid=36KV5L7Q3G60J&amp;dib=eyJ2IjoiMSJ9.mMw7EIlKL2SeK7Ornqttvg.q7qslSBNZHgV3qPn_tF4x6PwGW35_-Sj-o2W2wjeAc0&amp;dib_tag=se&amp;keywords=B0088Q8AWS&amp;qid=1753277064&amp;sprefix=b0088q8aws%2Caps%2C139&amp;sr=8-1&amp;th=1</t>
        </is>
      </c>
      <c r="L216" s="14" t="inlineStr">
        <is>
          <t>B0088Q8AWS</t>
        </is>
      </c>
      <c r="M216" s="15" t="n">
        <v>15.95</v>
      </c>
      <c r="N216" s="15" t="n"/>
      <c r="O216" s="15" t="n">
        <v>14.97</v>
      </c>
      <c r="P216" s="15">
        <f>O216/1.19</f>
        <v/>
      </c>
      <c r="Q216" s="15">
        <f>O216-P216</f>
        <v/>
      </c>
      <c r="R216" s="15">
        <f>O216*0.15</f>
        <v/>
      </c>
      <c r="S216" s="15" t="n">
        <v>6.25</v>
      </c>
      <c r="T216" s="15">
        <f>S216*0.2</f>
        <v/>
      </c>
      <c r="U216" s="15" t="n">
        <v>0.400000000000002</v>
      </c>
      <c r="V216" s="15" t="n">
        <v>2.08</v>
      </c>
      <c r="W216" s="15">
        <f>V216*0.2</f>
        <v/>
      </c>
      <c r="X216" s="21">
        <f>O216-Q216-R216-S216-U216-V216+T216+W216</f>
        <v/>
      </c>
      <c r="Y216" s="14" t="n"/>
      <c r="Z216" s="15">
        <f>O216+1.5</f>
        <v/>
      </c>
      <c r="AA216" s="15" t="n"/>
      <c r="AB216" s="15" t="n">
        <v>12.7245</v>
      </c>
      <c r="AC216" s="14" t="n"/>
      <c r="AD216" s="14" t="n"/>
      <c r="AE216" s="13" t="inlineStr">
        <is>
          <t>NOT_UPLOADED</t>
        </is>
      </c>
    </row>
    <row r="217" ht="16" customHeight="1">
      <c r="A217" s="17" t="n">
        <v>3600530540235</v>
      </c>
      <c r="B217" s="17" t="n">
        <v>3600530427505</v>
      </c>
      <c r="C217" s="13" t="n"/>
      <c r="D217" s="18" t="n"/>
      <c r="E217" s="18" t="inlineStr">
        <is>
          <t>FOR-3600530540235</t>
        </is>
      </c>
      <c r="F217" s="17" t="inlineStr">
        <is>
          <t>M4002</t>
        </is>
      </c>
      <c r="G217" s="18" t="inlineStr">
        <is>
          <t>Fortuna</t>
        </is>
      </c>
      <c r="H217" s="18" t="inlineStr">
        <is>
          <t>Maybelline</t>
        </is>
      </c>
      <c r="I217" s="18" t="inlineStr">
        <is>
          <t>Foundations - Affinitone - No. 24 Golden Beige</t>
        </is>
      </c>
      <c r="J217" s="18" t="inlineStr">
        <is>
          <t>No</t>
        </is>
      </c>
      <c r="K217" s="18" t="inlineStr">
        <is>
          <t>https://www.amazon.de/Foundations-Affinitone-No-Golden-Beige/dp/B0089KED3I/ref=sr_1_1?__mk_de_DE=%C3%85M%C3%85%C5%BD%C3%95%C3%91&amp;crid=OG4H4LGHGICO&amp;dib=eyJ2IjoiMSJ9.O6nBRT3LzA8FRIxbhNMBAA.7oVwF0IA16iB1hnLg2GPicKHx_18cUDi_E2e7OL26y8&amp;dib_tag=se&amp;keywords=B0089KED3I&amp;qid=1753277416&amp;sprefix=b0089ked3i%2Caps%2C199&amp;sr=8-1&amp;th=1</t>
        </is>
      </c>
      <c r="L217" s="18" t="inlineStr">
        <is>
          <t>B0089KED3I</t>
        </is>
      </c>
      <c r="M217" s="19" t="n"/>
      <c r="N217" s="19" t="n"/>
      <c r="O217" s="19" t="n">
        <v>14.97</v>
      </c>
      <c r="P217" s="19">
        <f>O217/1.19</f>
        <v/>
      </c>
      <c r="Q217" s="19">
        <f>O217-P217</f>
        <v/>
      </c>
      <c r="R217" s="19">
        <f>O217*0.15</f>
        <v/>
      </c>
      <c r="S217" s="19" t="n">
        <v>6.25</v>
      </c>
      <c r="T217" s="19">
        <f>S217*0.2</f>
        <v/>
      </c>
      <c r="U217" s="19" t="n">
        <v>0.400000000000002</v>
      </c>
      <c r="V217" s="19" t="n">
        <v>2.08</v>
      </c>
      <c r="W217" s="19">
        <f>V217*0.2</f>
        <v/>
      </c>
      <c r="X217" s="21">
        <f>O217-Q217-R217-S217-U217-V217+T217+W217</f>
        <v/>
      </c>
      <c r="Y217" s="18" t="n"/>
      <c r="Z217" s="19">
        <f>O217+1.5</f>
        <v/>
      </c>
      <c r="AA217" s="19" t="n"/>
      <c r="AB217" s="19" t="n">
        <v>12.7245</v>
      </c>
      <c r="AC217" s="18" t="n"/>
      <c r="AD217" s="18" t="n"/>
      <c r="AE217" s="13" t="inlineStr">
        <is>
          <t>NOT_UPLOADED</t>
        </is>
      </c>
    </row>
    <row r="218" ht="16" customHeight="1">
      <c r="A218" s="12" t="n">
        <v>3600530427512</v>
      </c>
      <c r="B218" s="12" t="n">
        <v>3600530427512</v>
      </c>
      <c r="C218" s="13" t="n"/>
      <c r="D218" s="14" t="n"/>
      <c r="E218" s="14" t="inlineStr">
        <is>
          <t>FOR-3600530427512</t>
        </is>
      </c>
      <c r="F218" s="12" t="inlineStr">
        <is>
          <t>M4003</t>
        </is>
      </c>
      <c r="G218" s="14" t="inlineStr">
        <is>
          <t>Fortuna</t>
        </is>
      </c>
      <c r="H218" s="14" t="inlineStr">
        <is>
          <t>Maybelline</t>
        </is>
      </c>
      <c r="I218" s="14" t="inlineStr">
        <is>
          <t>Maybelline Affinitone Perfecting And Protecting Foundation, Dark Beige '42'</t>
        </is>
      </c>
      <c r="J218" s="14" t="inlineStr">
        <is>
          <t>No</t>
        </is>
      </c>
      <c r="K218" s="14" t="inlineStr">
        <is>
          <t>https://www.amazon.de/Maybelline-Affinitone-Perfecting-Protecting-Foundation/dp/B007W15Y9M/ref=sr_1_1?__mk_de_DE=%C3%85M%C3%85%C5%BD%C3%95%C3%91&amp;crid=3LGYAGQFF6MPW&amp;dib=eyJ2IjoiMSJ9.B8oX31xsC45mLKQ3Bk9NRw.4xaskNpax-3GxLb6IEmvi1sgoTzmq1IWouCJpp2EwKE&amp;dib_tag=se&amp;keywords=3600530427512&amp;qid=1749927337&amp;sprefix=3600530427512%2Caps%2C140&amp;sr=8-1</t>
        </is>
      </c>
      <c r="L218" s="14" t="inlineStr">
        <is>
          <t>B007W15Y9M</t>
        </is>
      </c>
      <c r="M218" s="15" t="n">
        <v>14.65</v>
      </c>
      <c r="N218" s="15" t="n"/>
      <c r="O218" s="15" t="n">
        <v>12.65</v>
      </c>
      <c r="P218" s="15">
        <f>O218/1.19</f>
        <v/>
      </c>
      <c r="Q218" s="15">
        <f>O218-P218</f>
        <v/>
      </c>
      <c r="R218" s="15">
        <f>O218*0.15</f>
        <v/>
      </c>
      <c r="S218" s="15" t="n">
        <v>6.25</v>
      </c>
      <c r="T218" s="15">
        <f>S218*0.2</f>
        <v/>
      </c>
      <c r="U218" s="15" t="n">
        <v>0.400000000000002</v>
      </c>
      <c r="V218" s="15" t="n">
        <v>2</v>
      </c>
      <c r="W218" s="15">
        <f>V218*0.2</f>
        <v/>
      </c>
      <c r="X218" s="16">
        <f>O218-Q218-R218-S218-U218-V218+T218+W218</f>
        <v/>
      </c>
      <c r="Y218" s="14" t="n"/>
      <c r="Z218" s="15">
        <f>O218+1.5</f>
        <v/>
      </c>
      <c r="AA218" s="15" t="n"/>
      <c r="AB218" s="15" t="n">
        <v>10.7525</v>
      </c>
      <c r="AC218" s="14" t="n"/>
      <c r="AD218" s="14" t="n"/>
      <c r="AE218" s="13" t="inlineStr">
        <is>
          <t>NOT_UPLOADED</t>
        </is>
      </c>
    </row>
    <row r="219" ht="16" customHeight="1">
      <c r="A219" s="17" t="n">
        <v>3600530540242</v>
      </c>
      <c r="B219" s="17" t="n">
        <v>3600530427512</v>
      </c>
      <c r="C219" s="13" t="n"/>
      <c r="D219" s="18" t="n"/>
      <c r="E219" s="18" t="inlineStr">
        <is>
          <t>FOR-3600530540242</t>
        </is>
      </c>
      <c r="F219" s="17" t="inlineStr">
        <is>
          <t>M4003</t>
        </is>
      </c>
      <c r="G219" s="18" t="inlineStr">
        <is>
          <t>Fortuna</t>
        </is>
      </c>
      <c r="H219" s="18" t="inlineStr">
        <is>
          <t>Maybelline</t>
        </is>
      </c>
      <c r="I219" s="18" t="inlineStr">
        <is>
          <t>Gemey Maybelline Fond de Teint Affinitone - 42 Dark Beige</t>
        </is>
      </c>
      <c r="J219" s="18" t="inlineStr">
        <is>
          <t>No</t>
        </is>
      </c>
      <c r="K219" s="18" t="inlineStr">
        <is>
          <t>https://www.amazon.de/Gemey-Maybelline-Fond-Teint-Affinitone/dp/B00VXVIS8G/ref=sr_1_1?__mk_de_DE=%C3%85M%C3%85%C5%BD%C3%95%C3%91&amp;crid=35UPXZ58W6SZE&amp;dib=eyJ2IjoiMSJ9.gMBF_O16k4Tv0PFXF_9lkw.OHq8mqZQcDuYGBXEk0P5kQlkwksi1r3Wc8fzNNqo_b0&amp;dib_tag=se&amp;keywords=B00VXVIS8G&amp;qid=1753278201&amp;sprefix=b00vxvis8g%2Caps%2C125&amp;sr=8-1&amp;th=1</t>
        </is>
      </c>
      <c r="L219" s="18" t="inlineStr">
        <is>
          <t>B00VXVIS8G</t>
        </is>
      </c>
      <c r="M219" s="19" t="n"/>
      <c r="N219" s="19" t="n"/>
      <c r="O219" s="19" t="n">
        <v>13.77</v>
      </c>
      <c r="P219" s="19">
        <f>O219/1.19</f>
        <v/>
      </c>
      <c r="Q219" s="19">
        <f>O219-P219</f>
        <v/>
      </c>
      <c r="R219" s="19">
        <f>O219*0.15</f>
        <v/>
      </c>
      <c r="S219" s="19" t="n">
        <v>6.25</v>
      </c>
      <c r="T219" s="19">
        <f>S219*0.2</f>
        <v/>
      </c>
      <c r="U219" s="19" t="n">
        <v>0.400000000000002</v>
      </c>
      <c r="V219" s="19" t="n">
        <v>2</v>
      </c>
      <c r="W219" s="19">
        <f>V219*0.2</f>
        <v/>
      </c>
      <c r="X219" s="21">
        <f>O219-Q219-R219-S219-U219-V219+T219+W219</f>
        <v/>
      </c>
      <c r="Y219" s="18" t="n"/>
      <c r="Z219" s="19">
        <f>O219+1.5</f>
        <v/>
      </c>
      <c r="AA219" s="19" t="n"/>
      <c r="AB219" s="19" t="n">
        <v>11.7045</v>
      </c>
      <c r="AC219" s="18" t="n"/>
      <c r="AD219" s="18" t="n"/>
      <c r="AE219" s="13" t="inlineStr">
        <is>
          <t>NOT_UPLOADED</t>
        </is>
      </c>
    </row>
    <row r="220" ht="16" customHeight="1">
      <c r="A220" s="12" t="n">
        <v>3600530586103</v>
      </c>
      <c r="B220" s="12" t="n">
        <v>3600530427512</v>
      </c>
      <c r="C220" s="13" t="n"/>
      <c r="D220" s="14" t="n"/>
      <c r="E220" s="14" t="inlineStr">
        <is>
          <t>FOR-3600530586103</t>
        </is>
      </c>
      <c r="F220" s="12" t="inlineStr">
        <is>
          <t>M4003</t>
        </is>
      </c>
      <c r="G220" s="14" t="inlineStr">
        <is>
          <t>Fortuna</t>
        </is>
      </c>
      <c r="H220" s="14" t="inlineStr">
        <is>
          <t>Maybelline</t>
        </is>
      </c>
      <c r="I220" s="14" t="inlineStr">
        <is>
          <t>GEMEY MAYBELINE - Fond de teint - AFFINITONE Unifiant ton sur ton - 42_beige sablé</t>
        </is>
      </c>
      <c r="J220" s="14" t="inlineStr">
        <is>
          <t>No</t>
        </is>
      </c>
      <c r="K220" s="14" t="inlineStr">
        <is>
          <t>https://www.amazon.de/GEMEY-MAYBELINE-AFFINITONE-Unifiant-42_beige/dp/B00568Y4C6/ref=sr_1_1?__mk_de_DE=%C3%85M%C3%85%C5%BD%C3%95%C3%91&amp;crid=1LSOTOX7T20JG&amp;dib=eyJ2IjoiMSJ9.KJyKM7SPr66hXOTb0OScvg.AePV22H1hhxGuGTDjxOK8q19nDsDeWqpfC3Ozt5zJIA&amp;dib_tag=se&amp;keywords=B00568Y4C6&amp;qid=1753281280&amp;sprefix=b00568y4c6%2Caps%2C156&amp;sr=8-1&amp;th=1</t>
        </is>
      </c>
      <c r="L220" s="14" t="inlineStr">
        <is>
          <t>B00568Y4C6</t>
        </is>
      </c>
      <c r="M220" s="15" t="n">
        <v>16.99</v>
      </c>
      <c r="N220" s="15" t="n"/>
      <c r="O220" s="15" t="n">
        <v>15.9</v>
      </c>
      <c r="P220" s="15">
        <f>O220/1.19</f>
        <v/>
      </c>
      <c r="Q220" s="15">
        <f>O220-P220</f>
        <v/>
      </c>
      <c r="R220" s="15">
        <f>O220*0.15</f>
        <v/>
      </c>
      <c r="S220" s="15" t="n">
        <v>6.25</v>
      </c>
      <c r="T220" s="15">
        <f>S220*0.2</f>
        <v/>
      </c>
      <c r="U220" s="15" t="n">
        <v>0.400000000000002</v>
      </c>
      <c r="V220" s="15" t="n">
        <v>2</v>
      </c>
      <c r="W220" s="15">
        <f>V220*0.2</f>
        <v/>
      </c>
      <c r="X220" s="21">
        <f>O220-Q220-R220-S220-U220-V220+T220+W220</f>
        <v/>
      </c>
      <c r="Y220" s="14" t="n"/>
      <c r="Z220" s="15">
        <f>O220+1.5</f>
        <v/>
      </c>
      <c r="AA220" s="15" t="n"/>
      <c r="AB220" s="15" t="n">
        <v>13.515</v>
      </c>
      <c r="AC220" s="14" t="n"/>
      <c r="AD220" s="14" t="n"/>
      <c r="AE220" s="13" t="inlineStr">
        <is>
          <t>NOT_UPLOADED</t>
        </is>
      </c>
    </row>
    <row r="221" ht="16" customHeight="1">
      <c r="A221" s="17" t="n">
        <v>3600530427475</v>
      </c>
      <c r="B221" s="17" t="n">
        <v>3600530427475</v>
      </c>
      <c r="C221" s="13" t="n"/>
      <c r="D221" s="18" t="n"/>
      <c r="E221" s="18" t="inlineStr">
        <is>
          <t>FOR-3600530427475</t>
        </is>
      </c>
      <c r="F221" s="17" t="inlineStr">
        <is>
          <t>M4004</t>
        </is>
      </c>
      <c r="G221" s="18" t="inlineStr">
        <is>
          <t>Fortuna</t>
        </is>
      </c>
      <c r="H221" s="18" t="inlineStr">
        <is>
          <t>Maybelline</t>
        </is>
      </c>
      <c r="I221" s="18" t="inlineStr">
        <is>
          <t>MAYBELLINE, 14 Creamy Beige, 30ml, 30 Foundation</t>
        </is>
      </c>
      <c r="J221" s="18" t="inlineStr">
        <is>
          <t>No</t>
        </is>
      </c>
      <c r="K221" s="18" t="inlineStr">
        <is>
          <t>https://www.amazon.de/Maybelline-Affinitone-Unifying-Foundation-Creamy/dp/B0091GXTZM/ref=sr_1_1?__mk_de_DE=%C3%85M%C3%85%C5%BD%C3%95%C3%91&amp;crid=3PTCHA9565M2E&amp;dib=eyJ2IjoiMSJ9.0hbIEit5KWK2c7QksWFPGfPO9J9nRpvmnygI737mxA4.3rvcWaD8NXQiE5W0BtHXQ_rLQD5NT7AatWtZbBtxOEc&amp;dib_tag=se&amp;keywords=3600530427475&amp;qid=1749927460&amp;sprefix=3600530427475%2Caps%2C118&amp;sr=8-1&amp;th=1</t>
        </is>
      </c>
      <c r="L221" s="18" t="inlineStr">
        <is>
          <t>B0091GXTZM</t>
        </is>
      </c>
      <c r="M221" s="19" t="n">
        <v>14.65</v>
      </c>
      <c r="N221" s="19" t="n"/>
      <c r="O221" s="19" t="n">
        <v>12.49</v>
      </c>
      <c r="P221" s="19">
        <f>O221/1.19</f>
        <v/>
      </c>
      <c r="Q221" s="19">
        <f>O221-P221</f>
        <v/>
      </c>
      <c r="R221" s="19">
        <f>O221*0.15</f>
        <v/>
      </c>
      <c r="S221" s="19" t="n">
        <v>6.25</v>
      </c>
      <c r="T221" s="19">
        <f>S221*0.2</f>
        <v/>
      </c>
      <c r="U221" s="19" t="n">
        <v>0.400000000000002</v>
      </c>
      <c r="V221" s="19" t="n">
        <v>2</v>
      </c>
      <c r="W221" s="19">
        <f>V221*0.2</f>
        <v/>
      </c>
      <c r="X221" s="16">
        <f>O221-Q221-R221-S221-U221-V221+T221+W221</f>
        <v/>
      </c>
      <c r="Y221" s="18" t="n"/>
      <c r="Z221" s="19">
        <f>O221+1.5</f>
        <v/>
      </c>
      <c r="AA221" s="19" t="n"/>
      <c r="AB221" s="19" t="n">
        <v>10.6165</v>
      </c>
      <c r="AC221" s="18" t="n"/>
      <c r="AD221" s="18" t="n"/>
      <c r="AE221" s="13" t="inlineStr">
        <is>
          <t>NOT_UPLOADED</t>
        </is>
      </c>
    </row>
    <row r="222" ht="16" customHeight="1">
      <c r="A222" s="12" t="n">
        <v>3600530427451</v>
      </c>
      <c r="B222" s="12" t="n">
        <v>3600530427451</v>
      </c>
      <c r="C222" s="13" t="n"/>
      <c r="D222" s="14" t="n"/>
      <c r="E222" s="14" t="inlineStr">
        <is>
          <t>FOR-3600530427451</t>
        </is>
      </c>
      <c r="F222" s="12" t="inlineStr">
        <is>
          <t>M4005</t>
        </is>
      </c>
      <c r="G222" s="14" t="inlineStr">
        <is>
          <t>Fortuna</t>
        </is>
      </c>
      <c r="H222" s="14" t="inlineStr">
        <is>
          <t>Maybelline</t>
        </is>
      </c>
      <c r="I222" s="14" t="inlineStr">
        <is>
          <t>Maybelline Affinitone Unifying Foundation Cream (03 Light Sand Beige) 30 ml</t>
        </is>
      </c>
      <c r="J222" s="14" t="inlineStr">
        <is>
          <t>No</t>
        </is>
      </c>
      <c r="K222" s="14" t="inlineStr">
        <is>
          <t>https://www.amazon.de/Maybelline-Affinitone-Unifying-Foundation-Cream/dp/B0091GX0CO/ref=sr_1_1?__mk_de_DE=%C3%85M%C3%85%C5%BD%C3%95%C3%91&amp;crid=Y2O81ADZFWXB&amp;dib=eyJ2IjoiMSJ9.y2taS9l8ECWF72Vs2qZ6_GX-GZjXiuZhTdMrQWVzvuY.xAxlAIF1DSbgxgWvYiSkId1yhpo4H2Dk_9R2WBql4pY&amp;dib_tag=se&amp;keywords=3600530427451&amp;qid=1749927550&amp;sprefix=3600530427451%2Caps%2C138&amp;sr=8-1</t>
        </is>
      </c>
      <c r="L222" s="14" t="inlineStr">
        <is>
          <t>B0091GX0CO</t>
        </is>
      </c>
      <c r="M222" s="15" t="n">
        <v>14.65</v>
      </c>
      <c r="N222" s="15" t="n"/>
      <c r="O222" s="15" t="n">
        <v>13.9</v>
      </c>
      <c r="P222" s="15">
        <f>O222/1.19</f>
        <v/>
      </c>
      <c r="Q222" s="15">
        <f>O222-P222</f>
        <v/>
      </c>
      <c r="R222" s="15">
        <f>O222*0.15</f>
        <v/>
      </c>
      <c r="S222" s="15" t="n">
        <v>6.25</v>
      </c>
      <c r="T222" s="15">
        <f>S222*0.2</f>
        <v/>
      </c>
      <c r="U222" s="15" t="n">
        <v>0.400000000000002</v>
      </c>
      <c r="V222" s="15" t="n">
        <v>2</v>
      </c>
      <c r="W222" s="15">
        <f>V222*0.2</f>
        <v/>
      </c>
      <c r="X222" s="21">
        <f>O222-Q222-R222-S222-U222-V222+T222+W222</f>
        <v/>
      </c>
      <c r="Y222" s="14" t="n"/>
      <c r="Z222" s="15">
        <f>O222+1.5</f>
        <v/>
      </c>
      <c r="AA222" s="15" t="n"/>
      <c r="AB222" s="15" t="n">
        <v>11.815</v>
      </c>
      <c r="AC222" s="14" t="n"/>
      <c r="AD222" s="14" t="n"/>
      <c r="AE222" s="13" t="inlineStr">
        <is>
          <t>NOT_UPLOADED</t>
        </is>
      </c>
    </row>
    <row r="223" ht="16" customHeight="1">
      <c r="A223" s="17" t="n">
        <v>8024417214906</v>
      </c>
      <c r="B223" s="17" t="n">
        <v>3600530427451</v>
      </c>
      <c r="C223" s="13" t="n"/>
      <c r="D223" s="18" t="n"/>
      <c r="E223" s="18" t="inlineStr">
        <is>
          <t>FOR-8024417214906</t>
        </is>
      </c>
      <c r="F223" s="17" t="inlineStr">
        <is>
          <t>M4005</t>
        </is>
      </c>
      <c r="G223" s="18" t="inlineStr">
        <is>
          <t>Fortuna</t>
        </is>
      </c>
      <c r="H223" s="18" t="inlineStr">
        <is>
          <t>Maybelline</t>
        </is>
      </c>
      <c r="I223" s="18" t="inlineStr">
        <is>
          <t>MAYBELLINE Affinitone Grundierung Nr. 03 Vanilla</t>
        </is>
      </c>
      <c r="J223" s="18" t="inlineStr">
        <is>
          <t>No</t>
        </is>
      </c>
      <c r="K223" s="18" t="inlineStr">
        <is>
          <t>https://www.amazon.de/Maybelline-New-York-Grundierung-N-16-Vanilla/dp/B073348MR3/ref=sr_1_1?__mk_de_DE=%C3%85M%C3%85%C5%BD%C3%95%C3%91&amp;crid=C9E43MIQ8YCS&amp;dib=eyJ2IjoiMSJ9.LD8q3au0WkvnHlAbRQpo-A.ct8di3xUVgwnJAEcflGLFk9pMxcLReZzI03kW4vRiHQ&amp;dib_tag=se&amp;keywords=B073348MR3&amp;qid=1753342239&amp;sprefix=b073348mr3%2Caps%2C111&amp;sr=8-1</t>
        </is>
      </c>
      <c r="L223" s="18" t="inlineStr">
        <is>
          <t>B073348MR3</t>
        </is>
      </c>
      <c r="M223" s="19" t="n">
        <v>15.94</v>
      </c>
      <c r="N223" s="19" t="n"/>
      <c r="O223" s="19" t="n">
        <v>14.57</v>
      </c>
      <c r="P223" s="19">
        <f>O223/1.19</f>
        <v/>
      </c>
      <c r="Q223" s="19">
        <f>O223-P223</f>
        <v/>
      </c>
      <c r="R223" s="19">
        <f>O223*0.15</f>
        <v/>
      </c>
      <c r="S223" s="19" t="n">
        <v>6.25</v>
      </c>
      <c r="T223" s="19">
        <f>S223*0.2</f>
        <v/>
      </c>
      <c r="U223" s="19" t="n">
        <v>0.400000000000002</v>
      </c>
      <c r="V223" s="19" t="n">
        <v>2</v>
      </c>
      <c r="W223" s="19">
        <f>V223*0.2</f>
        <v/>
      </c>
      <c r="X223" s="21">
        <f>O223-Q223-R223-S223-U223-V223+T223+W223</f>
        <v/>
      </c>
      <c r="Y223" s="18" t="n"/>
      <c r="Z223" s="19">
        <f>O223+1.5</f>
        <v/>
      </c>
      <c r="AA223" s="19" t="n"/>
      <c r="AB223" s="19" t="n">
        <v>12.3845</v>
      </c>
      <c r="AC223" s="18" t="n"/>
      <c r="AD223" s="18" t="n"/>
      <c r="AE223" s="13" t="inlineStr">
        <is>
          <t>NOT_UPLOADED</t>
        </is>
      </c>
    </row>
    <row r="224" ht="16" customHeight="1">
      <c r="A224" s="12" t="n">
        <v>3600531324483</v>
      </c>
      <c r="B224" s="12" t="n">
        <v>3600531324483</v>
      </c>
      <c r="C224" s="13" t="n"/>
      <c r="D224" s="14" t="n"/>
      <c r="E224" s="14" t="inlineStr">
        <is>
          <t>FOR-3600531324483</t>
        </is>
      </c>
      <c r="F224" s="12" t="inlineStr">
        <is>
          <t>M4039</t>
        </is>
      </c>
      <c r="G224" s="14" t="inlineStr">
        <is>
          <t>Fortuna</t>
        </is>
      </c>
      <c r="H224" s="14" t="inlineStr">
        <is>
          <t>Maybelline</t>
        </is>
      </c>
      <c r="I224" s="14" t="inlineStr">
        <is>
          <t>MAYBELLINE, Fit Me Matte Poreless Nr x 30 g, 105 Natural Ivory</t>
        </is>
      </c>
      <c r="J224" s="14" t="inlineStr">
        <is>
          <t>No</t>
        </is>
      </c>
      <c r="K224" s="14" t="inlineStr">
        <is>
          <t>https://www.amazon.de/Maybelline-Matte-Poreless-Natural-Ivory/dp/B01GHP583K/ref=sr_1_1?__mk_de_DE=%C3%85M%C3%85%C5%BD%C3%95%C3%91&amp;crid=3OXCME3F6L0EQ&amp;dib=eyJ2IjoiMSJ9.xxDo36QGx6YUzBFRvtrnzQ.YegaPutphht0u_XoAjYVnWKbpc9p7WoOQb4Z2eXvZB4&amp;dib_tag=se&amp;keywords=3600531324483&amp;qid=1749927904&amp;sprefix=3600531324483%2Caps%2C70&amp;sr=8-1&amp;th=1</t>
        </is>
      </c>
      <c r="L224" s="14" t="inlineStr">
        <is>
          <t>B01GHP583K</t>
        </is>
      </c>
      <c r="M224" s="15" t="n">
        <v>13.73</v>
      </c>
      <c r="N224" s="15" t="n"/>
      <c r="O224" s="15" t="n">
        <v>11.99</v>
      </c>
      <c r="P224" s="15">
        <f>O224/1.19</f>
        <v/>
      </c>
      <c r="Q224" s="15">
        <f>O224-P224</f>
        <v/>
      </c>
      <c r="R224" s="15">
        <f>O224*0.15</f>
        <v/>
      </c>
      <c r="S224" s="15" t="n">
        <v>5.92</v>
      </c>
      <c r="T224" s="15">
        <f>S224*0.2</f>
        <v/>
      </c>
      <c r="U224" s="15" t="n">
        <v>0.400000000000002</v>
      </c>
      <c r="V224" s="15" t="n">
        <v>2</v>
      </c>
      <c r="W224" s="15">
        <f>V224*0.2</f>
        <v/>
      </c>
      <c r="X224" s="16">
        <f>O224-Q224-R224-S224-U224-V224+T224+W224</f>
        <v/>
      </c>
      <c r="Y224" s="14" t="n"/>
      <c r="Z224" s="15">
        <f>O224+1.5</f>
        <v/>
      </c>
      <c r="AA224" s="15" t="n"/>
      <c r="AB224" s="15" t="n">
        <v>10.1915</v>
      </c>
      <c r="AC224" s="14" t="n"/>
      <c r="AD224" s="14" t="n"/>
      <c r="AE224" s="13" t="inlineStr">
        <is>
          <t>NOT_UPLOADED</t>
        </is>
      </c>
    </row>
    <row r="225" ht="16" customHeight="1">
      <c r="A225" s="17" t="n">
        <v>3600531324582</v>
      </c>
      <c r="B225" s="17" t="n">
        <v>3600531324483</v>
      </c>
      <c r="C225" s="13" t="n"/>
      <c r="D225" s="18" t="n"/>
      <c r="E225" s="18" t="inlineStr">
        <is>
          <t>FOR-3600531324582</t>
        </is>
      </c>
      <c r="F225" s="17" t="inlineStr">
        <is>
          <t>M4039</t>
        </is>
      </c>
      <c r="G225" s="18" t="inlineStr">
        <is>
          <t>Fortuna</t>
        </is>
      </c>
      <c r="H225" s="18" t="inlineStr">
        <is>
          <t>Maybelline</t>
        </is>
      </c>
      <c r="I225" s="18" t="inlineStr">
        <is>
          <t>Maybelline New-York Foundation Fluide Fit Me Matte &amp; Poreless Foundation für normale bis fettige Haut, Farbton 105 Ivory Natural 30 ml</t>
        </is>
      </c>
      <c r="J225" s="18" t="inlineStr">
        <is>
          <t>No</t>
        </is>
      </c>
      <c r="K225" s="18" t="inlineStr">
        <is>
          <t>https://www.amazon.de/Maybelline-New-York-Foundation-Poreless-normale/dp/B074M9TMHF/ref=sr_1_1?__mk_de_DE=%C3%85M%C3%85%C5%BD%C3%95%C3%91&amp;crid=2UI64J2WWFV02&amp;dib=eyJ2IjoiMSJ9.9o7hQqHrl8WVqFzNEyfvlg.kwOW28eDgDynCtRd1qf-eal56fw55N2hPTcV7QesOLw&amp;dib_tag=se&amp;keywords=B074M9TMHF&amp;qid=1753344373&amp;sprefix=b074m9tmhf%2Caps%2C174&amp;sr=8-1&amp;th=1</t>
        </is>
      </c>
      <c r="L225" s="18" t="inlineStr">
        <is>
          <t>B074M9TMHF</t>
        </is>
      </c>
      <c r="M225" s="19" t="n"/>
      <c r="N225" s="19" t="n"/>
      <c r="O225" s="19" t="n">
        <v>12.77</v>
      </c>
      <c r="P225" s="19">
        <f>O225/1.19</f>
        <v/>
      </c>
      <c r="Q225" s="19">
        <f>O225-P225</f>
        <v/>
      </c>
      <c r="R225" s="19">
        <f>O225*0.15</f>
        <v/>
      </c>
      <c r="S225" s="19" t="n">
        <v>5.6</v>
      </c>
      <c r="T225" s="19">
        <f>S225*0.2</f>
        <v/>
      </c>
      <c r="U225" s="19" t="n">
        <v>0.400000000000002</v>
      </c>
      <c r="V225" s="19" t="n">
        <v>2</v>
      </c>
      <c r="W225" s="19">
        <f>V225*0.2</f>
        <v/>
      </c>
      <c r="X225" s="21">
        <f>O225-Q225-R225-S225-U225-V225+T225+W225</f>
        <v/>
      </c>
      <c r="Y225" s="18" t="n"/>
      <c r="Z225" s="19">
        <f>O225+1.5</f>
        <v/>
      </c>
      <c r="AA225" s="19" t="n"/>
      <c r="AB225" s="19" t="n">
        <v>10.8545</v>
      </c>
      <c r="AC225" s="18" t="n"/>
      <c r="AD225" s="18" t="n"/>
      <c r="AE225" s="13" t="inlineStr">
        <is>
          <t>NOT_UPLOADED</t>
        </is>
      </c>
    </row>
    <row r="226" ht="16" customHeight="1">
      <c r="A226" s="12" t="n">
        <v>3600531324919</v>
      </c>
      <c r="B226" s="12" t="n">
        <v>3600531324483</v>
      </c>
      <c r="C226" s="13" t="n"/>
      <c r="D226" s="14" t="n"/>
      <c r="E226" s="14" t="inlineStr">
        <is>
          <t>FOR-3600531324919</t>
        </is>
      </c>
      <c r="F226" s="12" t="inlineStr">
        <is>
          <t>M4039</t>
        </is>
      </c>
      <c r="G226" s="14" t="inlineStr">
        <is>
          <t>Fortuna</t>
        </is>
      </c>
      <c r="H226" s="14" t="inlineStr">
        <is>
          <t>Maybelline</t>
        </is>
      </c>
      <c r="I226" s="14" t="inlineStr">
        <is>
          <t>Maybelline New York Make Up, Fit Me! Matte + Poreless Foundation, Mattierend und porenverfeinernd, Alle Hauttypen, Nr. 105 Natural Ivory, 30 ml</t>
        </is>
      </c>
      <c r="J226" s="14" t="inlineStr">
        <is>
          <t>No</t>
        </is>
      </c>
      <c r="K226" s="14" t="inlineStr">
        <is>
          <t>https://www.amazon.de/Maybelline-fl%C3%BCssiges-feuchtigkeitsspendend-mattierend-Deckkraft/dp/B01F32BIXC/ref=sr_1_1?__mk_de_DE=%C3%85M%C3%85%C5%BD%C3%95%C3%91&amp;crid=1LF7YWEMLRRZN&amp;dib=eyJ2IjoiMSJ9.k5OfSUJLXkhPVbW71Mt7iQ.zDDzl8TCCzMJUUcm3WM8zSE-8-z3AbRINQocbtHNquM&amp;dib_tag=se&amp;keywords=B01F32BIXC&amp;qid=1753344550&amp;sprefix=b01f32bixc%2Caps%2C115&amp;sr=8-1</t>
        </is>
      </c>
      <c r="L226" s="14" t="inlineStr">
        <is>
          <t>B01F32BIXC</t>
        </is>
      </c>
      <c r="M226" s="15" t="n"/>
      <c r="N226" s="15" t="n"/>
      <c r="O226" s="15" t="n">
        <v>12.77</v>
      </c>
      <c r="P226" s="15">
        <f>O226/1.19</f>
        <v/>
      </c>
      <c r="Q226" s="15">
        <f>O226-P226</f>
        <v/>
      </c>
      <c r="R226" s="15">
        <f>O226*0.15</f>
        <v/>
      </c>
      <c r="S226" s="15" t="n">
        <v>5.6</v>
      </c>
      <c r="T226" s="15">
        <f>S226*0.2</f>
        <v/>
      </c>
      <c r="U226" s="15" t="n">
        <v>0.400000000000002</v>
      </c>
      <c r="V226" s="15" t="n">
        <v>2</v>
      </c>
      <c r="W226" s="15">
        <f>V226*0.2</f>
        <v/>
      </c>
      <c r="X226" s="21">
        <f>O226-Q226-R226-S226-U226-V226+T226+W226</f>
        <v/>
      </c>
      <c r="Y226" s="14" t="n"/>
      <c r="Z226" s="15">
        <f>O226+1.5</f>
        <v/>
      </c>
      <c r="AA226" s="15" t="n"/>
      <c r="AB226" s="15" t="n">
        <v>10.8545</v>
      </c>
      <c r="AC226" s="14" t="n"/>
      <c r="AD226" s="14" t="n"/>
      <c r="AE226" s="13" t="inlineStr">
        <is>
          <t>NOT_UPLOADED</t>
        </is>
      </c>
    </row>
    <row r="227" ht="16" customHeight="1">
      <c r="A227" s="17" t="n">
        <v>3600531324506</v>
      </c>
      <c r="B227" s="17" t="n">
        <v>3600531324506</v>
      </c>
      <c r="C227" s="13" t="n"/>
      <c r="D227" s="18" t="n"/>
      <c r="E227" s="18" t="inlineStr">
        <is>
          <t>FOR-3600531324506</t>
        </is>
      </c>
      <c r="F227" s="17" t="inlineStr">
        <is>
          <t>M4040</t>
        </is>
      </c>
      <c r="G227" s="18" t="inlineStr">
        <is>
          <t>Fortuna</t>
        </is>
      </c>
      <c r="H227" s="18" t="inlineStr">
        <is>
          <t>Maybelline</t>
        </is>
      </c>
      <c r="I227" s="18" t="inlineStr">
        <is>
          <t>Maybelline New York Make Up, Fit Me. Matte + Poreless Make-Up Nr. 110 Porcelain, Mattierend und porenverfeinernd, Alle Hauttypen, 30 ml</t>
        </is>
      </c>
      <c r="J227" s="18" t="inlineStr">
        <is>
          <t>No</t>
        </is>
      </c>
      <c r="K227" s="18" t="inlineStr">
        <is>
          <t>https://www.amazon.de/Maybelline-Fit-Me-matt-Foundation/dp/B01LQBX94U/ref=sr_1_1?__mk_de_DE=%C3%85M%C3%85%C5%BD%C3%95%C3%91&amp;crid=F5NH5FOITCFR&amp;dib=eyJ2IjoiMSJ9.0CXUJefao3USXZ1Soc1NeEFRWoB8ylMdWsBMSCXnroDGjHj071QN20LucGBJIEps.3Kl4HwiunKpy-eHN5NkUEB8xqLm5t9mLCL9a-hWe5Pg&amp;dib_tag=se&amp;keywords=3600531324506&amp;qid=1749928064&amp;sprefix=3600531324506%2Caps%2C211&amp;sr=8-1</t>
        </is>
      </c>
      <c r="L227" s="18" t="inlineStr">
        <is>
          <t>B01LQBX94U</t>
        </is>
      </c>
      <c r="M227" s="19" t="n">
        <v>13.73</v>
      </c>
      <c r="N227" s="19" t="n"/>
      <c r="O227" s="19" t="n">
        <v>13.15</v>
      </c>
      <c r="P227" s="19">
        <f>O227/1.19</f>
        <v/>
      </c>
      <c r="Q227" s="19">
        <f>O227-P227</f>
        <v/>
      </c>
      <c r="R227" s="19">
        <f>O227*0.15</f>
        <v/>
      </c>
      <c r="S227" s="19" t="n">
        <v>5.92</v>
      </c>
      <c r="T227" s="19">
        <f>S227*0.2</f>
        <v/>
      </c>
      <c r="U227" s="19" t="n">
        <v>0.400000000000002</v>
      </c>
      <c r="V227" s="19" t="n">
        <v>2.4</v>
      </c>
      <c r="W227" s="19">
        <f>V227*0.2</f>
        <v/>
      </c>
      <c r="X227" s="21">
        <f>O227-Q227-R227-S227-U227-V227+T227+W227</f>
        <v/>
      </c>
      <c r="Y227" s="18" t="n"/>
      <c r="Z227" s="19">
        <f>O227+1.5</f>
        <v/>
      </c>
      <c r="AA227" s="19" t="n"/>
      <c r="AB227" s="19" t="n">
        <v>11.1775</v>
      </c>
      <c r="AC227" s="18" t="n"/>
      <c r="AD227" s="18" t="n"/>
      <c r="AE227" s="13" t="inlineStr">
        <is>
          <t>NOT_UPLOADED</t>
        </is>
      </c>
    </row>
    <row r="228" ht="16" customHeight="1">
      <c r="A228" s="12" t="n">
        <v>3600531324506</v>
      </c>
      <c r="B228" s="12" t="n">
        <v>3600531324506</v>
      </c>
      <c r="C228" s="13" t="n"/>
      <c r="D228" s="14" t="n"/>
      <c r="E228" s="14" t="inlineStr">
        <is>
          <t>FOR-36005313245061</t>
        </is>
      </c>
      <c r="F228" s="12" t="inlineStr">
        <is>
          <t>M4040</t>
        </is>
      </c>
      <c r="G228" s="14" t="inlineStr">
        <is>
          <t>Fortuna</t>
        </is>
      </c>
      <c r="H228" s="14" t="inlineStr">
        <is>
          <t>Maybelline</t>
        </is>
      </c>
      <c r="I228" s="14" t="inlineStr">
        <is>
          <t>Maybelline Fit Me Liquid Foundation 30ml</t>
        </is>
      </c>
      <c r="J228" s="14" t="inlineStr">
        <is>
          <t>No</t>
        </is>
      </c>
      <c r="K228" s="14" t="inlineStr">
        <is>
          <t>https://www.amazon.de/Maybelline-Fit-Liquid-Foundation-30ml/dp/B07GQ4CMRV/ref=sr_1_1?__mk_de_DE=%C3%85M%C3%85%C5%BD%C3%95%C3%91&amp;crid=RN1YX7ZBM7W3&amp;dib=eyJ2IjoiMSJ9.wHS24j7yModWLuf7vhrIOw.KnAf_9dYmucoF_L_eLrk63sxbto4gUM1EZisuIz6yIk&amp;dib_tag=se&amp;keywords=B07GQ4CMRV&amp;qid=1755286330&amp;sprefix=b07gq4cmrv%2Caps%2C270&amp;sr=8-1&amp;th=1</t>
        </is>
      </c>
      <c r="L228" s="14" t="inlineStr">
        <is>
          <t>B07GQ4CMRV</t>
        </is>
      </c>
      <c r="M228" s="15" t="n"/>
      <c r="N228" s="15" t="n"/>
      <c r="O228" s="15" t="n">
        <v>13.15</v>
      </c>
      <c r="P228" s="15">
        <f>O228/1.19</f>
        <v/>
      </c>
      <c r="Q228" s="15">
        <f>O228-P228</f>
        <v/>
      </c>
      <c r="R228" s="15">
        <f>O228*0.15</f>
        <v/>
      </c>
      <c r="S228" s="15" t="n">
        <v>5.92</v>
      </c>
      <c r="T228" s="15">
        <f>S228*0.2</f>
        <v/>
      </c>
      <c r="U228" s="15" t="n">
        <v>0.400000000000002</v>
      </c>
      <c r="V228" s="15" t="n">
        <v>2.4</v>
      </c>
      <c r="W228" s="15">
        <f>V228*0.2</f>
        <v/>
      </c>
      <c r="X228" s="21">
        <f>O228-Q228-R228-S228-U228-V228+T228+W228</f>
        <v/>
      </c>
      <c r="Y228" s="14" t="n"/>
      <c r="Z228" s="15">
        <f>O228+1.5</f>
        <v/>
      </c>
      <c r="AA228" s="15" t="n"/>
      <c r="AB228" s="15" t="n">
        <v>11.1775</v>
      </c>
      <c r="AC228" s="14" t="n"/>
      <c r="AD228" s="14" t="n"/>
      <c r="AE228" s="13" t="inlineStr">
        <is>
          <t>NOT_UPLOADED</t>
        </is>
      </c>
    </row>
    <row r="229" ht="16" customHeight="1">
      <c r="A229" s="17" t="n">
        <v>3600531324513</v>
      </c>
      <c r="B229" s="17" t="n">
        <v>3600531324513</v>
      </c>
      <c r="C229" s="13" t="n"/>
      <c r="D229" s="18" t="n"/>
      <c r="E229" s="18" t="inlineStr">
        <is>
          <t>FOR-3600531324513</t>
        </is>
      </c>
      <c r="F229" s="17" t="inlineStr">
        <is>
          <t>M4041</t>
        </is>
      </c>
      <c r="G229" s="18" t="inlineStr">
        <is>
          <t>Fortuna</t>
        </is>
      </c>
      <c r="H229" s="18" t="inlineStr">
        <is>
          <t>Maybelline</t>
        </is>
      </c>
      <c r="I229" s="18" t="inlineStr">
        <is>
          <t>Maybelline New York Make Up, Fit Me. Matte + Poreless Make-Up Nr. 115 Ivory, Mattierend und porenverfeinernd, Alle Hauttypen, 30 ml</t>
        </is>
      </c>
      <c r="J229" s="18" t="inlineStr">
        <is>
          <t>No</t>
        </is>
      </c>
      <c r="K229" s="18" t="inlineStr">
        <is>
          <t>https://www.amazon.de/Maybelline-Fit-Me-matt-Foundation/dp/B01GHP57Z4/ref=sr_1_1?__mk_de_DE=%C3%85M%C3%85%C5%BD%C3%95%C3%91&amp;crid=3BNWXRC3S3A64&amp;dib=eyJ2IjoiMSJ9.1N1xXQEuo-V2ILru4_r5m2KdWkaBeqUzDWU_YgYHCng.1HXT21-sfl2knitef7VwoxXCRC4VqVoecquYOvWecKY&amp;dib_tag=se&amp;keywords=3600531324513&amp;qid=1749928282&amp;rdc=1&amp;sprefix=3600531324513%2Caps%2C127&amp;sr=8-1</t>
        </is>
      </c>
      <c r="L229" s="18" t="inlineStr">
        <is>
          <t>B01GHP57Z4</t>
        </is>
      </c>
      <c r="M229" s="19" t="n">
        <v>13.73</v>
      </c>
      <c r="N229" s="19" t="n"/>
      <c r="O229" s="19" t="n">
        <v>13.15</v>
      </c>
      <c r="P229" s="19">
        <f>O229/1.19</f>
        <v/>
      </c>
      <c r="Q229" s="19">
        <f>O229-P229</f>
        <v/>
      </c>
      <c r="R229" s="19">
        <f>O229*0.15</f>
        <v/>
      </c>
      <c r="S229" s="19" t="n">
        <v>5.92</v>
      </c>
      <c r="T229" s="19">
        <f>S229*0.2</f>
        <v/>
      </c>
      <c r="U229" s="19" t="n">
        <v>0.400000000000002</v>
      </c>
      <c r="V229" s="19" t="n">
        <v>2.4</v>
      </c>
      <c r="W229" s="19">
        <f>V229*0.2</f>
        <v/>
      </c>
      <c r="X229" s="21">
        <f>O229-Q229-R229-S229-U229-V229+T229+W229</f>
        <v/>
      </c>
      <c r="Y229" s="18" t="n"/>
      <c r="Z229" s="19">
        <f>O229+1.5</f>
        <v/>
      </c>
      <c r="AA229" s="19" t="n"/>
      <c r="AB229" s="19" t="n">
        <v>11.1775</v>
      </c>
      <c r="AC229" s="18" t="n"/>
      <c r="AD229" s="18" t="n"/>
      <c r="AE229" s="13" t="inlineStr">
        <is>
          <t>NOT_UPLOADED</t>
        </is>
      </c>
    </row>
    <row r="230" ht="16" customHeight="1">
      <c r="A230" s="12" t="n">
        <v>3600531324933</v>
      </c>
      <c r="B230" s="12" t="n">
        <v>3600531324513</v>
      </c>
      <c r="C230" s="13" t="n"/>
      <c r="D230" s="14" t="n"/>
      <c r="E230" s="14" t="inlineStr">
        <is>
          <t>FOR-3600531324933</t>
        </is>
      </c>
      <c r="F230" s="12" t="inlineStr">
        <is>
          <t>M4041</t>
        </is>
      </c>
      <c r="G230" s="14" t="inlineStr">
        <is>
          <t>Fortuna</t>
        </is>
      </c>
      <c r="H230" s="14" t="inlineStr">
        <is>
          <t>Maybelline</t>
        </is>
      </c>
      <c r="I230" s="14" t="inlineStr">
        <is>
          <t>Maybelline New York Make Up, Fit Me! Matte + Poreless Foundation, Mattierend und porenverfeinernd, Alle Hauttypen, Nr. 115 Ivory, 30 ml</t>
        </is>
      </c>
      <c r="J230" s="14" t="inlineStr">
        <is>
          <t>No</t>
        </is>
      </c>
      <c r="K230" s="14" t="inlineStr">
        <is>
          <t>https://www.amazon.de/Maybelline-fl%C3%BCssiges-feuchtigkeitsspendend-mattierend-Deckkraft/dp/B01N5HY29H/ref=sr_1_1?__mk_de_DE=%C3%85M%C3%85%C5%BD%C3%95%C3%91&amp;crid=3PKA1Y8VBQIUZ&amp;dib=eyJ2IjoiMSJ9.2sffFkVnzexTlwkHlyvygA.SCd-82CZzqMkLojzvQllIdrCSlsswzh6RG54Mibohkk&amp;dib_tag=se&amp;keywords=B01N5HY29H&amp;qid=1755338178&amp;sprefix=b01n5hy29h%2Caps%2C174&amp;sr=8-1&amp;th=1</t>
        </is>
      </c>
      <c r="L230" s="14" t="inlineStr">
        <is>
          <t>B01N5HY29H</t>
        </is>
      </c>
      <c r="M230" s="15" t="n"/>
      <c r="N230" s="15" t="n"/>
      <c r="O230" s="15" t="n">
        <v>12.45</v>
      </c>
      <c r="P230" s="15">
        <f>O230/1.19</f>
        <v/>
      </c>
      <c r="Q230" s="15">
        <f>O230-P230</f>
        <v/>
      </c>
      <c r="R230" s="15">
        <f>O230*0.15</f>
        <v/>
      </c>
      <c r="S230" s="15" t="n">
        <v>5.92</v>
      </c>
      <c r="T230" s="15">
        <f>S230*0.2</f>
        <v/>
      </c>
      <c r="U230" s="15" t="n">
        <v>0.400000000000002</v>
      </c>
      <c r="V230" s="15" t="n">
        <v>2.4</v>
      </c>
      <c r="W230" s="15">
        <f>V230*0.2</f>
        <v/>
      </c>
      <c r="X230" s="16">
        <f>O230-Q230-R230-S230-U230-V230+T230+W230</f>
        <v/>
      </c>
      <c r="Y230" s="14" t="n"/>
      <c r="Z230" s="15">
        <f>O230+1.5</f>
        <v/>
      </c>
      <c r="AA230" s="15" t="n"/>
      <c r="AB230" s="15" t="n">
        <v>10.5825</v>
      </c>
      <c r="AC230" s="14" t="n"/>
      <c r="AD230" s="14" t="n"/>
      <c r="AE230" s="13" t="inlineStr">
        <is>
          <t>NOT_UPLOADED</t>
        </is>
      </c>
    </row>
    <row r="231" ht="16" customHeight="1">
      <c r="A231" s="17" t="n">
        <v>3600531325121</v>
      </c>
      <c r="B231" s="17" t="n">
        <v>3600531324513</v>
      </c>
      <c r="C231" s="13" t="n"/>
      <c r="D231" s="18" t="n"/>
      <c r="E231" s="18" t="inlineStr">
        <is>
          <t>FOR-3600531325121</t>
        </is>
      </c>
      <c r="F231" s="17" t="inlineStr">
        <is>
          <t>M4041</t>
        </is>
      </c>
      <c r="G231" s="18" t="inlineStr">
        <is>
          <t>Fortuna</t>
        </is>
      </c>
      <c r="H231" s="18" t="inlineStr">
        <is>
          <t>Maybelline</t>
        </is>
      </c>
      <c r="I231" s="18" t="inlineStr">
        <is>
          <t>Maybelline New York - Fit Me, Matte Foundation Verfeinert die Poren, Farbton 115 Ivory- 30 ml</t>
        </is>
      </c>
      <c r="J231" s="18" t="inlineStr">
        <is>
          <t>No</t>
        </is>
      </c>
      <c r="K231" s="18" t="inlineStr">
        <is>
          <t>https://www.amazon.de/Maybelline-New-York-Foundation-Verfeinert/dp/B01LW07PKN/ref=sr_1_1?__mk_de_DE=%C3%85M%C3%85%C5%BD%C3%95%C3%91&amp;crid=3B915SHND23GF&amp;dib=eyJ2IjoiMSJ9.Ap8eZw-XzgHROu3wOv0fbg.g8jwEIUl_-jpHZrYh1_KFA3BehT8GoXMsomXaJqFTyk&amp;dib_tag=se&amp;keywords=B01LW07PKN&amp;qid=1755338491&amp;sprefix=b01lw07pkn%2Caps%2C164&amp;sr=8-1</t>
        </is>
      </c>
      <c r="L231" s="18" t="inlineStr">
        <is>
          <t>B01LW07PKN</t>
        </is>
      </c>
      <c r="M231" s="19" t="n"/>
      <c r="N231" s="19" t="n"/>
      <c r="O231" s="19" t="n">
        <v>13.1</v>
      </c>
      <c r="P231" s="19">
        <f>O231/1.19</f>
        <v/>
      </c>
      <c r="Q231" s="19">
        <f>O231-P231</f>
        <v/>
      </c>
      <c r="R231" s="19">
        <f>O231*0.15</f>
        <v/>
      </c>
      <c r="S231" s="19" t="n">
        <v>5.92</v>
      </c>
      <c r="T231" s="19">
        <f>S231*0.2</f>
        <v/>
      </c>
      <c r="U231" s="19" t="n">
        <v>0.400000000000002</v>
      </c>
      <c r="V231" s="19" t="n">
        <v>2.4</v>
      </c>
      <c r="W231" s="19">
        <f>V231*0.2</f>
        <v/>
      </c>
      <c r="X231" s="16">
        <f>O231-Q231-R231-S231-U231-V231+T231+W231</f>
        <v/>
      </c>
      <c r="Y231" s="18" t="n"/>
      <c r="Z231" s="19">
        <f>O231+1.5</f>
        <v/>
      </c>
      <c r="AA231" s="19" t="n"/>
      <c r="AB231" s="19" t="n">
        <v>11.135</v>
      </c>
      <c r="AC231" s="18" t="n"/>
      <c r="AD231" s="18" t="n"/>
      <c r="AE231" s="13" t="inlineStr">
        <is>
          <t>NOT_UPLOADED</t>
        </is>
      </c>
    </row>
    <row r="232" ht="16" customHeight="1">
      <c r="A232" s="12" t="n">
        <v>3600531324520</v>
      </c>
      <c r="B232" s="12" t="n">
        <v>3600531324520</v>
      </c>
      <c r="C232" s="13" t="n"/>
      <c r="D232" s="14" t="n"/>
      <c r="E232" s="14" t="inlineStr">
        <is>
          <t>FOR-3600531324520</t>
        </is>
      </c>
      <c r="F232" s="12" t="inlineStr">
        <is>
          <t>M4042</t>
        </is>
      </c>
      <c r="G232" s="14" t="inlineStr">
        <is>
          <t>Fortuna</t>
        </is>
      </c>
      <c r="H232" s="14" t="inlineStr">
        <is>
          <t>Maybelline</t>
        </is>
      </c>
      <c r="I232" s="14" t="inlineStr">
        <is>
          <t>MAYBELLINE Fit Me Matte Poreless Foundation 30 ml, 120 Classic Ivory</t>
        </is>
      </c>
      <c r="J232" s="14" t="inlineStr">
        <is>
          <t>No</t>
        </is>
      </c>
      <c r="K232" s="14" t="inlineStr">
        <is>
          <t>https://www.amazon.de/Maybelline-Matte-Poreless-Foundation-Classic/dp/B015U4FKJG/ref=sr_1_1?__mk_de_DE=%C3%85M%C3%85%C5%BD%C3%95%C3%91&amp;crid=695GWNYPC4CG&amp;dib=eyJ2IjoiMSJ9._qSb51-iuZdruGKRsCQB2uNjgKRtq1wE7wqav4YAWpDGjHj071QN20LucGBJIEps.tBbRIeS-yqq5filYBTwJU-nfJDPrHDqQclzObxRfEhE&amp;dib_tag=se&amp;keywords=3600531324520&amp;qid=1749928735&amp;sprefix=3600531324520%2Caps%2C71&amp;sr=8-1</t>
        </is>
      </c>
      <c r="L232" s="14" t="inlineStr">
        <is>
          <t>B015U4FKJG</t>
        </is>
      </c>
      <c r="M232" s="15" t="n">
        <v>13.73</v>
      </c>
      <c r="N232" s="15" t="n"/>
      <c r="O232" s="15" t="n">
        <v>13.59</v>
      </c>
      <c r="P232" s="15">
        <f>O232/1.19</f>
        <v/>
      </c>
      <c r="Q232" s="15">
        <f>O232-P232</f>
        <v/>
      </c>
      <c r="R232" s="15">
        <f>O232*0.15</f>
        <v/>
      </c>
      <c r="S232" s="15" t="n">
        <v>5.92</v>
      </c>
      <c r="T232" s="15">
        <f>S232*0.2</f>
        <v/>
      </c>
      <c r="U232" s="15" t="n">
        <v>0.400000000000002</v>
      </c>
      <c r="V232" s="15" t="n">
        <v>2.4</v>
      </c>
      <c r="W232" s="15">
        <f>V232*0.2</f>
        <v/>
      </c>
      <c r="X232" s="21">
        <f>O232-Q232-R232-S232-U232-V232+T232+W232</f>
        <v/>
      </c>
      <c r="Y232" s="14" t="n"/>
      <c r="Z232" s="15">
        <f>O232+1.5</f>
        <v/>
      </c>
      <c r="AA232" s="15" t="n"/>
      <c r="AB232" s="15" t="n">
        <v>11.5515</v>
      </c>
      <c r="AC232" s="14" t="n"/>
      <c r="AD232" s="14" t="n"/>
      <c r="AE232" s="13" t="inlineStr">
        <is>
          <t>NOT_UPLOADED</t>
        </is>
      </c>
    </row>
    <row r="233" ht="16" customHeight="1">
      <c r="A233" s="17" t="n">
        <v>3600531324520</v>
      </c>
      <c r="B233" s="17" t="n">
        <v>3600531324520</v>
      </c>
      <c r="C233" s="13" t="n"/>
      <c r="D233" s="18" t="n"/>
      <c r="E233" s="18" t="inlineStr">
        <is>
          <t>FOR-36005313245201</t>
        </is>
      </c>
      <c r="F233" s="17" t="inlineStr">
        <is>
          <t>M4042</t>
        </is>
      </c>
      <c r="G233" s="18" t="inlineStr">
        <is>
          <t>Fortuna</t>
        </is>
      </c>
      <c r="H233" s="18" t="inlineStr">
        <is>
          <t>Maybelline</t>
        </is>
      </c>
      <c r="I233" s="18" t="inlineStr">
        <is>
          <t>Maybelline Fit Me Matte &amp; Poreless Foundation</t>
        </is>
      </c>
      <c r="J233" s="18" t="inlineStr">
        <is>
          <t>No</t>
        </is>
      </c>
      <c r="K233" s="18" t="inlineStr">
        <is>
          <t>https://www.amazon.de/Maybelline-Matte-Poreless-Foundation-Classic/dp/B01G45HOKI/ref=sr_1_1?__mk_de_DE=%C3%85M%C3%85%C5%BD%C3%95%C3%91&amp;crid=3HXU0T5DX801H&amp;dib=eyJ2IjoiMSJ9.aM1zbr7fbUL4eNQWOD7DEw.POT8au6d6L72DHcDgjzVeNiCAwksc2uxf5RpUsMLJho&amp;dib_tag=se&amp;keywords=B01G45HOKI&amp;qid=1755339927&amp;sprefix=b01g45hoki%2Caps%2C224&amp;sr=8-1&amp;th=1</t>
        </is>
      </c>
      <c r="L233" s="18" t="inlineStr">
        <is>
          <t>B01G45HOKI</t>
        </is>
      </c>
      <c r="M233" s="19" t="n"/>
      <c r="N233" s="19" t="n"/>
      <c r="O233" s="19" t="n">
        <v>13.1</v>
      </c>
      <c r="P233" s="19">
        <f>O233/1.19</f>
        <v/>
      </c>
      <c r="Q233" s="19">
        <f>O233-P233</f>
        <v/>
      </c>
      <c r="R233" s="19">
        <f>O233*0.15</f>
        <v/>
      </c>
      <c r="S233" s="19" t="n">
        <v>5.92</v>
      </c>
      <c r="T233" s="19">
        <f>S233*0.2</f>
        <v/>
      </c>
      <c r="U233" s="19" t="n">
        <v>0.400000000000002</v>
      </c>
      <c r="V233" s="19" t="n">
        <v>2.4</v>
      </c>
      <c r="W233" s="19">
        <f>V233*0.2</f>
        <v/>
      </c>
      <c r="X233" s="16">
        <f>O233-Q233-R233-S233-U233-V233+T233+W233</f>
        <v/>
      </c>
      <c r="Y233" s="18" t="n"/>
      <c r="Z233" s="19">
        <f>O233+1.5</f>
        <v/>
      </c>
      <c r="AA233" s="19" t="n"/>
      <c r="AB233" s="19" t="n">
        <v>11.135</v>
      </c>
      <c r="AC233" s="18" t="n"/>
      <c r="AD233" s="18" t="n"/>
      <c r="AE233" s="13" t="inlineStr">
        <is>
          <t>NOT_UPLOADED</t>
        </is>
      </c>
    </row>
    <row r="234" ht="16" customHeight="1">
      <c r="A234" s="12" t="n">
        <v>3600531324841</v>
      </c>
      <c r="B234" s="12" t="n">
        <v>3600531324520</v>
      </c>
      <c r="C234" s="13" t="n"/>
      <c r="D234" s="14" t="n"/>
      <c r="E234" s="14" t="inlineStr">
        <is>
          <t>FOR-3600531324841</t>
        </is>
      </c>
      <c r="F234" s="12" t="inlineStr">
        <is>
          <t>M4042</t>
        </is>
      </c>
      <c r="G234" s="14" t="inlineStr">
        <is>
          <t>Fortuna</t>
        </is>
      </c>
      <c r="H234" s="14" t="inlineStr">
        <is>
          <t>Maybelline</t>
        </is>
      </c>
      <c r="I234" s="14" t="inlineStr">
        <is>
          <t>Maybelline Fit Me Matte &amp; Poreless Foundation</t>
        </is>
      </c>
      <c r="J234" s="14" t="inlineStr">
        <is>
          <t>No</t>
        </is>
      </c>
      <c r="K234" s="14" t="inlineStr">
        <is>
          <t>https://www.amazon.de/MAYBELLINE-Foundation-Mattierend-porenverfeinernd-Klassisches/dp/B01F32BPOE/ref=sr_1_1?__mk_de_DE=%C3%85M%C3%85%C5%BD%C3%95%C3%91&amp;crid=2YI4CO1OBG7PU&amp;dib=eyJ2IjoiMSJ9.bB77cfIfL5TjF4SKxTGLFw.UXtvtgfqiqwnSuYqkbsqiSkl9CmtBO2C0yhaP6pknEE&amp;dib_tag=se&amp;keywords=B01F32BPOE&amp;qid=1755339010&amp;sprefix=b01f32bpoe%2Caps%2C146&amp;sr=8-1&amp;th=1</t>
        </is>
      </c>
      <c r="L234" s="14" t="inlineStr">
        <is>
          <t>B01F32BPOE</t>
        </is>
      </c>
      <c r="M234" s="15" t="n"/>
      <c r="N234" s="15" t="n"/>
      <c r="O234" s="15" t="n">
        <v>12.9</v>
      </c>
      <c r="P234" s="15">
        <f>O234/1.19</f>
        <v/>
      </c>
      <c r="Q234" s="15">
        <f>O234-P234</f>
        <v/>
      </c>
      <c r="R234" s="15">
        <f>O234*0.15</f>
        <v/>
      </c>
      <c r="S234" s="15" t="n">
        <v>5.92</v>
      </c>
      <c r="T234" s="15">
        <f>S234*0.2</f>
        <v/>
      </c>
      <c r="U234" s="15" t="n">
        <v>0.400000000000002</v>
      </c>
      <c r="V234" s="15" t="n">
        <v>2.4</v>
      </c>
      <c r="W234" s="15">
        <f>V234*0.2</f>
        <v/>
      </c>
      <c r="X234" s="16">
        <f>O234-Q234-R234-S234-U234-V234+T234+W234</f>
        <v/>
      </c>
      <c r="Y234" s="14" t="n"/>
      <c r="Z234" s="15">
        <f>O234+1.5</f>
        <v/>
      </c>
      <c r="AA234" s="15" t="n"/>
      <c r="AB234" s="15" t="n">
        <v>10.965</v>
      </c>
      <c r="AC234" s="14" t="n"/>
      <c r="AD234" s="14" t="n"/>
      <c r="AE234" s="13" t="inlineStr">
        <is>
          <t>NOT_UPLOADED</t>
        </is>
      </c>
    </row>
    <row r="235" ht="16" customHeight="1">
      <c r="A235" s="17" t="n">
        <v>3600531325138</v>
      </c>
      <c r="B235" s="17" t="n">
        <v>3600531324520</v>
      </c>
      <c r="C235" s="13" t="n"/>
      <c r="D235" s="18" t="n"/>
      <c r="E235" s="18" t="inlineStr">
        <is>
          <t>FOR- 3600531325138</t>
        </is>
      </c>
      <c r="F235" s="17" t="inlineStr">
        <is>
          <t>M4042</t>
        </is>
      </c>
      <c r="G235" s="18" t="inlineStr">
        <is>
          <t>Fortuna</t>
        </is>
      </c>
      <c r="H235" s="18" t="inlineStr">
        <is>
          <t>Maybelline</t>
        </is>
      </c>
      <c r="I235" s="18" t="inlineStr">
        <is>
          <t>Maybelline Fit Me Mate Y Afinaporos Tono 120 Classic Ivory Base De Maquillaje Calca A Tu Tono Y Textura Pieles Claras - 30Ml</t>
        </is>
      </c>
      <c r="J235" s="18" t="inlineStr">
        <is>
          <t>No</t>
        </is>
      </c>
      <c r="K235" s="18" t="inlineStr">
        <is>
          <t>https://www.amazon.de/Maybelline-Afinaporos-Classic-Maquillaje-Textura/dp/B01LW2S0B7/ref=sr_1_1?__mk_de_DE=%C3%85M%C3%85%C5%BD%C3%95%C3%91&amp;crid=1TA2AF6AVIV71&amp;dib=eyJ2IjoiMSJ9.f9Zoq6-uW77ntwQUM952eQ.WFowxtx1J0CHxfxclrDeY2Dq4tj1W2i-7iKV6IL6Dzk&amp;dib_tag=se&amp;keywords=B01LW2S0B7&amp;qid=1755339536&amp;sprefix=b01lw2s0b7%2Caps%2C164&amp;sr=8-1&amp;th=1</t>
        </is>
      </c>
      <c r="L235" s="18" t="inlineStr">
        <is>
          <t>B01LW2S0B7</t>
        </is>
      </c>
      <c r="M235" s="19" t="n"/>
      <c r="N235" s="19" t="n"/>
      <c r="O235" s="19" t="n">
        <v>13</v>
      </c>
      <c r="P235" s="19">
        <f>O235/1.19</f>
        <v/>
      </c>
      <c r="Q235" s="19">
        <f>O235-P235</f>
        <v/>
      </c>
      <c r="R235" s="19">
        <f>O235*0.15</f>
        <v/>
      </c>
      <c r="S235" s="19" t="n">
        <v>5.92</v>
      </c>
      <c r="T235" s="19">
        <f>S235*0.2</f>
        <v/>
      </c>
      <c r="U235" s="19" t="n">
        <v>0.400000000000002</v>
      </c>
      <c r="V235" s="19" t="n">
        <v>2.4</v>
      </c>
      <c r="W235" s="19">
        <f>V235*0.2</f>
        <v/>
      </c>
      <c r="X235" s="16">
        <f>O235-Q235-R235-S235-U235-V235+T235+W235</f>
        <v/>
      </c>
      <c r="Y235" s="18" t="n"/>
      <c r="Z235" s="19">
        <f>O235+1.5</f>
        <v/>
      </c>
      <c r="AA235" s="19" t="n"/>
      <c r="AB235" s="19" t="n">
        <v>11.05</v>
      </c>
      <c r="AC235" s="18" t="n"/>
      <c r="AD235" s="18" t="n"/>
      <c r="AE235" s="13" t="inlineStr">
        <is>
          <t>NOT_UPLOADED</t>
        </is>
      </c>
    </row>
    <row r="236" ht="16" customHeight="1">
      <c r="A236" s="12" t="n">
        <v>3600531324544</v>
      </c>
      <c r="B236" s="12" t="n">
        <v>3600531324544</v>
      </c>
      <c r="C236" s="13" t="n"/>
      <c r="D236" s="14" t="n"/>
      <c r="E236" s="14" t="inlineStr">
        <is>
          <t>FOR-3600531324544</t>
        </is>
      </c>
      <c r="F236" s="12" t="inlineStr">
        <is>
          <t>M4043</t>
        </is>
      </c>
      <c r="G236" s="14" t="inlineStr">
        <is>
          <t>Fortuna</t>
        </is>
      </c>
      <c r="H236" s="14" t="inlineStr">
        <is>
          <t>Maybelline</t>
        </is>
      </c>
      <c r="I236" s="14" t="inlineStr">
        <is>
          <t>MAYBELLINE Fit Me matt Fr Foundation, 130 Buff Beige</t>
        </is>
      </c>
      <c r="J236" s="14" t="inlineStr">
        <is>
          <t>No</t>
        </is>
      </c>
      <c r="K236" s="14" t="inlineStr">
        <is>
          <t>https://www.amazon.de/Maybelline-Fit-Me-matt-Foundation/dp/B01GHP57N6/ref=sr_1_1?__mk_de_DE=%C3%85M%C3%85%C5%BD%C3%95%C3%91&amp;crid=3T9YHNMHUV0IT&amp;dib=eyJ2IjoiMSJ9.Jj2z8c6wZQnWl1DFfGW_OVGtuNHePcVlBG569aH-h0xq8lAZzK5Q5bfuyGT9tAAc.irN_J24QEkjspWV0Y1BhdLPXahXW0VIs3avFvcmpVW0&amp;dib_tag=se&amp;keywords=3600531324544&amp;qid=1749928866&amp;sprefix=3600531324544%2Caps%2C68&amp;sr=8-1&amp;th=1</t>
        </is>
      </c>
      <c r="L236" s="14" t="inlineStr">
        <is>
          <t>B01GHP57N6</t>
        </is>
      </c>
      <c r="M236" s="15" t="n">
        <v>13.73</v>
      </c>
      <c r="N236" s="15" t="n"/>
      <c r="O236" s="15" t="n">
        <v>13.1</v>
      </c>
      <c r="P236" s="15">
        <f>O236/1.19</f>
        <v/>
      </c>
      <c r="Q236" s="15">
        <f>O236-P236</f>
        <v/>
      </c>
      <c r="R236" s="15">
        <f>O236*0.15</f>
        <v/>
      </c>
      <c r="S236" s="15" t="n">
        <v>5.92</v>
      </c>
      <c r="T236" s="15">
        <f>S236*0.2</f>
        <v/>
      </c>
      <c r="U236" s="15" t="n">
        <v>0.400000000000002</v>
      </c>
      <c r="V236" s="15" t="n">
        <v>2.4</v>
      </c>
      <c r="W236" s="15">
        <f>V236*0.2</f>
        <v/>
      </c>
      <c r="X236" s="16">
        <f>O236-Q236-R236-S236-U236-V236+T236+W236</f>
        <v/>
      </c>
      <c r="Y236" s="14" t="n"/>
      <c r="Z236" s="15">
        <f>O236+1.5</f>
        <v/>
      </c>
      <c r="AA236" s="15" t="n"/>
      <c r="AB236" s="15" t="n">
        <v>11.135</v>
      </c>
      <c r="AC236" s="14" t="n"/>
      <c r="AD236" s="14" t="n"/>
      <c r="AE236" s="13" t="inlineStr">
        <is>
          <t>NOT_UPLOADED</t>
        </is>
      </c>
    </row>
    <row r="237" ht="16" customHeight="1">
      <c r="A237" s="17" t="n">
        <v>3600531325176</v>
      </c>
      <c r="B237" s="17" t="n">
        <v>3600531324544</v>
      </c>
      <c r="C237" s="13" t="n"/>
      <c r="D237" s="18" t="n"/>
      <c r="E237" s="18" t="inlineStr">
        <is>
          <t>FOR-3600531325176</t>
        </is>
      </c>
      <c r="F237" s="17" t="inlineStr">
        <is>
          <t>M4043</t>
        </is>
      </c>
      <c r="G237" s="18" t="inlineStr">
        <is>
          <t>Fortuna</t>
        </is>
      </c>
      <c r="H237" s="18" t="inlineStr">
        <is>
          <t>Maybelline</t>
        </is>
      </c>
      <c r="I237" s="18" t="inlineStr">
        <is>
          <t>Maybelline Make-up-Finisher, 130, 30ml</t>
        </is>
      </c>
      <c r="J237" s="18" t="inlineStr">
        <is>
          <t>No</t>
        </is>
      </c>
      <c r="K237" s="18" t="inlineStr">
        <is>
          <t>https://www.amazon.de/MAYBELLINE-3600531325053-Maybelline-Make-up-Finisher-30ml/dp/B01LW42MJX/ref=sr_1_1?__mk_de_DE=%C3%85M%C3%85%C5%BD%C3%95%C3%91&amp;crid=22BRV5WZDXSJX&amp;dib=eyJ2IjoiMSJ9.riGjDQUFY2_wY7Y31cac5g.ENv8MwJbrlRLhqNDLMVdzCIcoZiQbuiJ6ejdT-Vobgw&amp;dib_tag=se&amp;keywords=B01LW42MJX&amp;qid=1755442501&amp;sprefix=b01lw42mjx%2Caps%2C493&amp;sr=8-1</t>
        </is>
      </c>
      <c r="L237" s="18" t="inlineStr">
        <is>
          <t>B01LW42MJX</t>
        </is>
      </c>
      <c r="M237" s="19" t="n"/>
      <c r="N237" s="19" t="n"/>
      <c r="O237" s="19" t="n">
        <v>13.45</v>
      </c>
      <c r="P237" s="19">
        <f>O237/1.19</f>
        <v/>
      </c>
      <c r="Q237" s="19">
        <f>O237-P237</f>
        <v/>
      </c>
      <c r="R237" s="19">
        <f>O237*0.15</f>
        <v/>
      </c>
      <c r="S237" s="19" t="n">
        <v>5.92</v>
      </c>
      <c r="T237" s="19">
        <f>S237*0.2</f>
        <v/>
      </c>
      <c r="U237" s="19" t="n">
        <v>0.400000000000002</v>
      </c>
      <c r="V237" s="19" t="n">
        <v>2.4</v>
      </c>
      <c r="W237" s="19">
        <f>V237*0.2</f>
        <v/>
      </c>
      <c r="X237" s="21">
        <f>O237-Q237-R237-S237-U237-V237+T237+W237</f>
        <v/>
      </c>
      <c r="Y237" s="18" t="n"/>
      <c r="Z237" s="19">
        <f>O237+1.5</f>
        <v/>
      </c>
      <c r="AA237" s="19" t="n"/>
      <c r="AB237" s="19" t="n">
        <v>11.4325</v>
      </c>
      <c r="AC237" s="18" t="n"/>
      <c r="AD237" s="18" t="n"/>
      <c r="AE237" s="13" t="inlineStr">
        <is>
          <t>NOT_UPLOADED</t>
        </is>
      </c>
    </row>
    <row r="238" ht="16" customHeight="1">
      <c r="A238" s="12" t="n">
        <v>3600531324544</v>
      </c>
      <c r="B238" s="12" t="n">
        <v>3600531324544</v>
      </c>
      <c r="C238" s="20" t="inlineStr">
        <is>
          <t>PACK X 2</t>
        </is>
      </c>
      <c r="D238" s="14" t="n"/>
      <c r="E238" s="14" t="inlineStr">
        <is>
          <t>FOR-36005313245442</t>
        </is>
      </c>
      <c r="F238" s="12" t="inlineStr">
        <is>
          <t>M4043</t>
        </is>
      </c>
      <c r="G238" s="14" t="inlineStr">
        <is>
          <t>Fortuna</t>
        </is>
      </c>
      <c r="H238" s="14" t="inlineStr">
        <is>
          <t>Maybelline</t>
        </is>
      </c>
      <c r="I238" s="14" t="inlineStr">
        <is>
          <t>2 x Maybelline Fit Me Matte &amp; Poreless Grundierung Grundierung 30ml 130 Buff Beige</t>
        </is>
      </c>
      <c r="J238" s="14" t="inlineStr">
        <is>
          <t>No</t>
        </is>
      </c>
      <c r="K238" s="14" t="inlineStr">
        <is>
          <t>https://www.amazon.de/Maybelline-Matte-Poreless-Grundierung-Beige/dp/B076PL72JM/ref=sr_1_1?__mk_de_DE=%C3%85M%C3%85%C5%BD%C3%95%C3%91&amp;crid=3HVSMZW6NNDJO&amp;dib=eyJ2IjoiMSJ9.cCijE2bhHyaOg8Sih3duKg.d_uvLfCME5L4dMz458kdolMWC16Cdr1pVrXSonL31gg&amp;dib_tag=se&amp;keywords=B076PL72JM&amp;qid=1755442813&amp;sprefix=b076pl72jm%2Caps%2C1304&amp;sr=8-1</t>
        </is>
      </c>
      <c r="L238" s="14" t="inlineStr">
        <is>
          <t>B076PL72JM</t>
        </is>
      </c>
      <c r="M238" s="15" t="n"/>
      <c r="N238" s="15" t="n"/>
      <c r="O238" s="15" t="n">
        <v>23.4</v>
      </c>
      <c r="P238" s="15">
        <f>O238/1.19</f>
        <v/>
      </c>
      <c r="Q238" s="15">
        <f>O238-P238</f>
        <v/>
      </c>
      <c r="R238" s="15">
        <f>O238*0.15</f>
        <v/>
      </c>
      <c r="S238" s="15" t="n">
        <v>11.84</v>
      </c>
      <c r="T238" s="15">
        <f>S238*0.2</f>
        <v/>
      </c>
      <c r="U238" s="15" t="n">
        <v>0.400000000000002</v>
      </c>
      <c r="V238" s="15" t="n">
        <v>2.7</v>
      </c>
      <c r="W238" s="15">
        <f>V238*0.2</f>
        <v/>
      </c>
      <c r="X238" s="21">
        <f>O238-Q238-R238-S238-U238-V238+T238+W238</f>
        <v/>
      </c>
      <c r="Y238" s="14" t="n"/>
      <c r="Z238" s="15">
        <f>O238+1.5</f>
        <v/>
      </c>
      <c r="AA238" s="15" t="n"/>
      <c r="AB238" s="15" t="n">
        <v>19.89</v>
      </c>
      <c r="AC238" s="14" t="n"/>
      <c r="AD238" s="14" t="n"/>
      <c r="AE238" s="13" t="inlineStr">
        <is>
          <t>NOT_UPLOADED</t>
        </is>
      </c>
    </row>
    <row r="239" ht="16" customHeight="1">
      <c r="A239" s="17" t="n">
        <v>3600531324544</v>
      </c>
      <c r="B239" s="17" t="n">
        <v>3600531324544</v>
      </c>
      <c r="C239" s="20" t="inlineStr">
        <is>
          <t>PACK X 3</t>
        </is>
      </c>
      <c r="D239" s="18" t="n"/>
      <c r="E239" s="18" t="inlineStr">
        <is>
          <t>FOR-36005313245443</t>
        </is>
      </c>
      <c r="F239" s="17" t="inlineStr">
        <is>
          <t>M4043</t>
        </is>
      </c>
      <c r="G239" s="18" t="inlineStr">
        <is>
          <t>Fortuna</t>
        </is>
      </c>
      <c r="H239" s="18" t="inlineStr">
        <is>
          <t>Maybelline</t>
        </is>
      </c>
      <c r="I239" s="18" t="inlineStr">
        <is>
          <t>3 x Maybelline Fit Me Matte &amp; Poreless Foundation Foundation 30ml 130 Buff Beige</t>
        </is>
      </c>
      <c r="J239" s="18" t="inlineStr">
        <is>
          <t>No</t>
        </is>
      </c>
      <c r="K239" s="18" t="inlineStr">
        <is>
          <t>https://www.amazon.de/Maybelline-Matte-Poreless-Foundation-Beige/dp/B076PG481Q/ref=sr_1_1?__mk_de_DE=%C3%85M%C3%85%C5%BD%C3%95%C3%91&amp;crid=12ONSPO2PM3AU&amp;dib=eyJ2IjoiMSJ9.p2L6LIgEncWmcqVoHUOgpg.0hrF860MVpmlA5gLYLkFOAHZ97j9S5eVeq8N04Hps7M&amp;dib_tag=se&amp;keywords=B076PG481Q&amp;qid=1757092315&amp;s=luxury-beauty&amp;sprefix=b076pg481q%2Cluxury-beauty%2C125&amp;sr=1-1</t>
        </is>
      </c>
      <c r="L239" s="18" t="inlineStr">
        <is>
          <t>B076PG481Q</t>
        </is>
      </c>
      <c r="M239" s="19" t="n"/>
      <c r="N239" s="19" t="n"/>
      <c r="O239" s="19" t="n">
        <v>31.9</v>
      </c>
      <c r="P239" s="19">
        <f>O239/1.19</f>
        <v/>
      </c>
      <c r="Q239" s="19">
        <f>O239-P239</f>
        <v/>
      </c>
      <c r="R239" s="19">
        <f>O239*0.15</f>
        <v/>
      </c>
      <c r="S239" s="19" t="n">
        <v>17.76</v>
      </c>
      <c r="T239" s="19">
        <f>S239*0.2</f>
        <v/>
      </c>
      <c r="U239" s="19" t="n">
        <v>0.400000000000002</v>
      </c>
      <c r="V239" s="19" t="n">
        <v>3</v>
      </c>
      <c r="W239" s="19">
        <f>V239*0.2</f>
        <v/>
      </c>
      <c r="X239" s="21">
        <f>O239-Q239-R239-S239-U239-V239+T239+W239</f>
        <v/>
      </c>
      <c r="Y239" s="18" t="n"/>
      <c r="Z239" s="19">
        <f>O239+1.5</f>
        <v/>
      </c>
      <c r="AA239" s="19" t="n"/>
      <c r="AB239" s="19" t="n">
        <v>27.115</v>
      </c>
      <c r="AC239" s="18" t="n"/>
      <c r="AD239" s="18" t="n"/>
      <c r="AE239" s="13" t="inlineStr">
        <is>
          <t>NOT_UPLOADED</t>
        </is>
      </c>
    </row>
    <row r="240" ht="16" customHeight="1">
      <c r="A240" s="12" t="n">
        <v>3600531324551</v>
      </c>
      <c r="B240" s="12" t="n">
        <v>3600531324551</v>
      </c>
      <c r="C240" s="13" t="n"/>
      <c r="D240" s="14" t="n"/>
      <c r="E240" s="14" t="inlineStr">
        <is>
          <t>FOR-3600531324551</t>
        </is>
      </c>
      <c r="F240" s="12" t="inlineStr">
        <is>
          <t>M4044</t>
        </is>
      </c>
      <c r="G240" s="14" t="inlineStr">
        <is>
          <t>Fortuna</t>
        </is>
      </c>
      <c r="H240" s="14" t="inlineStr">
        <is>
          <t>Maybelline</t>
        </is>
      </c>
      <c r="I240" s="14" t="inlineStr">
        <is>
          <t>Maybelline New York Make Up, Fit Me. Matte + Poreless Make-Up Nr. 220 Natural Beige, Mattierend und porenverfeinernd, Alle Hauttypen, 30 ml</t>
        </is>
      </c>
      <c r="J240" s="14" t="inlineStr">
        <is>
          <t>No</t>
        </is>
      </c>
      <c r="K240" s="14" t="inlineStr">
        <is>
          <t>https://www.amazon.de/Maybelline-New-York-Poreless-Natural/dp/B01G45AY3M/ref=sr_1_1?__mk_de_DE=%C3%85M%C3%85%C5%BD%C3%95%C3%91&amp;crid=275N5CR6NAD62&amp;dib=eyJ2IjoiMSJ9.FjSoxVZR3xJP6olu8Y8PKw.CvufMGrWNaxNlNyYa1MF5-3EgD8XFLBNpHPUNOIuZQo&amp;dib_tag=se&amp;keywords=3600531324551&amp;qid=1749928985&amp;rdc=1&amp;sprefix=3600531324551%2Caps%2C125&amp;sr=8-1&amp;th=1</t>
        </is>
      </c>
      <c r="L240" s="14" t="inlineStr">
        <is>
          <t>B01G45AY3M</t>
        </is>
      </c>
      <c r="M240" s="15" t="n">
        <v>13.73</v>
      </c>
      <c r="N240" s="15" t="n"/>
      <c r="O240" s="15" t="n">
        <v>13.1</v>
      </c>
      <c r="P240" s="15">
        <f>O240/1.19</f>
        <v/>
      </c>
      <c r="Q240" s="15">
        <f>O240-P240</f>
        <v/>
      </c>
      <c r="R240" s="15">
        <f>O240*0.15</f>
        <v/>
      </c>
      <c r="S240" s="15" t="n">
        <v>5.92</v>
      </c>
      <c r="T240" s="15">
        <f>S240*0.2</f>
        <v/>
      </c>
      <c r="U240" s="15" t="n">
        <v>0.400000000000002</v>
      </c>
      <c r="V240" s="15" t="n">
        <v>2</v>
      </c>
      <c r="W240" s="15">
        <f>V240*0.2</f>
        <v/>
      </c>
      <c r="X240" s="21">
        <f>O240-Q240-R240-S240-U240-V240+T240+W240</f>
        <v/>
      </c>
      <c r="Y240" s="14" t="n"/>
      <c r="Z240" s="15">
        <f>O240+1.5</f>
        <v/>
      </c>
      <c r="AA240" s="15" t="n"/>
      <c r="AB240" s="15" t="n">
        <v>11.135</v>
      </c>
      <c r="AC240" s="14" t="n"/>
      <c r="AD240" s="14" t="n"/>
      <c r="AE240" s="13" t="inlineStr">
        <is>
          <t>NOT_UPLOADED</t>
        </is>
      </c>
    </row>
    <row r="241" ht="16" customHeight="1">
      <c r="A241" s="17" t="n">
        <v>3600531324551</v>
      </c>
      <c r="B241" s="17" t="n">
        <v>3600531324551</v>
      </c>
      <c r="C241" s="13" t="n"/>
      <c r="D241" s="18" t="n"/>
      <c r="E241" s="18" t="inlineStr">
        <is>
          <t>MA-3600531324551</t>
        </is>
      </c>
      <c r="F241" s="17" t="inlineStr">
        <is>
          <t>M4044</t>
        </is>
      </c>
      <c r="G241" s="18" t="inlineStr">
        <is>
          <t>Fortuna</t>
        </is>
      </c>
      <c r="H241" s="18" t="inlineStr">
        <is>
          <t>Maybelline</t>
        </is>
      </c>
      <c r="I241" s="18" t="inlineStr">
        <is>
          <t>Maybelline Makeup Fit Me Mat #220 Natural Beige</t>
        </is>
      </c>
      <c r="J241" s="18" t="inlineStr">
        <is>
          <t>No</t>
        </is>
      </c>
      <c r="K241" s="18" t="inlineStr">
        <is>
          <t>https://www.amazon.de/-/en/Maybelline-Makeup-Fit-Natural-Beige/dp/B072HJHPZF/ref=sr_1_8?crid=1KTIQTHX6EP81&amp;dib=eyJ2IjoiMSJ9.qPRZGhYakkkgYpwtU7auSad8hLDanrDZOP02XESfdextydGF4Ncc471prEkYjJirrerKwyzAjGP4_wgxISgedOUXFIFLwNntiUW5Xze_dJ4uXRc8h1poc_xNWtHQ9EfASoAVp0ZvQ2g1qmtBiQqq8qem7blAQNPqKxZ5a0xoypzeEVUKYrnCJrDh2xAQinNoWHzDRRHQ4LoDDH9gwGnXob-KJ--mqWpIbPXr6Vboo0aPOtfd7WNvWfS2YkBKIjdz-kp9inIMM1hcOLfBDT9Og2p2F5K0f12zjYBhJSVoZBo.Uaq6FOVYLo-dMRKG26heleS7STf4wMgv0nTkmzwE4a4&amp;dib_tag=se&amp;keywords=Maybelline%2Bporeless%2Bivory%2B220&amp;qid=1755526293&amp;sprefix=maybelline%2Bporeless%2Bivory%2B220%2Caps%2C233&amp;sr=8-8&amp;th=1</t>
        </is>
      </c>
      <c r="L241" s="18" t="inlineStr">
        <is>
          <t>B072HJHPZF</t>
        </is>
      </c>
      <c r="M241" s="19" t="n"/>
      <c r="N241" s="19" t="n"/>
      <c r="O241" s="19" t="n">
        <v>12.9</v>
      </c>
      <c r="P241" s="19">
        <f>O241/1.19</f>
        <v/>
      </c>
      <c r="Q241" s="19">
        <f>O241-P241</f>
        <v/>
      </c>
      <c r="R241" s="19">
        <f>O241*0.15</f>
        <v/>
      </c>
      <c r="S241" s="19" t="n">
        <v>5.92</v>
      </c>
      <c r="T241" s="19">
        <f>S241*0.2</f>
        <v/>
      </c>
      <c r="U241" s="19" t="n">
        <v>0.400000000000002</v>
      </c>
      <c r="V241" s="19" t="n">
        <v>2</v>
      </c>
      <c r="W241" s="19">
        <f>V241*0.2</f>
        <v/>
      </c>
      <c r="X241" s="21">
        <f>O241-Q241-R241-S241-U241-V241+T241+W241</f>
        <v/>
      </c>
      <c r="Y241" s="18" t="n"/>
      <c r="Z241" s="19">
        <f>O241+1.5</f>
        <v/>
      </c>
      <c r="AA241" s="19" t="n"/>
      <c r="AB241" s="19" t="n">
        <v>10.965</v>
      </c>
      <c r="AC241" s="18" t="n"/>
      <c r="AD241" s="18" t="n"/>
      <c r="AE241" s="13" t="inlineStr">
        <is>
          <t>NOT_UPLOADED</t>
        </is>
      </c>
    </row>
    <row r="242" ht="16" customHeight="1">
      <c r="A242" s="12" t="n">
        <v>3600531324551</v>
      </c>
      <c r="B242" s="12" t="n">
        <v>3600531324551</v>
      </c>
      <c r="C242" s="13" t="n"/>
      <c r="D242" s="14" t="n"/>
      <c r="E242" s="14" t="inlineStr">
        <is>
          <t>MAY-3600531324551</t>
        </is>
      </c>
      <c r="F242" s="12" t="inlineStr">
        <is>
          <t>M4044</t>
        </is>
      </c>
      <c r="G242" s="14" t="inlineStr">
        <is>
          <t>Fortuna</t>
        </is>
      </c>
      <c r="H242" s="14" t="inlineStr">
        <is>
          <t>Maybelline</t>
        </is>
      </c>
      <c r="I242" s="14" t="inlineStr">
        <is>
          <t>Fit me! Matte &amp; Poreless Make up by Maybelline</t>
        </is>
      </c>
      <c r="J242" s="14" t="inlineStr">
        <is>
          <t>No</t>
        </is>
      </c>
      <c r="K242" s="14" t="inlineStr">
        <is>
          <t>https://www.amazon.de/-/en/Fit-Matte-Poreless-Make-Maybelline/dp/B01LW3YM4V/ref=sr_1_10?crid=1KTIQTHX6EP81&amp;dib=eyJ2IjoiMSJ9.qPRZGhYakkkgYpwtU7auSad8hLDanrDZOP02XESfdextydGF4Ncc471prEkYjJirrerKwyzAjGP4_wgxISgedOUXFIFLwNntiUW5Xze_dJ4uXRc8h1poc_xNWtHQ9EfASoAVp0ZvQ2g1qmtBiQqq8qem7blAQNPqKxZ5a0xoypzeEVUKYrnCJrDh2xAQinNoWHzDRRHQ4LoDDH9gwGnXob-KJ--mqWpIbPXr6Vboo0aPOtfd7WNvWfS2YkBKIjdz-kp9inIMM1hcOLfBDT9Og2p2F5K0f12zjYBhJSVoZBo.Uaq6FOVYLo-dMRKG26heleS7STf4wMgv0nTkmzwE4a4&amp;dib_tag=se&amp;keywords=Maybelline+poreless+ivory+220&amp;qid=1755526293&amp;sprefix=maybelline+poreless+ivory+220%2Caps%2C233&amp;sr=8-10</t>
        </is>
      </c>
      <c r="L242" s="14" t="inlineStr">
        <is>
          <t>B01LW3YM4V</t>
        </is>
      </c>
      <c r="M242" s="15" t="n"/>
      <c r="N242" s="15" t="n"/>
      <c r="O242" s="15" t="n">
        <v>12.9</v>
      </c>
      <c r="P242" s="15">
        <f>O242/1.19</f>
        <v/>
      </c>
      <c r="Q242" s="15">
        <f>O242-P242</f>
        <v/>
      </c>
      <c r="R242" s="15">
        <f>O242*0.15</f>
        <v/>
      </c>
      <c r="S242" s="15" t="n">
        <v>5.92</v>
      </c>
      <c r="T242" s="15">
        <f>S242*0.2</f>
        <v/>
      </c>
      <c r="U242" s="15" t="n">
        <v>0.400000000000002</v>
      </c>
      <c r="V242" s="15" t="n">
        <v>2.08</v>
      </c>
      <c r="W242" s="15">
        <f>V242*0.2</f>
        <v/>
      </c>
      <c r="X242" s="21">
        <f>O242-Q242-R242-S242-U242-V242+T242+W242</f>
        <v/>
      </c>
      <c r="Y242" s="14" t="n"/>
      <c r="Z242" s="15">
        <f>O242+1.5</f>
        <v/>
      </c>
      <c r="AA242" s="15" t="n">
        <v>5.33</v>
      </c>
      <c r="AB242" s="15" t="n">
        <v>10.965</v>
      </c>
      <c r="AC242" s="14" t="n"/>
      <c r="AD242" s="14" t="n"/>
      <c r="AE242" s="13" t="inlineStr">
        <is>
          <t>NOT_UPLOADED</t>
        </is>
      </c>
    </row>
    <row r="243" ht="16" customHeight="1">
      <c r="A243" s="17" t="n">
        <v>3600531324551</v>
      </c>
      <c r="B243" s="17" t="n">
        <v>3600531324551</v>
      </c>
      <c r="C243" s="13" t="n"/>
      <c r="D243" s="18" t="n"/>
      <c r="E243" s="18" t="inlineStr">
        <is>
          <t>M-3600531324551</t>
        </is>
      </c>
      <c r="F243" s="17" t="inlineStr">
        <is>
          <t>M4044</t>
        </is>
      </c>
      <c r="G243" s="18" t="inlineStr">
        <is>
          <t>Fortuna</t>
        </is>
      </c>
      <c r="H243" s="18" t="inlineStr">
        <is>
          <t>Maybelline</t>
        </is>
      </c>
      <c r="I243" s="18" t="inlineStr">
        <is>
          <t>Maybelline New York Fit Me Matte Foundation</t>
        </is>
      </c>
      <c r="J243" s="18" t="inlineStr">
        <is>
          <t>No</t>
        </is>
      </c>
      <c r="K243" s="18" t="inlineStr">
        <is>
          <t>https://www.amazon.de/-/en/Maybelline-New-York-Matte-Foundation/dp/B0794PMPNB/ref=sr_1_12?crid=1KTIQTHX6EP81&amp;dib=eyJ2IjoiMSJ9.qPRZGhYakkkgYpwtU7auSad8hLDanrDZOP02XESfdextydGF4Ncc471prEkYjJirrerKwyzAjGP4_wgxISgedOUXFIFLwNntiUW5Xze_dJ4uXRc8h1poc_xNWtHQ9EfAtbSH494JRq-8TFoCqgada3X7Vujna6VaFNx86l-jq-veEVUKYrnCJrDh2xAQinNoWHzDRRHQ4LoDDH9gwGnXob-KJ--mqWpIbPXr6Vboo0aPOtfd7WNvWfS2YkBKIjdz-kp9inIMM1hcOLfBDT9Og4zvwka1bji8jnKUa5gOxKc.7JjErIUAftSMwL0JOgJF6mU1wAXbMRuxfbasfdSaotc&amp;dib_tag=se&amp;keywords=Maybelline%2Bporeless%2Bivory%2B220&amp;qid=1755526720&amp;sprefix=maybelline%2Bporeless%2Bivory%2B220%2Caps%2C233&amp;sr=8-12&amp;th=1</t>
        </is>
      </c>
      <c r="L243" s="18" t="inlineStr">
        <is>
          <t>B0794PMPNB</t>
        </is>
      </c>
      <c r="M243" s="19" t="n"/>
      <c r="N243" s="19" t="n"/>
      <c r="O243" s="19" t="n">
        <v>13.5</v>
      </c>
      <c r="P243" s="19">
        <f>O243/1.19</f>
        <v/>
      </c>
      <c r="Q243" s="19">
        <f>O243-P243</f>
        <v/>
      </c>
      <c r="R243" s="19">
        <f>O243*0.15</f>
        <v/>
      </c>
      <c r="S243" s="19" t="n">
        <v>5.92</v>
      </c>
      <c r="T243" s="19">
        <f>S243*0.2</f>
        <v/>
      </c>
      <c r="U243" s="19" t="n">
        <v>0.400000000000002</v>
      </c>
      <c r="V243" s="19" t="n">
        <v>2</v>
      </c>
      <c r="W243" s="19">
        <f>V243*0.2</f>
        <v/>
      </c>
      <c r="X243" s="21">
        <f>O243-Q243-R243-S243-U243-V243+T243+W243</f>
        <v/>
      </c>
      <c r="Y243" s="18" t="n"/>
      <c r="Z243" s="19">
        <f>O243+1.5</f>
        <v/>
      </c>
      <c r="AA243" s="19" t="n"/>
      <c r="AB243" s="19" t="n">
        <v>11.475</v>
      </c>
      <c r="AC243" s="18" t="n"/>
      <c r="AD243" s="18" t="n"/>
      <c r="AE243" s="13" t="inlineStr">
        <is>
          <t>NOT_UPLOADED</t>
        </is>
      </c>
    </row>
    <row r="244" ht="16" customHeight="1">
      <c r="A244" s="12" t="n">
        <v>3600531395544</v>
      </c>
      <c r="B244" s="12" t="n">
        <v>3600531395544</v>
      </c>
      <c r="C244" s="13" t="n"/>
      <c r="D244" s="14" t="n"/>
      <c r="E244" s="14" t="inlineStr">
        <is>
          <t>FOR-3600531395544</t>
        </is>
      </c>
      <c r="F244" s="12" t="inlineStr">
        <is>
          <t>M4046</t>
        </is>
      </c>
      <c r="G244" s="14" t="inlineStr">
        <is>
          <t>Fortuna</t>
        </is>
      </c>
      <c r="H244" s="14" t="inlineStr">
        <is>
          <t>Maybelline</t>
        </is>
      </c>
      <c r="I244" s="14" t="inlineStr">
        <is>
          <t>Maybelline New York Fit me! MATTE&amp;PORELESS Make-up Nr. 238 Rich Tan, flüssiges Make-up, passt sich dem Hautton an, feuchtigkeitsspendend, mattierend, leichte bis mittlere Deckkraft, 30 ml</t>
        </is>
      </c>
      <c r="J244" s="14" t="inlineStr">
        <is>
          <t>No</t>
        </is>
      </c>
      <c r="K244" s="14" t="inlineStr">
        <is>
          <t>https://www.amazon.de/Maybelline-fl%C3%BCssiges-feuchtigkeitsspendend-mattierend-Deckkraft/dp/B076SBVTQY/ref=sr_1_1?__mk_de_DE=%C3%85M%C3%85%C5%BD%C3%95%C3%91&amp;crid=3SZGBF7SL9HY5&amp;dib=eyJ2IjoiMSJ9.iKLAzYYGhszT4jC2zDL84418juCXdr6WWbpTzg3lYDQ.BSW5X9-iFC0jWR7Oo6HAOHne6nCOU6IEmk09aB1yGEI&amp;dib_tag=se&amp;keywords=3600531395544&amp;qid=1749929070&amp;rdc=1&amp;sprefix=3600531395544%2Caps%2C128&amp;sr=8-1</t>
        </is>
      </c>
      <c r="L244" s="14" t="inlineStr">
        <is>
          <t>B076SBVTQY</t>
        </is>
      </c>
      <c r="M244" s="15" t="n">
        <v>13.73</v>
      </c>
      <c r="N244" s="15" t="n"/>
      <c r="O244" s="15" t="n">
        <v>12.5</v>
      </c>
      <c r="P244" s="15">
        <f>O244/1.19</f>
        <v/>
      </c>
      <c r="Q244" s="15">
        <f>O244-P244</f>
        <v/>
      </c>
      <c r="R244" s="15">
        <f>O244*0.15</f>
        <v/>
      </c>
      <c r="S244" s="15" t="n">
        <v>5.92</v>
      </c>
      <c r="T244" s="15">
        <f>S244*0.2</f>
        <v/>
      </c>
      <c r="U244" s="15" t="n">
        <v>0.400000000000002</v>
      </c>
      <c r="V244" s="15" t="n">
        <v>2</v>
      </c>
      <c r="W244" s="15">
        <f>V244*0.2</f>
        <v/>
      </c>
      <c r="X244" s="16">
        <f>O244-Q244-R244-S244-U244-V244+T244+W244</f>
        <v/>
      </c>
      <c r="Y244" s="14" t="n"/>
      <c r="Z244" s="15">
        <f>O244+1.5</f>
        <v/>
      </c>
      <c r="AA244" s="15" t="n"/>
      <c r="AB244" s="15" t="n">
        <v>10.625</v>
      </c>
      <c r="AC244" s="14" t="n"/>
      <c r="AD244" s="14" t="n"/>
      <c r="AE244" s="13" t="inlineStr">
        <is>
          <t>NOT_UPLOADED</t>
        </is>
      </c>
    </row>
    <row r="245" ht="16" customHeight="1">
      <c r="A245" s="17" t="n">
        <v>3600531395544</v>
      </c>
      <c r="B245" s="17" t="n">
        <v>3600531395544</v>
      </c>
      <c r="C245" s="13" t="n"/>
      <c r="D245" s="18" t="n"/>
      <c r="E245" s="18" t="inlineStr">
        <is>
          <t>FORT-3600531395544</t>
        </is>
      </c>
      <c r="F245" s="17" t="inlineStr">
        <is>
          <t>M4046</t>
        </is>
      </c>
      <c r="G245" s="18" t="inlineStr">
        <is>
          <t>Fortuna</t>
        </is>
      </c>
      <c r="H245" s="18" t="inlineStr">
        <is>
          <t>Maybelline</t>
        </is>
      </c>
      <c r="I245" s="18" t="inlineStr">
        <is>
          <t>MakeUp Fit Me Foundation 238</t>
        </is>
      </c>
      <c r="J245" s="18" t="inlineStr">
        <is>
          <t>No</t>
        </is>
      </c>
      <c r="K245" s="18" t="inlineStr">
        <is>
          <t>https://www.amazon.de/-/en/MakeUp-Fit-Me-Foundation-238/dp/B07PC2P5HP/ref=sr_1_6?crid=70LM0UUM3LLP&amp;dib=eyJ2IjoiMSJ9.ZWxjdBQwG9L1P1Pf_i3p4Mnzhdw4-rOc5r929zBYx38bxd9rfJElTKeppyO_9a6P3Gt0lEtso2iFt1uYQJNVNolw9Ydpvnx7MPeIa0J5_WDG4RV2PbCBjJEfhro000QINyKDnpioxRT-xY1Ae7KhGd3_yGYt9HHcM_mdOIGTPovt0pd7XwMsgzEaRFcjaCqHP4teioNCXMGeeF3ZM-_oT_un64_E9ddBy0H9X1p3QBKSEdQVMpbu8O9ry7e50zEreFnjLwxVToCBiHMZ-YJJEpFZl2XefmaoRTUf_uclDRM.GScrawpgLmPloRF6poZQEOUJf7RognIR13JXnFUvurs&amp;dib_tag=se&amp;keywords=Maybelline+poreless+ivory+238&amp;qid=1755526973&amp;sprefix=maybelline+poreless+ivory+238%2Caps%2C162&amp;sr=8-6</t>
        </is>
      </c>
      <c r="L245" s="18" t="inlineStr">
        <is>
          <t>B07PC2P5HP</t>
        </is>
      </c>
      <c r="M245" s="19" t="n"/>
      <c r="N245" s="19" t="n"/>
      <c r="O245" s="19" t="n">
        <v>12.9</v>
      </c>
      <c r="P245" s="19">
        <f>O245/1.19</f>
        <v/>
      </c>
      <c r="Q245" s="19">
        <f>O245-P245</f>
        <v/>
      </c>
      <c r="R245" s="19">
        <f>O245*0.15</f>
        <v/>
      </c>
      <c r="S245" s="19" t="n">
        <v>5.92</v>
      </c>
      <c r="T245" s="19">
        <f>S245*0.2</f>
        <v/>
      </c>
      <c r="U245" s="19" t="n">
        <v>0.400000000000002</v>
      </c>
      <c r="V245" s="19" t="n">
        <v>2</v>
      </c>
      <c r="W245" s="19">
        <f>V245*0.2</f>
        <v/>
      </c>
      <c r="X245" s="21">
        <f>O245-Q245-R245-S245-U245-V245+T245+W245</f>
        <v/>
      </c>
      <c r="Y245" s="18" t="n"/>
      <c r="Z245" s="19">
        <f>O245+1.5</f>
        <v/>
      </c>
      <c r="AA245" s="19" t="n"/>
      <c r="AB245" s="19" t="n">
        <v>10.965</v>
      </c>
      <c r="AC245" s="18" t="n"/>
      <c r="AD245" s="18" t="n"/>
      <c r="AE245" s="13" t="inlineStr">
        <is>
          <t>NOT_UPLOADED</t>
        </is>
      </c>
    </row>
    <row r="246" ht="16" customHeight="1">
      <c r="A246" s="12" t="n">
        <v>3600531324896</v>
      </c>
      <c r="B246" s="12" t="n">
        <v>3600531324896</v>
      </c>
      <c r="C246" s="13" t="n"/>
      <c r="D246" s="14" t="n"/>
      <c r="E246" s="14" t="inlineStr">
        <is>
          <t>FOR-3600531324896</t>
        </is>
      </c>
      <c r="F246" s="12" t="inlineStr">
        <is>
          <t>M4047</t>
        </is>
      </c>
      <c r="G246" s="14" t="inlineStr">
        <is>
          <t>Fortuna</t>
        </is>
      </c>
      <c r="H246" s="14" t="inlineStr">
        <is>
          <t>Maybelline</t>
        </is>
      </c>
      <c r="I246" s="14" t="inlineStr">
        <is>
          <t>MAYBELLINE Fit Me Matte plus Poreless, Nr. 250 Sun Beige, 30 ml (1er Pack)</t>
        </is>
      </c>
      <c r="J246" s="14" t="inlineStr">
        <is>
          <t>No</t>
        </is>
      </c>
      <c r="K246" s="14" t="inlineStr">
        <is>
          <t>https://www.amazon.de/MAYBELLINE-Matte-plus-Poreless-Beige/dp/B01NAMG86Z/ref=sr_1_2?__mk_de_DE=%C3%85M%C3%85%C5%BD%C3%95%C3%91&amp;crid=WDOKMA2CELJL&amp;dib=eyJ2IjoiMSJ9.JboMG_Z1RpRpin9LbIFaL-udB0zBZGyKYDoBxuky1GnGjHj071QN20LucGBJIEps.LZy1K4I-mglrKvwsgX8M48hlkeTBFgL1ZM4MkAi7_tg&amp;dib_tag=se&amp;keywords=3600531324896&amp;qid=1749929168&amp;sprefix=3600531324896%2Caps%2C129&amp;sr=8-2&amp;th=1</t>
        </is>
      </c>
      <c r="L246" s="14" t="inlineStr">
        <is>
          <t>B01NAMG86Z</t>
        </is>
      </c>
      <c r="M246" s="15" t="n">
        <v>13.73</v>
      </c>
      <c r="N246" s="15" t="n"/>
      <c r="O246" s="15" t="n">
        <v>12</v>
      </c>
      <c r="P246" s="15">
        <f>O246/1.19</f>
        <v/>
      </c>
      <c r="Q246" s="15">
        <f>O246-P246</f>
        <v/>
      </c>
      <c r="R246" s="15">
        <f>O246*0.15</f>
        <v/>
      </c>
      <c r="S246" s="15" t="n">
        <v>5.92</v>
      </c>
      <c r="T246" s="15">
        <f>S246*0.2</f>
        <v/>
      </c>
      <c r="U246" s="15" t="n">
        <v>0.400000000000002</v>
      </c>
      <c r="V246" s="15" t="n">
        <v>2</v>
      </c>
      <c r="W246" s="15">
        <f>V246*0.2</f>
        <v/>
      </c>
      <c r="X246" s="16">
        <f>O246-Q246-R246-S246-U246-V246+T246+W246</f>
        <v/>
      </c>
      <c r="Y246" s="14" t="n"/>
      <c r="Z246" s="15">
        <f>O246+1.5</f>
        <v/>
      </c>
      <c r="AA246" s="15" t="n">
        <v>5.33</v>
      </c>
      <c r="AB246" s="15" t="n">
        <v>10.2</v>
      </c>
      <c r="AC246" s="14" t="n"/>
      <c r="AD246" s="14" t="n"/>
      <c r="AE246" s="13" t="inlineStr">
        <is>
          <t>NOT_UPLOADED</t>
        </is>
      </c>
    </row>
    <row r="247" ht="16" customHeight="1">
      <c r="A247" s="17" t="n">
        <v>3600531324896</v>
      </c>
      <c r="B247" s="17" t="n">
        <v>3600531324896</v>
      </c>
      <c r="C247" s="13" t="n"/>
      <c r="D247" s="18" t="n"/>
      <c r="E247" s="18" t="inlineStr">
        <is>
          <t>FR-3600531324896</t>
        </is>
      </c>
      <c r="F247" s="17" t="inlineStr">
        <is>
          <t>M4047</t>
        </is>
      </c>
      <c r="G247" s="18" t="inlineStr">
        <is>
          <t>Fortuna</t>
        </is>
      </c>
      <c r="H247" s="18" t="inlineStr">
        <is>
          <t>Maybelline</t>
        </is>
      </c>
      <c r="I247" s="18" t="inlineStr">
        <is>
          <t>Maybelline New York Foundation Fluide Fit Me Matte &amp; Poreless, Normal to Oily Skin, Shade 250 Sun Beige, 30 ml</t>
        </is>
      </c>
      <c r="J247" s="18" t="inlineStr">
        <is>
          <t>No</t>
        </is>
      </c>
      <c r="K247" s="18" t="inlineStr">
        <is>
          <t>https://www.amazon.de/-/en/Maybelline-Foundation-Fluide-Poreless-Normal/dp/B074MB778Q/ref=sr_1_4?crid=2LBRG383V65PY&amp;dib=eyJ2IjoiMSJ9.NQkosE9w66Sy2zGyuppWiKH4dwtHMVvemM3E4TBWd6MxaPDM7koMh7E1vj1r7bWLRhn3OpfFD4w5zZ1P6RPOFOVS_w3HnHjf94w_Vaj11K-T7WjX65gtQTDEZvvqoYGmfwslUsCvV9J8NweWqIeqzKZ8kVSw_wUgUTB2EwAFRRbSaNfs2PotO1MKDNz10UQiJsMKykrrHbDCgs4g3n3kN6dXCbFvwnAEwgFAqIAu81LrKyoaxmvgfU_zBZQ4QZDzdCrIvn9wBRC7folIPXjaVmOxJG_DioM1Ty2jAbfibpY.wsv7Tow56penrD3StczgigwzGER8vkBlI8OXX8Uf36E&amp;dib_tag=se&amp;keywords=Maybelline%2Bporeless%2Bivory%2B250&amp;qid=1755528472&amp;sprefix=maybelline%2Bporeless%2Bivory%2B250%2Caps%2C192&amp;sr=8-4&amp;th=1</t>
        </is>
      </c>
      <c r="L247" s="18" t="inlineStr">
        <is>
          <t>B074MB778Q</t>
        </is>
      </c>
      <c r="M247" s="19" t="n"/>
      <c r="N247" s="19" t="n"/>
      <c r="O247" s="19" t="n">
        <v>13.5</v>
      </c>
      <c r="P247" s="19">
        <f>O247/1.19</f>
        <v/>
      </c>
      <c r="Q247" s="19">
        <f>O247-P247</f>
        <v/>
      </c>
      <c r="R247" s="19">
        <f>O247*0.15</f>
        <v/>
      </c>
      <c r="S247" s="19" t="n">
        <v>5.92</v>
      </c>
      <c r="T247" s="19">
        <f>S247*0.2</f>
        <v/>
      </c>
      <c r="U247" s="19" t="n">
        <v>0.400000000000002</v>
      </c>
      <c r="V247" s="19" t="n">
        <v>2.08</v>
      </c>
      <c r="W247" s="19">
        <f>V247*0.2</f>
        <v/>
      </c>
      <c r="X247" s="21">
        <f>O247-Q247-R247-S247-U247-V247+T247+W247</f>
        <v/>
      </c>
      <c r="Y247" s="18" t="n"/>
      <c r="Z247" s="19">
        <f>O247+1.5</f>
        <v/>
      </c>
      <c r="AA247" s="19" t="n"/>
      <c r="AB247" s="19" t="n">
        <v>11.475</v>
      </c>
      <c r="AC247" s="18" t="n"/>
      <c r="AD247" s="18" t="n"/>
      <c r="AE247" s="13" t="inlineStr">
        <is>
          <t>NOT_UPLOADED</t>
        </is>
      </c>
    </row>
    <row r="248" ht="16" customHeight="1">
      <c r="A248" s="12" t="n">
        <v>3600531324896</v>
      </c>
      <c r="B248" s="12" t="n">
        <v>3600531324896</v>
      </c>
      <c r="C248" s="13" t="n"/>
      <c r="D248" s="14" t="n"/>
      <c r="E248" s="14" t="inlineStr">
        <is>
          <t>TUN-3600531324896</t>
        </is>
      </c>
      <c r="F248" s="12" t="inlineStr">
        <is>
          <t>M4047</t>
        </is>
      </c>
      <c r="G248" s="14" t="inlineStr">
        <is>
          <t>Fortuna</t>
        </is>
      </c>
      <c r="H248" s="14" t="inlineStr">
        <is>
          <t>Maybelline</t>
        </is>
      </c>
      <c r="I248" s="14" t="inlineStr">
        <is>
          <t>Maybelline Fit Me Mate Y Afinaporos Tono 250 Sun Beige Base De Maquillaje Calca A Tu Tono Y Textura Pieles Medias - 30 ml</t>
        </is>
      </c>
      <c r="J248" s="14" t="inlineStr">
        <is>
          <t>No</t>
        </is>
      </c>
      <c r="K248" s="14" t="inlineStr">
        <is>
          <t>https://www.amazon.de/-/en/Maybelline-Afinaporos-Maquillaje-Textura-Pieles/dp/B06XS14FGV/ref=sr_1_15?crid=2LBRG383V65PY&amp;dib=eyJ2IjoiMSJ9.NQkosE9w66Sy2zGyuppWiDXPlZswAG34QJi3lx48yWxASIHohQeyI1WiTqRNhOjuk_hqGGIHxM6HItg2qgPUiDqPU7qf-ZamrmeLLJtTVkHplXs5nCJgQ5all6_kQoWnOZUcJVmss_Yec7AZk9cg0KxvU16dJKfx-t4ZiJk5ZNtgQLpIT7OgqOmlKOWraBcRuLmFg5JcUTsjHNV6sorW7g-YdRL5uMyQqr1kIcg4k2N2h_UbA0Uy0WJ37xGjPdX3QWTbgz5kN0xJ11gMhOiPtKYwUES7fnt1DZMqBcC0aHo.xzAmTUDhA8M4BkgufmFApG88yMbF54vLU8vq14Kl06w&amp;dib_tag=se&amp;keywords=Maybelline+poreless+ivory+250&amp;qid=1755528879&amp;sprefix=maybelline+poreless+ivory+250%2Caps%2C192&amp;sr=8-15</t>
        </is>
      </c>
      <c r="L248" s="14" t="inlineStr">
        <is>
          <t>B06XS14FGV</t>
        </is>
      </c>
      <c r="M248" s="15" t="n"/>
      <c r="N248" s="15" t="n"/>
      <c r="O248" s="15" t="n">
        <v>13.5</v>
      </c>
      <c r="P248" s="15">
        <f>O248/1.19</f>
        <v/>
      </c>
      <c r="Q248" s="15">
        <f>O248-P248</f>
        <v/>
      </c>
      <c r="R248" s="15">
        <f>O248*0.15</f>
        <v/>
      </c>
      <c r="S248" s="15" t="n">
        <v>5.92</v>
      </c>
      <c r="T248" s="15">
        <f>S248*0.2</f>
        <v/>
      </c>
      <c r="U248" s="15" t="n">
        <v>0.400000000000002</v>
      </c>
      <c r="V248" s="15" t="n">
        <v>2</v>
      </c>
      <c r="W248" s="15">
        <f>V248*0.2</f>
        <v/>
      </c>
      <c r="X248" s="21">
        <f>O248-Q248-R248-S248-U248-V248+T248+W248</f>
        <v/>
      </c>
      <c r="Y248" s="14" t="n"/>
      <c r="Z248" s="15">
        <f>O248+1.5</f>
        <v/>
      </c>
      <c r="AA248" s="15" t="n"/>
      <c r="AB248" s="15" t="n">
        <v>11.475</v>
      </c>
      <c r="AC248" s="14" t="n"/>
      <c r="AD248" s="14" t="n"/>
      <c r="AE248" s="13" t="inlineStr">
        <is>
          <t>NOT_UPLOADED</t>
        </is>
      </c>
    </row>
    <row r="249" ht="16" customHeight="1">
      <c r="A249" s="17" t="n">
        <v>3600531632380</v>
      </c>
      <c r="B249" s="17" t="n">
        <v>3600531632380</v>
      </c>
      <c r="C249" s="13" t="n"/>
      <c r="D249" s="18" t="n"/>
      <c r="E249" s="18" t="inlineStr">
        <is>
          <t>FOR-3600531632380</t>
        </is>
      </c>
      <c r="F249" s="17" t="inlineStr">
        <is>
          <t>M4059</t>
        </is>
      </c>
      <c r="G249" s="18" t="inlineStr">
        <is>
          <t>Fortuna</t>
        </is>
      </c>
      <c r="H249" s="18" t="inlineStr">
        <is>
          <t>Maybelline</t>
        </is>
      </c>
      <c r="I249" s="18" t="inlineStr">
        <is>
          <t>Maybelline New York Wasserfestes Make up, Foundation mit hoher Deckkraft, Langanhaltendes Gesichts-Make-up für helle Hauttypen, Super Stay Active Wear, Farbe: Nr. 10 Ivory (Hell), 1 x 30 ml</t>
        </is>
      </c>
      <c r="J249" s="18" t="inlineStr">
        <is>
          <t>No</t>
        </is>
      </c>
      <c r="K249" s="18" t="inlineStr">
        <is>
          <t>https://www.amazon.de/Maybelline-New-York-Langanhaltendes-Gesichts-Make-up/dp/B08P4X2XPS/ref=sr_1_1?__mk_de_DE=%C3%85M%C3%85%C5%BD%C3%95%C3%91&amp;crid=DH0GY56VVTE&amp;dib=eyJ2IjoiMSJ9.OMgXeoK1UeiL-LYLIStNqg.bU3vKy0mMDNmTH_mq44CGXaf6tgAi_dY0ZRZAI8vQck&amp;dib_tag=se&amp;keywords=3600531632380&amp;qid=1749929502&amp;sprefix=3600531632380%2Caps%2C120&amp;sr=8-1&amp;th=1</t>
        </is>
      </c>
      <c r="L249" s="18" t="inlineStr">
        <is>
          <t>B08P4X2XPS</t>
        </is>
      </c>
      <c r="M249" s="19" t="n">
        <v>26.4</v>
      </c>
      <c r="N249" s="19" t="n"/>
      <c r="O249" s="19" t="n">
        <v>23.71</v>
      </c>
      <c r="P249" s="19">
        <f>O249/1.19</f>
        <v/>
      </c>
      <c r="Q249" s="19">
        <f>O249-P249</f>
        <v/>
      </c>
      <c r="R249" s="19">
        <f>O249*0.15</f>
        <v/>
      </c>
      <c r="S249" s="19" t="n">
        <v>8.17</v>
      </c>
      <c r="T249" s="19">
        <f>S249*0.2</f>
        <v/>
      </c>
      <c r="U249" s="19" t="n">
        <v>0.400000000000002</v>
      </c>
      <c r="V249" s="19" t="n">
        <v>3</v>
      </c>
      <c r="W249" s="19">
        <f>V249*0.2</f>
        <v/>
      </c>
      <c r="X249" s="21">
        <f>O249-Q249-R249-S249-U249-V249+T249+W249</f>
        <v/>
      </c>
      <c r="Y249" s="18" t="n"/>
      <c r="Z249" s="19">
        <f>O249+1.5</f>
        <v/>
      </c>
      <c r="AA249" s="19" t="n"/>
      <c r="AB249" s="19" t="n"/>
      <c r="AC249" s="18" t="n"/>
      <c r="AD249" s="18" t="n"/>
      <c r="AE249" s="13" t="inlineStr">
        <is>
          <t>NOT_UPLOADED</t>
        </is>
      </c>
    </row>
    <row r="250" ht="16" customHeight="1">
      <c r="A250" s="12" t="n">
        <v>3600531632410</v>
      </c>
      <c r="B250" s="12" t="n">
        <v>3600531632410</v>
      </c>
      <c r="C250" s="13" t="n"/>
      <c r="D250" s="14" t="n"/>
      <c r="E250" s="14" t="inlineStr">
        <is>
          <t>FOR-3600531632410</t>
        </is>
      </c>
      <c r="F250" s="12" t="inlineStr">
        <is>
          <t>M4060</t>
        </is>
      </c>
      <c r="G250" s="14" t="inlineStr">
        <is>
          <t>Fortuna</t>
        </is>
      </c>
      <c r="H250" s="14" t="inlineStr">
        <is>
          <t>Maybelline</t>
        </is>
      </c>
      <c r="I250" s="14" t="inlineStr">
        <is>
          <t>Maybelline New York Wasserfestes Make up, Foundation mit hoher Deckkraft, Langanhaltendes Gesichts-Make-up, Super Stay Active Wear, Farbe: Nr. 21 Nude Beige (Hell), 1 x 30 ml</t>
        </is>
      </c>
      <c r="J250" s="14" t="inlineStr">
        <is>
          <t>No</t>
        </is>
      </c>
      <c r="K250" s="14" t="inlineStr">
        <is>
          <t>https://www.amazon.de/Maybelline-New-York-Langanhaltendes-Gesichts-Make-up/dp/B08P4YSK52/ref=sr_1_1?__mk_de_DE=%C3%85M%C3%85%C5%BD%C3%95%C3%91&amp;crid=23MZO583H86R4&amp;dib=eyJ2IjoiMSJ9.FN7ApJIJzODFX9F8Lip_CYWm77V4meGSBn5hmIUcNHQ.s7Ay07usm2lzR2AiuujPu0RamOBK5mDKdLeSIQyHv0Y&amp;dib_tag=se&amp;keywords=3600531632410&amp;qid=1749929843&amp;sprefix=3600531632410%2Caps%2C80&amp;sr=8-1&amp;th=1</t>
        </is>
      </c>
      <c r="L250" s="14" t="inlineStr">
        <is>
          <t>B08P4YSK52</t>
        </is>
      </c>
      <c r="M250" s="15" t="n">
        <v>21.4</v>
      </c>
      <c r="N250" s="15" t="n"/>
      <c r="O250" s="15" t="n">
        <v>20.17</v>
      </c>
      <c r="P250" s="15">
        <f>O250/1.19</f>
        <v/>
      </c>
      <c r="Q250" s="15">
        <f>O250-P250</f>
        <v/>
      </c>
      <c r="R250" s="15">
        <f>O250*0.15</f>
        <v/>
      </c>
      <c r="S250" s="15" t="n">
        <v>8.17</v>
      </c>
      <c r="T250" s="15">
        <f>S250*0.2</f>
        <v/>
      </c>
      <c r="U250" s="15" t="n">
        <v>0.400000000000002</v>
      </c>
      <c r="V250" s="15" t="n">
        <v>3</v>
      </c>
      <c r="W250" s="15">
        <f>V250*0.2</f>
        <v/>
      </c>
      <c r="X250" s="21">
        <f>O250-Q250-R250-S250-U250-V250+T250+W250</f>
        <v/>
      </c>
      <c r="Y250" s="14" t="n"/>
      <c r="Z250" s="15">
        <f>O250+1.5</f>
        <v/>
      </c>
      <c r="AA250" s="15" t="n"/>
      <c r="AB250" s="15" t="n"/>
      <c r="AC250" s="14" t="n"/>
      <c r="AD250" s="14" t="n"/>
      <c r="AE250" s="13" t="inlineStr">
        <is>
          <t>NOT_UPLOADED</t>
        </is>
      </c>
    </row>
    <row r="251" ht="16" customHeight="1">
      <c r="A251" s="17" t="n">
        <v>3600531632458</v>
      </c>
      <c r="B251" s="17" t="n">
        <v>3600531632458</v>
      </c>
      <c r="C251" s="13" t="n"/>
      <c r="D251" s="18" t="n"/>
      <c r="E251" s="18" t="inlineStr">
        <is>
          <t>FOR-3600531632458</t>
        </is>
      </c>
      <c r="F251" s="17" t="inlineStr">
        <is>
          <t>M4061</t>
        </is>
      </c>
      <c r="G251" s="18" t="inlineStr">
        <is>
          <t>Fortuna</t>
        </is>
      </c>
      <c r="H251" s="18" t="inlineStr">
        <is>
          <t>Maybelline</t>
        </is>
      </c>
      <c r="I251" s="18" t="inlineStr">
        <is>
          <t>Superstay Activewear 30H Foundation 28-Soft Beige 30 Ml</t>
        </is>
      </c>
      <c r="J251" s="18" t="inlineStr">
        <is>
          <t>No</t>
        </is>
      </c>
      <c r="K251" s="18" t="inlineStr">
        <is>
          <t>https://www.amazon.de/Superstay-Activewear-Foundation-28-Soft-Beige/dp/B08YMTHKGT/ref=sr_1_1?__mk_de_DE=%C3%85M%C3%85%C5%BD%C3%95%C3%91&amp;crid=JCZ1CYOIAOIL&amp;dib=eyJ2IjoiMSJ9.t96yqHvGaz5-r9Q9kYBmGQ.Ro3wt7Tl7Bg_wKAXt22Cr0g43D_MNnmHhsC9K5aWAg8&amp;dib_tag=se&amp;keywords=3600531632458&amp;qid=1749929949&amp;sprefix=3600531632458%2Caps%2C190&amp;sr=8-1&amp;th=1</t>
        </is>
      </c>
      <c r="L251" s="18" t="inlineStr">
        <is>
          <t>B08YMTHKGT</t>
        </is>
      </c>
      <c r="M251" s="19" t="n">
        <v>15.95</v>
      </c>
      <c r="N251" s="19" t="n"/>
      <c r="O251" s="19" t="n">
        <v>17.77</v>
      </c>
      <c r="P251" s="19">
        <f>O251/1.19</f>
        <v/>
      </c>
      <c r="Q251" s="19">
        <f>O251-P251</f>
        <v/>
      </c>
      <c r="R251" s="19">
        <f>O251*0.15</f>
        <v/>
      </c>
      <c r="S251" s="19" t="n">
        <v>8.17</v>
      </c>
      <c r="T251" s="19">
        <f>S251*0.2</f>
        <v/>
      </c>
      <c r="U251" s="19" t="n">
        <v>0.400000000000002</v>
      </c>
      <c r="V251" s="19" t="n">
        <v>3</v>
      </c>
      <c r="W251" s="19">
        <f>V251*0.2</f>
        <v/>
      </c>
      <c r="X251" s="21">
        <f>O251-Q251-R251-S251-U251-V251+T251+W251</f>
        <v/>
      </c>
      <c r="Y251" s="18" t="n"/>
      <c r="Z251" s="19">
        <f>O251+1.5</f>
        <v/>
      </c>
      <c r="AA251" s="19" t="n"/>
      <c r="AB251" s="19" t="n"/>
      <c r="AC251" s="18" t="n"/>
      <c r="AD251" s="18" t="n"/>
      <c r="AE251" s="13" t="inlineStr">
        <is>
          <t>NOT_UPLOADED</t>
        </is>
      </c>
    </row>
    <row r="252" ht="16" customHeight="1">
      <c r="A252" s="12" t="n">
        <v>3600531632472</v>
      </c>
      <c r="B252" s="12" t="n">
        <v>3600531632472</v>
      </c>
      <c r="C252" s="13" t="n"/>
      <c r="D252" s="14" t="n"/>
      <c r="E252" s="14" t="inlineStr">
        <is>
          <t>FOR-3600531632472</t>
        </is>
      </c>
      <c r="F252" s="12" t="inlineStr">
        <is>
          <t>M4062</t>
        </is>
      </c>
      <c r="G252" s="14" t="inlineStr">
        <is>
          <t>Fortuna</t>
        </is>
      </c>
      <c r="H252" s="14" t="inlineStr">
        <is>
          <t>Maybelline</t>
        </is>
      </c>
      <c r="I252" s="14" t="inlineStr">
        <is>
          <t>Maybelline New York Wasserfestes Make up, Foundation mit hoher Deckkraft, Langanhaltendes Gesichts-Make-up, Super Stay Active Wear, Farbe: Nr. 30 Sand (Hell) 1 x 30 ml</t>
        </is>
      </c>
      <c r="J252" s="14" t="inlineStr">
        <is>
          <t>No</t>
        </is>
      </c>
      <c r="K252" s="14" t="inlineStr">
        <is>
          <t>https://www.amazon.de/Maybelline-New-York-Langanhaltendes-Gesichts-Make-up/dp/B08P4YGG72/ref=sr_1_1?__mk_de_DE=%C3%85M%C3%85%C5%BD%C3%95%C3%91&amp;crid=13O6IS49SZYCD&amp;dib=eyJ2IjoiMSJ9.qLQWqoReIAmIlJu0d-3WOQ.aH3BjBiCpbK01GhEjdFGWwAUsALtiSA7sIDQhNFlv4M&amp;dib_tag=se&amp;keywords=3600531632472&amp;qid=1749930076&amp;sprefix=3600531632472%2Caps%2C114&amp;sr=8-1&amp;th=1</t>
        </is>
      </c>
      <c r="L252" s="14" t="inlineStr">
        <is>
          <t>B08P4YGG72</t>
        </is>
      </c>
      <c r="M252" s="15" t="n"/>
      <c r="N252" s="15" t="n"/>
      <c r="O252" s="15" t="n">
        <v>18.77</v>
      </c>
      <c r="P252" s="15">
        <f>O252/1.19</f>
        <v/>
      </c>
      <c r="Q252" s="15">
        <f>O252-P252</f>
        <v/>
      </c>
      <c r="R252" s="15">
        <f>O252*0.15</f>
        <v/>
      </c>
      <c r="S252" s="15" t="n">
        <v>8.17</v>
      </c>
      <c r="T252" s="15">
        <f>S252*0.2</f>
        <v/>
      </c>
      <c r="U252" s="15" t="n">
        <v>0.400000000000002</v>
      </c>
      <c r="V252" s="15" t="n">
        <v>2.8</v>
      </c>
      <c r="W252" s="15">
        <f>V252*0.2</f>
        <v/>
      </c>
      <c r="X252" s="21">
        <f>O252-Q252-R252-S252-U252-V252+T252+W252</f>
        <v/>
      </c>
      <c r="Y252" s="14" t="n"/>
      <c r="Z252" s="15">
        <f>O252+1.5</f>
        <v/>
      </c>
      <c r="AA252" s="15" t="n"/>
      <c r="AB252" s="15" t="n"/>
      <c r="AC252" s="14" t="n"/>
      <c r="AD252" s="14" t="n"/>
      <c r="AE252" s="13" t="inlineStr">
        <is>
          <t>NOT_UPLOADED</t>
        </is>
      </c>
    </row>
    <row r="253" ht="16" customHeight="1">
      <c r="A253" s="17" t="n">
        <v>3600531632496</v>
      </c>
      <c r="B253" s="17" t="n">
        <v>3600531632496</v>
      </c>
      <c r="C253" s="13" t="n"/>
      <c r="D253" s="18" t="n"/>
      <c r="E253" s="18" t="inlineStr">
        <is>
          <t>FOR-3600531632496</t>
        </is>
      </c>
      <c r="F253" s="17" t="inlineStr">
        <is>
          <t>M4063</t>
        </is>
      </c>
      <c r="G253" s="18" t="inlineStr">
        <is>
          <t>Fortuna</t>
        </is>
      </c>
      <c r="H253" s="18" t="inlineStr">
        <is>
          <t>Maybelline</t>
        </is>
      </c>
      <c r="I253" s="18" t="inlineStr">
        <is>
          <t>Superstay Activewear 30H Foundation 70-Cocoa 30 Ml</t>
        </is>
      </c>
      <c r="J253" s="18" t="inlineStr">
        <is>
          <t>No</t>
        </is>
      </c>
      <c r="K253" s="18" t="inlineStr">
        <is>
          <t>https://www.amazon.de/Superstay-Activewear-30H-Foundation-70-Cocoa/dp/B08XXQP3W9/ref=sr_1_1?__mk_de_DE=%C3%85M%C3%85%C5%BD%C3%95%C3%91&amp;crid=3I143HFSYRMXT&amp;dib=eyJ2IjoiMSJ9.cUXYg2V0HtUm8V8RC_4wnA.-XVQansbBofJistfKmvKo9ehjMHnq5oYAn-RoXdPCNM&amp;dib_tag=se&amp;keywords=3600531632496&amp;qid=1749930171&amp;sprefix=3600531632496%2Caps%2C131&amp;sr=8-1&amp;th=1</t>
        </is>
      </c>
      <c r="L253" s="18" t="inlineStr">
        <is>
          <t>B08XXQP3W9</t>
        </is>
      </c>
      <c r="M253" s="19" t="n">
        <v>16.95</v>
      </c>
      <c r="N253" s="19" t="n"/>
      <c r="O253" s="19" t="n">
        <v>18.77</v>
      </c>
      <c r="P253" s="19">
        <f>O253/1.19</f>
        <v/>
      </c>
      <c r="Q253" s="19">
        <f>O253-P253</f>
        <v/>
      </c>
      <c r="R253" s="19">
        <f>O253*0.15</f>
        <v/>
      </c>
      <c r="S253" s="19" t="n">
        <v>8.17</v>
      </c>
      <c r="T253" s="19">
        <f>S253*0.2</f>
        <v/>
      </c>
      <c r="U253" s="19" t="n">
        <v>0.400000000000002</v>
      </c>
      <c r="V253" s="19" t="n">
        <v>3</v>
      </c>
      <c r="W253" s="19">
        <f>V253*0.2</f>
        <v/>
      </c>
      <c r="X253" s="21">
        <f>O253-Q253-R253-S253-U253-V253+T253+W253</f>
        <v/>
      </c>
      <c r="Y253" s="18" t="n"/>
      <c r="Z253" s="19">
        <f>O253+1.5</f>
        <v/>
      </c>
      <c r="AA253" s="19" t="n"/>
      <c r="AB253" s="19" t="n"/>
      <c r="AC253" s="18" t="n"/>
      <c r="AD253" s="18" t="n"/>
      <c r="AE253" s="13" t="inlineStr">
        <is>
          <t>NOT_UPLOADED</t>
        </is>
      </c>
    </row>
    <row r="254" ht="16" customHeight="1">
      <c r="A254" s="12" t="n">
        <v>3600531465230</v>
      </c>
      <c r="B254" s="12" t="n">
        <v>3600531465230</v>
      </c>
      <c r="C254" s="13" t="n"/>
      <c r="D254" s="14" t="n"/>
      <c r="E254" s="14" t="inlineStr">
        <is>
          <t>FOR-3600531465230</t>
        </is>
      </c>
      <c r="F254" s="12" t="inlineStr">
        <is>
          <t>M5000</t>
        </is>
      </c>
      <c r="G254" s="14" t="inlineStr">
        <is>
          <t>Fortuna</t>
        </is>
      </c>
      <c r="H254" s="14" t="inlineStr">
        <is>
          <t>Maybelline</t>
        </is>
      </c>
      <c r="I254" s="14" t="inlineStr">
        <is>
          <t>Maybelline Instant Age Rewind Eraser Concealer</t>
        </is>
      </c>
      <c r="J254" s="14" t="inlineStr">
        <is>
          <t>No</t>
        </is>
      </c>
      <c r="K254" s="14" t="inlineStr">
        <is>
          <t>https://www.amazon.de/Garnier-AugenKorrekturstift-Eraser-Maybelline-milliliter/dp/B07CS9D1R6/ref=sr_1_1?__mk_de_DE=%C3%85M%C3%85%C5%BD%C3%95%C3%91&amp;crid=MGGDRATYJUXS&amp;dib=eyJ2IjoiMSJ9.DRsiuZtLPDMxUzs29HaZ5ITKILqPSD-QbxofkcQdo0U.WEldkc7jTMYFtKVV3I_DA3KTxQl8XW3Vj6SrlTLwF3s&amp;dib_tag=se&amp;keywords=3600531465230&amp;qid=1749930283&amp;sprefix=3600531465230%2Caps%2C117&amp;sr=8-1&amp;th=1</t>
        </is>
      </c>
      <c r="L254" s="14" t="inlineStr">
        <is>
          <t>B07CS9D1R6</t>
        </is>
      </c>
      <c r="M254" s="15" t="n">
        <v>15.83</v>
      </c>
      <c r="N254" s="15" t="n"/>
      <c r="O254" s="15" t="n">
        <v>13.55</v>
      </c>
      <c r="P254" s="15">
        <f>O254/1.19</f>
        <v/>
      </c>
      <c r="Q254" s="15">
        <f>O254-P254</f>
        <v/>
      </c>
      <c r="R254" s="15">
        <f>O254*0.15</f>
        <v/>
      </c>
      <c r="S254" s="15" t="n">
        <v>7.08</v>
      </c>
      <c r="T254" s="15">
        <f>S254*0.2</f>
        <v/>
      </c>
      <c r="U254" s="15" t="n">
        <v>0.400000000000002</v>
      </c>
      <c r="V254" s="15" t="n">
        <v>1.92</v>
      </c>
      <c r="W254" s="15">
        <f>V254*0.2</f>
        <v/>
      </c>
      <c r="X254" s="16">
        <f>O254-Q254-R254-S254-U254-V254+T254+W254</f>
        <v/>
      </c>
      <c r="Y254" s="14" t="n"/>
      <c r="Z254" s="15">
        <f>O254+1.5</f>
        <v/>
      </c>
      <c r="AA254" s="15" t="n">
        <v>6.39</v>
      </c>
      <c r="AB254" s="15" t="n">
        <v>10.84</v>
      </c>
      <c r="AC254" s="14" t="n"/>
      <c r="AD254" s="14" t="n"/>
      <c r="AE254" s="13" t="inlineStr">
        <is>
          <t>NOT_UPLOADED</t>
        </is>
      </c>
    </row>
    <row r="255" ht="16" customHeight="1">
      <c r="A255" s="17" t="n">
        <v>3600531465230</v>
      </c>
      <c r="B255" s="17" t="n">
        <v>3600531465230</v>
      </c>
      <c r="C255" s="13" t="n"/>
      <c r="D255" s="18" t="n"/>
      <c r="E255" s="18" t="inlineStr">
        <is>
          <t>FR-3600531465230</t>
        </is>
      </c>
      <c r="F255" s="17" t="inlineStr">
        <is>
          <t>M5000</t>
        </is>
      </c>
      <c r="G255" s="18" t="inlineStr">
        <is>
          <t>Fortuna</t>
        </is>
      </c>
      <c r="H255" s="18" t="inlineStr">
        <is>
          <t>Maybelline</t>
        </is>
      </c>
      <c r="I255" s="18" t="inlineStr">
        <is>
          <t>Maybelline New York Concealer Pen, Instant Anti-Age Effect Concealer, Eraser with Micro Eraser Applicator, No. 00 Ivory, 6.8 ml</t>
        </is>
      </c>
      <c r="J255" s="18" t="inlineStr">
        <is>
          <t>No</t>
        </is>
      </c>
      <c r="K255" s="18" t="inlineStr">
        <is>
          <t>https://www.amazon.de/-/en/Maybelline-Concealer-Instant-Anti-Age-Applicator/dp/B07CNTHPGZ/ref=sr_1_1?crid=11PWCNNE17WE5&amp;dib=eyJ2IjoiMSJ9.OKOKRusMmIrFtMbPrwRIhUKQEZoDzjyOVzQXbDcv6FLLTQ81W9OS7rIjqPfYtOntjaCtrF8aAJXDl33ieogqp1ql1BOcvqeliEdxi7e7qbj4q-9UNAAfPJLG3G0pJk6QPqDVo7NnAFpZQISej4b0MfVQMmIyN3iLdo9WaYpI9IQ.ktbWAGvuJKrtRBNV_Js6XybCGbcttb_ljLZ4c964gWg&amp;dib_tag=se&amp;keywords=Maybelline%2BERASER%2B00&amp;qid=1755530364&amp;sprefix=maybelline%2Beraser%2B00%2Caps%2C153&amp;sr=8-1&amp;th=1</t>
        </is>
      </c>
      <c r="L255" s="18" t="inlineStr">
        <is>
          <t>B07CNTHPGZ</t>
        </is>
      </c>
      <c r="M255" s="19" t="n"/>
      <c r="N255" s="19" t="n"/>
      <c r="O255" s="19" t="n">
        <v>12.95</v>
      </c>
      <c r="P255" s="19">
        <f>O255/1.19</f>
        <v/>
      </c>
      <c r="Q255" s="19">
        <f>O255-P255</f>
        <v/>
      </c>
      <c r="R255" s="19">
        <f>O255*0.15</f>
        <v/>
      </c>
      <c r="S255" s="19" t="n">
        <v>7.08</v>
      </c>
      <c r="T255" s="19">
        <f>S255*0.2</f>
        <v/>
      </c>
      <c r="U255" s="19" t="n">
        <v>0.400000000000002</v>
      </c>
      <c r="V255" s="19" t="n">
        <v>1.92</v>
      </c>
      <c r="W255" s="19">
        <f>V255*0.2</f>
        <v/>
      </c>
      <c r="X255" s="16">
        <f>O255-Q255-R255-S255-U255-V255+T255+W255</f>
        <v/>
      </c>
      <c r="Y255" s="18" t="n"/>
      <c r="Z255" s="19">
        <f>O255+1.5</f>
        <v/>
      </c>
      <c r="AA255" s="19" t="n">
        <v>6.39</v>
      </c>
      <c r="AB255" s="19" t="n">
        <v>10.36</v>
      </c>
      <c r="AC255" s="18" t="n"/>
      <c r="AD255" s="18" t="n"/>
      <c r="AE255" s="13" t="inlineStr">
        <is>
          <t>NOT_UPLOADED</t>
        </is>
      </c>
    </row>
    <row r="256" ht="16" customHeight="1">
      <c r="A256" s="12" t="n">
        <v>3600531465230</v>
      </c>
      <c r="B256" s="12" t="n">
        <v>3600531465230</v>
      </c>
      <c r="C256" s="13" t="n"/>
      <c r="D256" s="14" t="n"/>
      <c r="E256" s="14" t="inlineStr">
        <is>
          <t>FORT-3600531465230</t>
        </is>
      </c>
      <c r="F256" s="12" t="inlineStr">
        <is>
          <t>M5000</t>
        </is>
      </c>
      <c r="G256" s="14" t="inlineStr">
        <is>
          <t>Fortuna</t>
        </is>
      </c>
      <c r="H256" s="14" t="inlineStr">
        <is>
          <t>Maybelline</t>
        </is>
      </c>
      <c r="I256" s="14" t="inlineStr">
        <is>
          <t>Maybelline New York Instant Age Rewind Eraser Concealer n°00 Ivoire</t>
        </is>
      </c>
      <c r="J256" s="14" t="inlineStr">
        <is>
          <t>No</t>
        </is>
      </c>
      <c r="K256" s="14" t="inlineStr">
        <is>
          <t>https://www.amazon.de/-/en/Maybelline-Instant-Rewind-Eraser-Concealer/dp/B07B57625J/ref=sr_1_10?crid=11PWCNNE17WE5&amp;dib=eyJ2IjoiMSJ9.OKOKRusMmIrFtMbPrwRIhUKQEZoDzjyOVzQXbDcv6FLLTQ81W9OS7rIjqPfYtOntjaCtrF8aAJXDl33ieogqp1ql1BOcvqeliEdxi7e7qbj4q-9UNAAfPJLG3G0pJk6QPqDVo7NnAFpZQISej4b0MfVQMmIyN3iLdo9WaYpI9IQ.ktbWAGvuJKrtRBNV_Js6XybCGbcttb_ljLZ4c964gWg&amp;dib_tag=se&amp;keywords=Maybelline+ERASER+00&amp;qid=1755530364&amp;sprefix=maybelline+eraser+00%2Caps%2C153&amp;sr=8-10</t>
        </is>
      </c>
      <c r="L256" s="14" t="inlineStr">
        <is>
          <t>B07B57625J</t>
        </is>
      </c>
      <c r="M256" s="15" t="n"/>
      <c r="N256" s="15" t="n"/>
      <c r="O256" s="15" t="n">
        <v>14</v>
      </c>
      <c r="P256" s="15">
        <f>O256/1.19</f>
        <v/>
      </c>
      <c r="Q256" s="15">
        <f>O256-P256</f>
        <v/>
      </c>
      <c r="R256" s="15">
        <f>O256*0.15</f>
        <v/>
      </c>
      <c r="S256" s="15" t="n">
        <v>7.08</v>
      </c>
      <c r="T256" s="15">
        <f>S256*0.2</f>
        <v/>
      </c>
      <c r="U256" s="15" t="n">
        <v>0.400000000000002</v>
      </c>
      <c r="V256" s="15" t="n">
        <v>1.92</v>
      </c>
      <c r="W256" s="15">
        <f>V256*0.2</f>
        <v/>
      </c>
      <c r="X256" s="21">
        <f>O256-Q256-R256-S256-U256-V256+T256+W256</f>
        <v/>
      </c>
      <c r="Y256" s="14" t="n"/>
      <c r="Z256" s="15">
        <f>O256+1.5</f>
        <v/>
      </c>
      <c r="AA256" s="15" t="n">
        <v>6.39</v>
      </c>
      <c r="AB256" s="15" t="n">
        <v>11.2</v>
      </c>
      <c r="AC256" s="14" t="n"/>
      <c r="AD256" s="14" t="n"/>
      <c r="AE256" s="13" t="inlineStr">
        <is>
          <t>NOT_UPLOADED</t>
        </is>
      </c>
    </row>
    <row r="257" ht="16" customHeight="1">
      <c r="A257" s="17" t="n">
        <v>4056048069055</v>
      </c>
      <c r="B257" s="17" t="n">
        <v>3600531465230</v>
      </c>
      <c r="C257" s="13" t="n"/>
      <c r="D257" s="18" t="n"/>
      <c r="E257" s="18" t="inlineStr">
        <is>
          <t>FOR- 4056048069055</t>
        </is>
      </c>
      <c r="F257" s="17" t="inlineStr">
        <is>
          <t>M5000</t>
        </is>
      </c>
      <c r="G257" s="18" t="inlineStr">
        <is>
          <t>Fortuna</t>
        </is>
      </c>
      <c r="H257" s="18" t="inlineStr">
        <is>
          <t>Maybelline</t>
        </is>
      </c>
      <c r="I257" s="18" t="inlineStr">
        <is>
          <t>Maybelline New York Abdeckstift für Männer, Hautpflege mit Farbe, 5 verschiedene Farbtöne, zum Kaschieren von Augenringen und Pickeln, waches und gepflegtes Erscheinungsbild, Nr. 00 Ivory, 6,8ml</t>
        </is>
      </c>
      <c r="J257" s="18" t="inlineStr">
        <is>
          <t>No</t>
        </is>
      </c>
      <c r="K257" s="18" t="inlineStr">
        <is>
          <t>https://www.amazon.de/Maybelline-New-York-Abdeckstift-Mikro-L%C3%B6sch-Applikator/dp/B0B6G6YN14/ref=sr_1_1?__mk_de_DE=%C3%85M%C3%85%C5%BD%C3%95%C3%91&amp;crid=WZ1X0WVNO3L2&amp;dib=eyJ2IjoiMSJ9.QT3rgc1sKc5g_8dqUehTjw.vQzzF05TURr5a2BKRMvjdgQ14hCCrXeY4fQJsfWXcEU&amp;dib_tag=se&amp;keywords=B00CDO12Z8&amp;qid=1752837903&amp;rdc=1&amp;sprefix=b00cdo12z8%2Caps%2C169&amp;sr=8-1&amp;th=1</t>
        </is>
      </c>
      <c r="L257" s="18" t="inlineStr">
        <is>
          <t>B0B6G6YN14</t>
        </is>
      </c>
      <c r="M257" s="19" t="n"/>
      <c r="N257" s="19" t="n"/>
      <c r="O257" s="19" t="n">
        <v>14.97</v>
      </c>
      <c r="P257" s="19">
        <f>O257/1.19</f>
        <v/>
      </c>
      <c r="Q257" s="19">
        <f>O257-P257</f>
        <v/>
      </c>
      <c r="R257" s="19">
        <f>O257*0.15</f>
        <v/>
      </c>
      <c r="S257" s="19" t="n">
        <v>7.08</v>
      </c>
      <c r="T257" s="19">
        <f>S257*0.2</f>
        <v/>
      </c>
      <c r="U257" s="19" t="n">
        <v>0.400000000000002</v>
      </c>
      <c r="V257" s="19" t="n">
        <v>1.92</v>
      </c>
      <c r="W257" s="19">
        <f>V257*0.2</f>
        <v/>
      </c>
      <c r="X257" s="21">
        <f>O257-Q257-R257-S257-U257-V257+T257+W257</f>
        <v/>
      </c>
      <c r="Y257" s="18" t="n"/>
      <c r="Z257" s="19">
        <f>O257+1.5</f>
        <v/>
      </c>
      <c r="AA257" s="19" t="n">
        <v>6.39</v>
      </c>
      <c r="AB257" s="19" t="n">
        <v>11.976</v>
      </c>
      <c r="AC257" s="18" t="n"/>
      <c r="AD257" s="18" t="n"/>
      <c r="AE257" s="13" t="inlineStr">
        <is>
          <t>NOT_UPLOADED</t>
        </is>
      </c>
    </row>
    <row r="258" ht="16" customHeight="1">
      <c r="A258" s="12" t="n">
        <v>3600530733446</v>
      </c>
      <c r="B258" s="12" t="n">
        <v>3600531465230</v>
      </c>
      <c r="C258" s="13" t="n"/>
      <c r="D258" s="14" t="n"/>
      <c r="E258" s="14" t="inlineStr">
        <is>
          <t>FOR-3600530733446</t>
        </is>
      </c>
      <c r="F258" s="12" t="inlineStr">
        <is>
          <t>M5001</t>
        </is>
      </c>
      <c r="G258" s="14" t="inlineStr">
        <is>
          <t>Fortuna</t>
        </is>
      </c>
      <c r="H258" s="14" t="inlineStr">
        <is>
          <t>Maybelline</t>
        </is>
      </c>
      <c r="I258" s="14" t="inlineStr">
        <is>
          <t>Maybelline New York Abdeckstift, Instant Anti-Age Effekt Concealer, Löscher Mit Mikro-Lösch-Applikator, Nr. 01 Light, 6,8 Ml</t>
        </is>
      </c>
      <c r="J258" s="14" t="inlineStr">
        <is>
          <t>No</t>
        </is>
      </c>
      <c r="K258" s="14" t="inlineStr">
        <is>
          <t>https://www.amazon.de/Maybelline-New-York-Abdeckstift-Mikro-L%C3%B6sch-Applikator/dp/B00CDO12Z8/ref=sr_1_1?__mk_de_DE=%C3%85M%C3%85%C5%BD%C3%95%C3%91&amp;crid=WZ1X0WVNO3L2&amp;dib=eyJ2IjoiMSJ9.QT3rgc1sKc5g_8dqUehTjw.vQzzF05TURr5a2BKRMvjdgQ14hCCrXeY4fQJsfWXcEU&amp;dib_tag=se&amp;keywords=B00CDO12Z8&amp;qid=1752837903&amp;rdc=1&amp;sprefix=b00cdo12z8%2Caps%2C169&amp;sr=8-1&amp;th=1</t>
        </is>
      </c>
      <c r="L258" s="14" t="inlineStr">
        <is>
          <t>B00CDO12Z8</t>
        </is>
      </c>
      <c r="M258" s="15" t="n">
        <v>15.85</v>
      </c>
      <c r="N258" s="15" t="n"/>
      <c r="O258" s="15" t="n">
        <v>13.45</v>
      </c>
      <c r="P258" s="15">
        <f>O258/1.19</f>
        <v/>
      </c>
      <c r="Q258" s="15">
        <f>O258-P258</f>
        <v/>
      </c>
      <c r="R258" s="15">
        <f>O258*0.15</f>
        <v/>
      </c>
      <c r="S258" s="15" t="n">
        <v>7.08</v>
      </c>
      <c r="T258" s="15">
        <f>S258*0.2</f>
        <v/>
      </c>
      <c r="U258" s="15" t="n">
        <v>0.400000000000002</v>
      </c>
      <c r="V258" s="15" t="n">
        <v>1.92</v>
      </c>
      <c r="W258" s="15">
        <f>V258*0.2</f>
        <v/>
      </c>
      <c r="X258" s="16">
        <f>O258-Q258-R258-S258-U258-V258+T258+W258</f>
        <v/>
      </c>
      <c r="Y258" s="14" t="n"/>
      <c r="Z258" s="15">
        <f>O258+1.5</f>
        <v/>
      </c>
      <c r="AA258" s="15" t="n">
        <v>6.39</v>
      </c>
      <c r="AB258" s="15" t="n">
        <v>10.76</v>
      </c>
      <c r="AC258" s="14" t="n"/>
      <c r="AD258" s="14" t="n"/>
      <c r="AE258" s="13" t="inlineStr">
        <is>
          <t>NOT_UPLOADED</t>
        </is>
      </c>
    </row>
    <row r="259" ht="16" customHeight="1">
      <c r="A259" s="17" t="n">
        <v>3600530733842</v>
      </c>
      <c r="B259" s="17" t="n">
        <v>3600530733842</v>
      </c>
      <c r="C259" s="13" t="n"/>
      <c r="D259" s="18" t="n"/>
      <c r="E259" s="18" t="inlineStr">
        <is>
          <t>FOR-3600530733842</t>
        </is>
      </c>
      <c r="F259" s="17" t="inlineStr">
        <is>
          <t>M5001</t>
        </is>
      </c>
      <c r="G259" s="18" t="inlineStr">
        <is>
          <t>Fortuna</t>
        </is>
      </c>
      <c r="H259" s="18" t="inlineStr">
        <is>
          <t>Maybelline</t>
        </is>
      </c>
      <c r="I259" s="18" t="inlineStr">
        <is>
          <t>Maybelline New York Concealer, Instant Anti-Ageing Eraser, 01 Beige Pink, 6.8 ml</t>
        </is>
      </c>
      <c r="J259" s="18" t="inlineStr">
        <is>
          <t>No</t>
        </is>
      </c>
      <c r="K259" s="18" t="inlineStr">
        <is>
          <t>https://www.amazon.de/Maybelline-Instant-Rewind-Eraser-Concealer/dp/B00JR76TKW/ref=sr_1_1?__mk_de_DE=%C3%85M%C3%85%C5%BD%C3%95%C3%91&amp;crid=2GXIG2SRJ6VAF&amp;dib=eyJ2IjoiMSJ9.Bo7lycF7-1OVkJb6IUai8AC1BKdxFIXbLiox1SZgVTI.24jY2s5iZegUJGuDQOJHsF-E305aZtk8Kd2G7qlZtME&amp;dib_tag=se&amp;keywords=3600530733842&amp;qid=1749930556&amp;sprefix=3600530733842%2Caps%2C77&amp;sr=8-1</t>
        </is>
      </c>
      <c r="L259" s="18" t="inlineStr">
        <is>
          <t>B00JR76TKW</t>
        </is>
      </c>
      <c r="M259" s="19" t="n">
        <v>15.85</v>
      </c>
      <c r="N259" s="19" t="n"/>
      <c r="O259" s="19" t="n">
        <v>13.45</v>
      </c>
      <c r="P259" s="19">
        <f>O259/1.19</f>
        <v/>
      </c>
      <c r="Q259" s="19">
        <f>O259-P259</f>
        <v/>
      </c>
      <c r="R259" s="19">
        <f>O259*0.15</f>
        <v/>
      </c>
      <c r="S259" s="19" t="n">
        <v>7.08</v>
      </c>
      <c r="T259" s="19">
        <f>S259*0.2</f>
        <v/>
      </c>
      <c r="U259" s="19" t="n">
        <v>0.400000000000002</v>
      </c>
      <c r="V259" s="19" t="n">
        <v>1.92</v>
      </c>
      <c r="W259" s="19">
        <f>V259*0.2</f>
        <v/>
      </c>
      <c r="X259" s="16">
        <f>O259-Q259-R259-S259-U259-V259+T259+W259</f>
        <v/>
      </c>
      <c r="Y259" s="18" t="n"/>
      <c r="Z259" s="19">
        <f>O259+1.5</f>
        <v/>
      </c>
      <c r="AA259" s="19" t="n">
        <v>6.39</v>
      </c>
      <c r="AB259" s="19" t="n">
        <v>10.76</v>
      </c>
      <c r="AC259" s="18" t="n"/>
      <c r="AD259" s="18" t="n"/>
      <c r="AE259" s="13" t="inlineStr">
        <is>
          <t>NOT_UPLOADED</t>
        </is>
      </c>
    </row>
    <row r="260" ht="16" customHeight="1">
      <c r="A260" s="12" t="n">
        <v>3600530733842</v>
      </c>
      <c r="B260" s="12" t="n">
        <v>3600530733842</v>
      </c>
      <c r="C260" s="13" t="n"/>
      <c r="D260" s="14" t="n"/>
      <c r="E260" s="14" t="inlineStr">
        <is>
          <t>FR-3600530733842</t>
        </is>
      </c>
      <c r="F260" s="12" t="inlineStr">
        <is>
          <t>M5001</t>
        </is>
      </c>
      <c r="G260" s="14" t="inlineStr">
        <is>
          <t>Fortuna</t>
        </is>
      </c>
      <c r="H260" s="14" t="inlineStr">
        <is>
          <t>Maybelline</t>
        </is>
      </c>
      <c r="I260" s="14" t="inlineStr">
        <is>
          <t>Maybelline Instant Anti Age Eraser Concealer - 01 Light</t>
        </is>
      </c>
      <c r="J260" s="14" t="inlineStr">
        <is>
          <t>No</t>
        </is>
      </c>
      <c r="K260" s="14" t="inlineStr">
        <is>
          <t>https://www.amazon.de/-/en/Maybelline-Instant-Anti-Eraser-Concealer/dp/B016WOF4W6/ref=sr_1_2?crid=CBPRPUCGQOSZ&amp;dib=eyJ2IjoiMSJ9.g2dQP08p0pje5CTOmeymVJAEdh6G8f7bPsiGmgWv3IkqVW-SpRT-8ERGf1CpJflN-3yh3eIKD1c86cIayVfOdH5d0m2lNX6HqEvJx3_0f4aPAe4yhuKi1-nobWLaIh3o4uKCgfrif7yGlNn0J4VgnAR7RPqQ2ODB7jJWeu-xI_6Pg-Ca_LIop_Hihp1dbQy8_6_lc918hu07X5vXqFQ-2z4xZIny70dHe-noU4UP_EfczzoOllOJ1gWYwZLLFTMmlykynNkFZCudfO6PQ9nCWsaMePTvVA3bQu5wYEkgSmw.MtrRysjQUhMwyUh368UxkjMj7WSYF4O-ztx630p2BO8&amp;dib_tag=se&amp;keywords=Maybelline+ERASER+01&amp;qid=1755530782&amp;sprefix=maybelline+eraser+01%2Caps%2C149&amp;sr=8-2</t>
        </is>
      </c>
      <c r="L260" s="14" t="inlineStr">
        <is>
          <t>B016WOF4W6</t>
        </is>
      </c>
      <c r="M260" s="15" t="n"/>
      <c r="N260" s="15" t="n"/>
      <c r="O260" s="15" t="n">
        <v>14.7</v>
      </c>
      <c r="P260" s="15">
        <f>O260/1.19</f>
        <v/>
      </c>
      <c r="Q260" s="15">
        <f>O260-P260</f>
        <v/>
      </c>
      <c r="R260" s="15">
        <f>O260*0.15</f>
        <v/>
      </c>
      <c r="S260" s="15" t="n">
        <v>7.08</v>
      </c>
      <c r="T260" s="15">
        <f>S260*0.2</f>
        <v/>
      </c>
      <c r="U260" s="15" t="n">
        <v>0.400000000000002</v>
      </c>
      <c r="V260" s="15" t="n">
        <v>1.92</v>
      </c>
      <c r="W260" s="15">
        <f>V260*0.2</f>
        <v/>
      </c>
      <c r="X260" s="21">
        <f>O260-Q260-R260-S260-U260-V260+T260+W260</f>
        <v/>
      </c>
      <c r="Y260" s="14" t="n"/>
      <c r="Z260" s="15">
        <f>O260+1.5</f>
        <v/>
      </c>
      <c r="AA260" s="15" t="n">
        <v>6.39</v>
      </c>
      <c r="AB260" s="15" t="n">
        <v>11.76</v>
      </c>
      <c r="AC260" s="14" t="n"/>
      <c r="AD260" s="14" t="n"/>
      <c r="AE260" s="13" t="inlineStr">
        <is>
          <t>NOT_UPLOADED</t>
        </is>
      </c>
    </row>
    <row r="261" ht="16" customHeight="1">
      <c r="A261" s="17" t="n">
        <v>3600530733842</v>
      </c>
      <c r="B261" s="17" t="n">
        <v>3600530733842</v>
      </c>
      <c r="C261" s="20" t="inlineStr">
        <is>
          <t>PACK X 2</t>
        </is>
      </c>
      <c r="D261" s="18" t="n"/>
      <c r="E261" s="18" t="inlineStr">
        <is>
          <t>FORT-3600530733842</t>
        </is>
      </c>
      <c r="F261" s="17" t="inlineStr">
        <is>
          <t>M5001</t>
        </is>
      </c>
      <c r="G261" s="18" t="inlineStr">
        <is>
          <t>Fortuna</t>
        </is>
      </c>
      <c r="H261" s="18" t="inlineStr">
        <is>
          <t>Maybelline</t>
        </is>
      </c>
      <c r="I261" s="18" t="inlineStr">
        <is>
          <t>Maybelline Instant Anti Age Eraser Concealer - 01 Light</t>
        </is>
      </c>
      <c r="J261" s="18" t="inlineStr">
        <is>
          <t>No</t>
        </is>
      </c>
      <c r="K261" s="18" t="inlineStr">
        <is>
          <t>https://www.amazon.de/-/en/Maybelline-Concealer-Instant-Anti-Age-Applicator/dp/B09Y9H86ND/ref=sr_1_6?crid=CBPRPUCGQOSZ&amp;dib=eyJ2IjoiMSJ9.g2dQP08p0pje5CTOmeymVJAEdh6G8f7bPsiGmgWv3IkqVW-SpRT-8ERGf1CpJflN-3yh3eIKD1c86cIayVfOdH5d0m2lNX6HqEvJx3_0f4aPAe4yhuKi1-nobWLaIh3o4uKCgfrif7yGlNn0J4VgnAR7RPqQ2ODB7jJWeu-xI_6Pg-Ca_LIop_Hihp1dbQy8_6_lc918hu07X5vXqFQ-2z4xZIny70dHe-noU4UP_EfczzoOllOJ1gWYwZLLFTMmlykynNkFZCudfO6PQ9nCWsaMePTvVA3bQu5wYEkgSmw.MtrRysjQUhMwyUh368UxkjMj7WSYF4O-ztx630p2BO8&amp;dib_tag=se&amp;keywords=Maybelline%2BERASER%2B01&amp;qid=1755530782&amp;sprefix=maybelline%2Beraser%2B01%2Caps%2C149&amp;sr=8-6&amp;th=1</t>
        </is>
      </c>
      <c r="L261" s="18" t="inlineStr">
        <is>
          <t>B09Y9H86ND</t>
        </is>
      </c>
      <c r="M261" s="19" t="n"/>
      <c r="N261" s="19" t="n"/>
      <c r="O261" s="19" t="n">
        <v>26.7</v>
      </c>
      <c r="P261" s="19">
        <f>O261/1.19</f>
        <v/>
      </c>
      <c r="Q261" s="19">
        <f>O261-P261</f>
        <v/>
      </c>
      <c r="R261" s="19">
        <f>O261*0.15</f>
        <v/>
      </c>
      <c r="S261" s="19" t="n">
        <v>14.16</v>
      </c>
      <c r="T261" s="19">
        <f>S261*0.2</f>
        <v/>
      </c>
      <c r="U261" s="19" t="n">
        <v>0.400000000000002</v>
      </c>
      <c r="V261" s="19" t="n">
        <v>2.2</v>
      </c>
      <c r="W261" s="19">
        <f>V261*0.2</f>
        <v/>
      </c>
      <c r="X261" s="21">
        <f>O261-Q261-R261-S261-U261-V261+T261+W261</f>
        <v/>
      </c>
      <c r="Y261" s="18" t="n"/>
      <c r="Z261" s="19">
        <f>O261+1.5</f>
        <v/>
      </c>
      <c r="AA261" s="19" t="n">
        <v>6.39</v>
      </c>
      <c r="AB261" s="19" t="n">
        <v>21.36</v>
      </c>
      <c r="AC261" s="18" t="n"/>
      <c r="AD261" s="18" t="n"/>
      <c r="AE261" s="13" t="inlineStr">
        <is>
          <t>NOT_UPLOADED</t>
        </is>
      </c>
    </row>
    <row r="262" ht="16" customHeight="1">
      <c r="A262" s="12" t="n">
        <v>3600530733859</v>
      </c>
      <c r="B262" s="12" t="n">
        <v>3600530733859</v>
      </c>
      <c r="C262" s="13" t="n"/>
      <c r="D262" s="14" t="n"/>
      <c r="E262" s="14" t="inlineStr">
        <is>
          <t>FOR-3600530733859</t>
        </is>
      </c>
      <c r="F262" s="12" t="inlineStr">
        <is>
          <t>M5002</t>
        </is>
      </c>
      <c r="G262" s="14" t="inlineStr">
        <is>
          <t>Fortuna</t>
        </is>
      </c>
      <c r="H262" s="14" t="inlineStr">
        <is>
          <t>Maybelline</t>
        </is>
      </c>
      <c r="I262" s="14" t="inlineStr">
        <is>
          <t>Maybelline Instant Age Rewind Eraser Concealer</t>
        </is>
      </c>
      <c r="J262" s="14" t="inlineStr">
        <is>
          <t>No</t>
        </is>
      </c>
      <c r="K262" s="14" t="inlineStr">
        <is>
          <t>https://www.amazon.de/Maybelline-Eraser-Augen-Concealer-Hautfarben/dp/B00JR76S2Q/ref=sr_1_1?__mk_de_DE=%C3%85M%C3%85%C5%BD%C3%95%C3%91&amp;crid=2SPGYT4Y2EC2V&amp;dib=eyJ2IjoiMSJ9.za9IcOuOvtbQLDoMr6OB2rhU8E2XZsdNvSNnYGhY8BCSxgsW1MiSU6mB19U59665.GaCjy6CRk81ETsIw9BHbg6D2cg5AKlf1kVll6fqUUhA&amp;dib_tag=se&amp;keywords=3600530733859&amp;qid=1749930699&amp;sprefix=3600530733859%2Caps%2C65&amp;sr=8-1&amp;th=1</t>
        </is>
      </c>
      <c r="L262" s="14" t="inlineStr">
        <is>
          <t>B00JR76S2Q</t>
        </is>
      </c>
      <c r="M262" s="15" t="n">
        <v>15.85</v>
      </c>
      <c r="N262" s="15" t="n"/>
      <c r="O262" s="15" t="n">
        <v>12.7</v>
      </c>
      <c r="P262" s="15">
        <f>O262/1.19</f>
        <v/>
      </c>
      <c r="Q262" s="15">
        <f>O262-P262</f>
        <v/>
      </c>
      <c r="R262" s="15">
        <f>O262*0.15</f>
        <v/>
      </c>
      <c r="S262" s="15" t="n">
        <v>7.08</v>
      </c>
      <c r="T262" s="15">
        <f>S262*0.2</f>
        <v/>
      </c>
      <c r="U262" s="15" t="n">
        <v>0.400000000000002</v>
      </c>
      <c r="V262" s="15" t="n">
        <v>1.92</v>
      </c>
      <c r="W262" s="15">
        <f>V262*0.2</f>
        <v/>
      </c>
      <c r="X262" s="16">
        <f>O262-Q262-R262-S262-U262-V262+T262+W262</f>
        <v/>
      </c>
      <c r="Y262" s="14" t="n"/>
      <c r="Z262" s="15">
        <f>O262+1.5</f>
        <v/>
      </c>
      <c r="AA262" s="15" t="n">
        <v>6.39</v>
      </c>
      <c r="AB262" s="15" t="n">
        <v>10.16</v>
      </c>
      <c r="AC262" s="14" t="n"/>
      <c r="AD262" s="14" t="n"/>
      <c r="AE262" s="13" t="inlineStr">
        <is>
          <t>NOT_UPLOADED</t>
        </is>
      </c>
    </row>
    <row r="263" ht="16" customHeight="1">
      <c r="A263" s="17" t="n">
        <v>3600530733859</v>
      </c>
      <c r="B263" s="17" t="n">
        <v>3600530733859</v>
      </c>
      <c r="C263" s="13" t="n"/>
      <c r="D263" s="18" t="n"/>
      <c r="E263" s="18" t="inlineStr">
        <is>
          <t>FO-3600530733859</t>
        </is>
      </c>
      <c r="F263" s="17" t="inlineStr">
        <is>
          <t>M5002</t>
        </is>
      </c>
      <c r="G263" s="18" t="inlineStr">
        <is>
          <t>Fortuna</t>
        </is>
      </c>
      <c r="H263" s="18" t="inlineStr">
        <is>
          <t>Maybelline</t>
        </is>
      </c>
      <c r="I263" s="18" t="inlineStr">
        <is>
          <t>Maybelline New York Concealer, Instant Anti-Age Effect Concealer, Eraser with Micro Eraser Applicator, No. 02 Nude, 6.8 ml</t>
        </is>
      </c>
      <c r="J263" s="18" t="inlineStr">
        <is>
          <t>No</t>
        </is>
      </c>
      <c r="K263" s="18" t="inlineStr">
        <is>
          <t>https://www.amazon.de/-/en/Maybelline-Concealer-Instant-Anti-Age-Applicator/dp/B0B6G58CNN/ref=sr_1_4?crid=3KQ1GIWL14QZW&amp;dib=eyJ2IjoiMSJ9.MaKPkhydJjAVCDbFEu9xPaJp9011SbLZ7mOOgYzC-t2LN3FZvIDxeO98x91n1gHvHfele_dz_Zp5Lu_K86VjdEAfzerUYYBRMRq7v80xL4HFyfs02lRfAfY7LWR_SeeH461AoNJJ9foPmy3bvBQxAhb7H8CmYhAr3L58aRX9opxlzrIpuZNB8IV8nZJGJBhgL_JPREkcSLwRcneZEmB8GfMm-Ur2YI2VSq92ZAND4Nw.ohiKuCoIpmKBKuuSlL8YhBzzWRC_wyYYyG3CLhzRdMs&amp;dib_tag=se&amp;keywords=Maybelline%2BERASER%2B02&amp;qid=1755531815&amp;sprefix=maybelline%2Beraser%2B02%2Caps%2C128&amp;sr=8-4&amp;th=1</t>
        </is>
      </c>
      <c r="L263" s="18" t="inlineStr">
        <is>
          <t>B0B6G58CNN</t>
        </is>
      </c>
      <c r="M263" s="19" t="n"/>
      <c r="N263" s="19" t="n"/>
      <c r="O263" s="19" t="n">
        <v>14.7</v>
      </c>
      <c r="P263" s="19">
        <f>O263/1.19</f>
        <v/>
      </c>
      <c r="Q263" s="19">
        <f>O263-P263</f>
        <v/>
      </c>
      <c r="R263" s="19">
        <f>O263*0.15</f>
        <v/>
      </c>
      <c r="S263" s="19" t="n">
        <v>7.08</v>
      </c>
      <c r="T263" s="19">
        <f>S263*0.2</f>
        <v/>
      </c>
      <c r="U263" s="19" t="n">
        <v>0.400000000000002</v>
      </c>
      <c r="V263" s="19" t="n">
        <v>1.92</v>
      </c>
      <c r="W263" s="19">
        <f>V263*0.2</f>
        <v/>
      </c>
      <c r="X263" s="21">
        <f>O263-Q263-R263-S263-U263-V263+T263+W263</f>
        <v/>
      </c>
      <c r="Y263" s="18" t="n"/>
      <c r="Z263" s="19">
        <f>O263+1.5</f>
        <v/>
      </c>
      <c r="AA263" s="19" t="n">
        <v>6.39</v>
      </c>
      <c r="AB263" s="19" t="n">
        <v>11.76</v>
      </c>
      <c r="AC263" s="18" t="n"/>
      <c r="AD263" s="18" t="n"/>
      <c r="AE263" s="13" t="inlineStr">
        <is>
          <t>NOT_UPLOADED</t>
        </is>
      </c>
    </row>
    <row r="264" ht="16" customHeight="1">
      <c r="A264" s="12" t="n">
        <v>3600530733859</v>
      </c>
      <c r="B264" s="12" t="n">
        <v>3600530733859</v>
      </c>
      <c r="C264" s="20" t="inlineStr">
        <is>
          <t>PACK X 3</t>
        </is>
      </c>
      <c r="D264" s="14" t="n"/>
      <c r="E264" s="14" t="inlineStr">
        <is>
          <t>PACK-3600530733859</t>
        </is>
      </c>
      <c r="F264" s="12" t="inlineStr">
        <is>
          <t>M5002</t>
        </is>
      </c>
      <c r="G264" s="14" t="inlineStr">
        <is>
          <t>Fortuna</t>
        </is>
      </c>
      <c r="H264" s="14" t="inlineStr">
        <is>
          <t>Maybelline</t>
        </is>
      </c>
      <c r="I264" s="14" t="inlineStr">
        <is>
          <t>Maybelline Instant Anti Age Eye Concealer Eraser 6.8 ml - 02 Nude Pack of 3</t>
        </is>
      </c>
      <c r="J264" s="14" t="inlineStr">
        <is>
          <t>No</t>
        </is>
      </c>
      <c r="K264" s="14" t="inlineStr">
        <is>
          <t>https://www.amazon.de/-/en/Maybelline-Instant-Anti-Concealer-Eraser/dp/B09641HP1V/ref=sr_1_6?crid=3KQ1GIWL14QZW&amp;dib=eyJ2IjoiMSJ9.MaKPkhydJjAVCDbFEu9xPaJp9011SbLZ7mOOgYzC-t2LN3FZvIDxeO98x91n1gHvHfele_dz_Zp5Lu_K86VjdEAfzerUYYBRMRq7v80xL4HFyfs02lRfAfY7LWR_SeeH461AoNJJ9foPmy3bvBQxAhb7H8CmYhAr3L58aRX9opxlzrIpuZNB8IV8nZJGJBhgL_JPREkcSLwRcneZEmB8GfMm-Ur2YI2VSq92ZAND4Nw.ohiKuCoIpmKBKuuSlL8YhBzzWRC_wyYYyG3CLhzRdMs&amp;dib_tag=se&amp;keywords=Maybelline+ERASER+02&amp;qid=1755531815&amp;sprefix=maybelline+eraser+02%2Caps%2C128&amp;sr=8-6</t>
        </is>
      </c>
      <c r="L264" s="14" t="inlineStr">
        <is>
          <t>B09641HP1V</t>
        </is>
      </c>
      <c r="M264" s="15" t="n"/>
      <c r="N264" s="15" t="n"/>
      <c r="O264" s="15" t="n">
        <v>36.9</v>
      </c>
      <c r="P264" s="15">
        <f>O264/1.19</f>
        <v/>
      </c>
      <c r="Q264" s="15">
        <f>O264-P264</f>
        <v/>
      </c>
      <c r="R264" s="15">
        <f>O264*0.15</f>
        <v/>
      </c>
      <c r="S264" s="15" t="n">
        <v>21.24</v>
      </c>
      <c r="T264" s="15">
        <f>S264*0.2</f>
        <v/>
      </c>
      <c r="U264" s="15" t="n">
        <v>0.400000000000002</v>
      </c>
      <c r="V264" s="15" t="n">
        <v>3</v>
      </c>
      <c r="W264" s="15">
        <f>V264*0.2</f>
        <v/>
      </c>
      <c r="X264" s="21">
        <f>O264-Q264-R264-S264-U264-V264+T264+W264</f>
        <v/>
      </c>
      <c r="Y264" s="14" t="n"/>
      <c r="Z264" s="15">
        <f>O264+1.5</f>
        <v/>
      </c>
      <c r="AA264" s="15" t="n">
        <v>6.39</v>
      </c>
      <c r="AB264" s="15" t="n">
        <v>29.52</v>
      </c>
      <c r="AC264" s="14" t="n"/>
      <c r="AD264" s="14" t="n"/>
      <c r="AE264" s="13" t="inlineStr">
        <is>
          <t>NOT_UPLOADED</t>
        </is>
      </c>
    </row>
    <row r="265" ht="16" customHeight="1">
      <c r="A265" s="17" t="n">
        <v>3600531396831</v>
      </c>
      <c r="B265" s="17" t="n">
        <v>3600531396831</v>
      </c>
      <c r="C265" s="13" t="n"/>
      <c r="D265" s="18" t="n"/>
      <c r="E265" s="18" t="inlineStr">
        <is>
          <t>FOR-3600531396831</t>
        </is>
      </c>
      <c r="F265" s="17" t="inlineStr">
        <is>
          <t>M5003</t>
        </is>
      </c>
      <c r="G265" s="18" t="inlineStr">
        <is>
          <t>Fortuna</t>
        </is>
      </c>
      <c r="H265" s="18" t="inlineStr">
        <is>
          <t>Maybelline</t>
        </is>
      </c>
      <c r="I265" s="18" t="inlineStr">
        <is>
          <t>Maybelline New York Eraser Eye, Colour Correcting Concealer, Neutralizes Blue Hues &amp; Hyperpigmentation, Natural Soft-Focus Finish, Dermatologist Tested &amp; Suitable for Sensitive Skin, (05, Brightener)</t>
        </is>
      </c>
      <c r="J265" s="18" t="inlineStr">
        <is>
          <t>No</t>
        </is>
      </c>
      <c r="K265" s="18" t="inlineStr">
        <is>
          <t>https://www.amazon.de/Maybelline-Eraser-Concealer-Nummer-Aufheller/dp/B06Y457TMB/ref=sr_1_1?__mk_de_DE=%C3%85M%C3%85%C5%BD%C3%95%C3%91&amp;crid=1TI6DPVSKND8G&amp;dib=eyJ2IjoiMSJ9.4T9f3RhcmRlIZ_KTsikBr2fs06-jjHsUXQbTUA3PadgIQnf4JzY8jZJRyqfOgqw8.o_8dLrR8MQ89_TkGWWBD33AVBrMNw9cpZ3RsqZPlIyU&amp;dib_tag=se&amp;keywords=3600531396831&amp;qid=1749930851&amp;sprefix=3600531396831%2Caps%2C107&amp;sr=8-1&amp;th=1</t>
        </is>
      </c>
      <c r="L265" s="18" t="inlineStr">
        <is>
          <t>B06Y457TMB</t>
        </is>
      </c>
      <c r="M265" s="19" t="n">
        <v>15.83</v>
      </c>
      <c r="N265" s="19" t="n"/>
      <c r="O265" s="19" t="n">
        <v>13.95</v>
      </c>
      <c r="P265" s="19">
        <f>O265/1.19</f>
        <v/>
      </c>
      <c r="Q265" s="19">
        <f>O265-P265</f>
        <v/>
      </c>
      <c r="R265" s="19">
        <f>O265*0.15</f>
        <v/>
      </c>
      <c r="S265" s="19" t="n">
        <v>7.08</v>
      </c>
      <c r="T265" s="19">
        <f>S265*0.2</f>
        <v/>
      </c>
      <c r="U265" s="19" t="n">
        <v>0.400000000000002</v>
      </c>
      <c r="V265" s="19" t="n">
        <v>1.92</v>
      </c>
      <c r="W265" s="19">
        <f>V265*0.2</f>
        <v/>
      </c>
      <c r="X265" s="21">
        <f>O265-Q265-R265-S265-U265-V265+T265+W265</f>
        <v/>
      </c>
      <c r="Y265" s="18" t="n"/>
      <c r="Z265" s="19">
        <f>O265+1.5</f>
        <v/>
      </c>
      <c r="AA265" s="19" t="n">
        <v>6.39</v>
      </c>
      <c r="AB265" s="19" t="n">
        <v>11.16</v>
      </c>
      <c r="AC265" s="18" t="n"/>
      <c r="AD265" s="18" t="n"/>
      <c r="AE265" s="13" t="inlineStr">
        <is>
          <t>NOT_UPLOADED</t>
        </is>
      </c>
    </row>
    <row r="266" ht="16" customHeight="1">
      <c r="A266" s="12" t="n">
        <v>3600531396831</v>
      </c>
      <c r="B266" s="12" t="n">
        <v>3600531396831</v>
      </c>
      <c r="C266" s="13" t="n"/>
      <c r="D266" s="14" t="n"/>
      <c r="E266" s="14" t="inlineStr">
        <is>
          <t>FOR-36005313968317</t>
        </is>
      </c>
      <c r="F266" s="12" t="inlineStr">
        <is>
          <t>M5003</t>
        </is>
      </c>
      <c r="G266" s="14" t="inlineStr">
        <is>
          <t>Fortuna</t>
        </is>
      </c>
      <c r="H266" s="14" t="inlineStr">
        <is>
          <t>Maybelline</t>
        </is>
      </c>
      <c r="I266" s="14" t="inlineStr">
        <is>
          <t>Maybelline New York Instant Anti-Age Eraser</t>
        </is>
      </c>
      <c r="J266" s="14" t="inlineStr">
        <is>
          <t>No</t>
        </is>
      </c>
      <c r="K266" s="14" t="inlineStr">
        <is>
          <t>https://www.amazon.de/Maybelline-York-Instant-Anti-Age-Eraser/dp/B07GPQCRDF/ref=sr_1_1?__mk_de_DE=%C3%85M%C3%85%C5%BD%C3%95%C3%91&amp;crid=3499D79VUA55Z&amp;dib=eyJ2IjoiMSJ9.oSDpWMCRS2YnFIq58rU25w.i4D_WjKxVFKSJjbEU7DxkL8w-hRn9K2Fhb7IrNavkxA&amp;dib_tag=se&amp;keywords=B07GPQCRDF&amp;qid=1760642254&amp;sprefix=b07gpqcrdf%2Caps%2C147&amp;sr=8-1</t>
        </is>
      </c>
      <c r="L266" s="14" t="inlineStr">
        <is>
          <t>B07GPQCRDF</t>
        </is>
      </c>
      <c r="M266" s="15" t="n"/>
      <c r="N266" s="15" t="n"/>
      <c r="O266" s="15" t="n">
        <v>13.77</v>
      </c>
      <c r="P266" s="15">
        <f>O266/1.19</f>
        <v/>
      </c>
      <c r="Q266" s="15">
        <f>O266-P266</f>
        <v/>
      </c>
      <c r="R266" s="15">
        <f>O266*0.15</f>
        <v/>
      </c>
      <c r="S266" s="15" t="n">
        <v>7.08</v>
      </c>
      <c r="T266" s="15">
        <f>S266*0.2</f>
        <v/>
      </c>
      <c r="U266" s="15" t="n">
        <v>0.400000000000002</v>
      </c>
      <c r="V266" s="15" t="n">
        <v>1.92</v>
      </c>
      <c r="W266" s="15">
        <f>V266*0.2</f>
        <v/>
      </c>
      <c r="X266" s="16">
        <f>O266-Q266-R266-S266-U266-V266+T266+W266</f>
        <v/>
      </c>
      <c r="Y266" s="14" t="n"/>
      <c r="Z266" s="15">
        <f>O266+1.5</f>
        <v/>
      </c>
      <c r="AA266" s="15" t="n"/>
      <c r="AB266" s="15" t="n"/>
      <c r="AC266" s="14" t="n"/>
      <c r="AD266" s="14" t="n"/>
      <c r="AE266" s="13" t="inlineStr">
        <is>
          <t>NOT_UPLOADED</t>
        </is>
      </c>
    </row>
    <row r="267" ht="16" customHeight="1">
      <c r="A267" s="17" t="n">
        <v>3600531396923</v>
      </c>
      <c r="B267" s="17" t="n">
        <v>3600531396831</v>
      </c>
      <c r="C267" s="13" t="n"/>
      <c r="D267" s="18" t="n"/>
      <c r="E267" s="18" t="inlineStr">
        <is>
          <t>FOR-3600531396923</t>
        </is>
      </c>
      <c r="F267" s="17" t="inlineStr">
        <is>
          <t>M5003</t>
        </is>
      </c>
      <c r="G267" s="18" t="inlineStr">
        <is>
          <t>Fortuna</t>
        </is>
      </c>
      <c r="H267" s="18" t="inlineStr">
        <is>
          <t>Maybelline</t>
        </is>
      </c>
      <c r="I267" s="18" t="inlineStr">
        <is>
          <t>Maybelline New York Instant Anti-Age Löscher Color Corrector Concealer, Ultra-einfache Farbkorrektur für einen ebenmäßigen Teint, 05 Brightener, 6,8 ml</t>
        </is>
      </c>
      <c r="J267" s="18" t="inlineStr">
        <is>
          <t>No</t>
        </is>
      </c>
      <c r="K267" s="18" t="inlineStr">
        <is>
          <t>https://www.amazon.de/Maybelline-New-York-Abdeckstift-Mikro-L%C3%B6sch-Applikator/dp/B0743R4YBW/ref=sr_1_1?__mk_de_DE=%C3%85M%C3%85%C5%BD%C3%95%C3%91&amp;crid=WZ1X0WVNO3L2&amp;dib=eyJ2IjoiMSJ9.QT3rgc1sKc5g_8dqUehTjw.vQzzF05TURr5a2BKRMvjdgQ14hCCrXeY4fQJsfWXcEU&amp;dib_tag=se&amp;keywords=B00CDO12Z8&amp;qid=1752837903&amp;rdc=1&amp;sprefix=b00cdo12z8%2Caps%2C169&amp;sr=8-1&amp;th=1</t>
        </is>
      </c>
      <c r="L267" s="18" t="inlineStr">
        <is>
          <t>B0743R4YBW</t>
        </is>
      </c>
      <c r="M267" s="19" t="n"/>
      <c r="N267" s="19" t="n"/>
      <c r="O267" s="19" t="n">
        <v>14.8</v>
      </c>
      <c r="P267" s="19">
        <f>O267/1.19</f>
        <v/>
      </c>
      <c r="Q267" s="19">
        <f>O267-P267</f>
        <v/>
      </c>
      <c r="R267" s="19">
        <f>O267*0.15</f>
        <v/>
      </c>
      <c r="S267" s="19" t="n">
        <v>7.08</v>
      </c>
      <c r="T267" s="19">
        <f>S267*0.2</f>
        <v/>
      </c>
      <c r="U267" s="19" t="n">
        <v>0.400000000000002</v>
      </c>
      <c r="V267" s="19" t="n">
        <v>1.92</v>
      </c>
      <c r="W267" s="19">
        <f>V267*0.2</f>
        <v/>
      </c>
      <c r="X267" s="21">
        <f>O267-Q267-R267-S267-U267-V267+T267+W267</f>
        <v/>
      </c>
      <c r="Y267" s="18" t="n"/>
      <c r="Z267" s="19">
        <f>O267+1.5</f>
        <v/>
      </c>
      <c r="AA267" s="19" t="n">
        <v>6.39</v>
      </c>
      <c r="AB267" s="19" t="n">
        <v>11.84</v>
      </c>
      <c r="AC267" s="18" t="n"/>
      <c r="AD267" s="18" t="n"/>
      <c r="AE267" s="13" t="inlineStr">
        <is>
          <t>NOT_UPLOADED</t>
        </is>
      </c>
    </row>
    <row r="268" ht="16" customHeight="1">
      <c r="A268" s="12" t="n">
        <v>3600531396855</v>
      </c>
      <c r="B268" s="12" t="n">
        <v>3600531396855</v>
      </c>
      <c r="C268" s="13" t="n"/>
      <c r="D268" s="14" t="n"/>
      <c r="E268" s="14" t="inlineStr">
        <is>
          <t>FOR-3600531396855</t>
        </is>
      </c>
      <c r="F268" s="12" t="inlineStr">
        <is>
          <t>M5004</t>
        </is>
      </c>
      <c r="G268" s="14" t="inlineStr">
        <is>
          <t>Fortuna</t>
        </is>
      </c>
      <c r="H268" s="14" t="inlineStr">
        <is>
          <t>Maybelline</t>
        </is>
      </c>
      <c r="I268" s="14" t="inlineStr">
        <is>
          <t>Maybelline New York Eraser Eye, Colour Correcting Concealer, Neutralizes Blue Hues &amp; Hyperpigmentation, Natural Soft-Focus Finish, Dermatologist Tested &amp; Suitable for Sensitive Skin, (06, Neutraliser)</t>
        </is>
      </c>
      <c r="J268" s="14" t="inlineStr">
        <is>
          <t>No</t>
        </is>
      </c>
      <c r="K268" s="14" t="inlineStr">
        <is>
          <t>https://www.amazon.de/Maybelline-Eraser-Concealer-Number-Neutralizer/dp/B06Y442VV3/ref=sr_1_1?__mk_de_DE=%C3%85M%C3%85%C5%BD%C3%95%C3%91&amp;crid=2WRBVU9PDBX7N&amp;dib=eyJ2IjoiMSJ9.bk8dM48_Qnci8ZDY8VffdkLcGfFTv8S1c2k3SDF5RGbGjHj071QN20LucGBJIEps.0DvYc7_jKrJsW09qITEmc-63Zlh0lJM1Qss68NVTqso&amp;dib_tag=se&amp;keywords=3600531396855&amp;qid=1749930977&amp;sprefix=3600531396855%2Caps%2C69&amp;sr=8-1&amp;th=1</t>
        </is>
      </c>
      <c r="L268" s="14" t="inlineStr">
        <is>
          <t>B06Y442VV3</t>
        </is>
      </c>
      <c r="M268" s="15" t="n">
        <v>15.88</v>
      </c>
      <c r="N268" s="15" t="n"/>
      <c r="O268" s="15" t="n">
        <v>13.95</v>
      </c>
      <c r="P268" s="15">
        <f>O268/1.19</f>
        <v/>
      </c>
      <c r="Q268" s="15">
        <f>O268-P268</f>
        <v/>
      </c>
      <c r="R268" s="15">
        <f>O268*0.15</f>
        <v/>
      </c>
      <c r="S268" s="15" t="n">
        <v>7.08</v>
      </c>
      <c r="T268" s="15">
        <f>S268*0.2</f>
        <v/>
      </c>
      <c r="U268" s="15" t="n">
        <v>0.400000000000002</v>
      </c>
      <c r="V268" s="15" t="n">
        <v>1.97</v>
      </c>
      <c r="W268" s="15">
        <f>V268*0.2</f>
        <v/>
      </c>
      <c r="X268" s="16">
        <f>O268-Q268-R268-S268-U268-V268+T268+W268</f>
        <v/>
      </c>
      <c r="Y268" s="14" t="n"/>
      <c r="Z268" s="15">
        <f>O268+1.5</f>
        <v/>
      </c>
      <c r="AA268" s="15" t="n">
        <v>6.39</v>
      </c>
      <c r="AB268" s="15" t="n">
        <v>11.16</v>
      </c>
      <c r="AC268" s="14" t="n"/>
      <c r="AD268" s="14" t="n"/>
      <c r="AE268" s="13" t="inlineStr">
        <is>
          <t>NOT_UPLOADED</t>
        </is>
      </c>
    </row>
    <row r="269" ht="16" customHeight="1">
      <c r="A269" s="17" t="n">
        <v>9344329210520</v>
      </c>
      <c r="B269" s="17" t="n">
        <v>3600531396855</v>
      </c>
      <c r="C269" s="13" t="n"/>
      <c r="D269" s="18" t="n"/>
      <c r="E269" s="18" t="inlineStr">
        <is>
          <t>FOR-93443292105207</t>
        </is>
      </c>
      <c r="F269" s="17" t="inlineStr">
        <is>
          <t>M5004</t>
        </is>
      </c>
      <c r="G269" s="18" t="inlineStr">
        <is>
          <t>Fortuna</t>
        </is>
      </c>
      <c r="H269" s="18" t="inlineStr">
        <is>
          <t>Maybelline</t>
        </is>
      </c>
      <c r="I269" s="18" t="inlineStr">
        <is>
          <t>Maybelline New York-Instant Anti Age Eraser Concealer-06 Neutralizer-6,8 ml</t>
        </is>
      </c>
      <c r="J269" s="18" t="inlineStr">
        <is>
          <t>No</t>
        </is>
      </c>
      <c r="K269" s="18" t="inlineStr">
        <is>
          <t>https://www.amazon.de/Maybelline-York-Instant-Eraser-Concealer-06-Neutralizer-6/dp/B08BX6FPQ4/ref=sr_1_1?__mk_de_DE=%C3%85M%C3%85%C5%BD%C3%95%C3%91&amp;crid=17KIPJ1WSKPFP&amp;dib=eyJ2IjoiMSJ9.8waqfDI5k86ag5Ks9HiTwg.-DPFr-uQHZirVDTSTx4vhitwhQnJ5YcezwatKjf_ysw&amp;dib_tag=se&amp;keywords=B08BX6FPQ4&amp;qid=1760642669&amp;sprefix=b08bx6fpq4%2Caps%2C110&amp;sr=8-1&amp;th=1</t>
        </is>
      </c>
      <c r="L269" s="18" t="inlineStr">
        <is>
          <t>B08BX6FPQ4</t>
        </is>
      </c>
      <c r="M269" s="19" t="n"/>
      <c r="N269" s="19" t="n"/>
      <c r="O269" s="19" t="n">
        <v>12.9</v>
      </c>
      <c r="P269" s="19">
        <f>O269/1.19</f>
        <v/>
      </c>
      <c r="Q269" s="19">
        <f>O269-P269</f>
        <v/>
      </c>
      <c r="R269" s="19">
        <f>O269*0.15</f>
        <v/>
      </c>
      <c r="S269" s="19" t="n">
        <v>7.08</v>
      </c>
      <c r="T269" s="19">
        <f>S269*0.2</f>
        <v/>
      </c>
      <c r="U269" s="19" t="n">
        <v>0.400000000000002</v>
      </c>
      <c r="V269" s="19" t="n">
        <v>1.97</v>
      </c>
      <c r="W269" s="19">
        <f>V269*0.2</f>
        <v/>
      </c>
      <c r="X269" s="16">
        <f>O269-Q269-R269-S269-U269-V269+T269+W269</f>
        <v/>
      </c>
      <c r="Y269" s="18" t="n"/>
      <c r="Z269" s="19">
        <f>O269+1.5</f>
        <v/>
      </c>
      <c r="AA269" s="19" t="n"/>
      <c r="AB269" s="19" t="n"/>
      <c r="AC269" s="18" t="n"/>
      <c r="AD269" s="18" t="n"/>
      <c r="AE269" s="13" t="inlineStr">
        <is>
          <t>NOT_UPLOADED</t>
        </is>
      </c>
    </row>
    <row r="270" ht="16" customHeight="1">
      <c r="A270" s="12" t="n">
        <v>3600531396794</v>
      </c>
      <c r="B270" s="12" t="n">
        <v>3600531396855</v>
      </c>
      <c r="C270" s="13" t="n"/>
      <c r="D270" s="14" t="n"/>
      <c r="E270" s="14" t="inlineStr">
        <is>
          <t>FOR- 3600531396794</t>
        </is>
      </c>
      <c r="F270" s="12" t="inlineStr">
        <is>
          <t>M5004</t>
        </is>
      </c>
      <c r="G270" s="14" t="inlineStr">
        <is>
          <t>Fortuna</t>
        </is>
      </c>
      <c r="H270" s="14" t="inlineStr">
        <is>
          <t>Maybelline</t>
        </is>
      </c>
      <c r="I270" s="14" t="inlineStr">
        <is>
          <t>Maybelline New York Abdeckstift, Instant Anti-Age Effekt Concealer, Löscher mit Mikro-Lösch-Applikator, Nr. 06 Neutralizer, 6,8 ml</t>
        </is>
      </c>
      <c r="J270" s="14" t="inlineStr">
        <is>
          <t>No</t>
        </is>
      </c>
      <c r="K270" s="14" t="inlineStr">
        <is>
          <t>https://www.amazon.de/Maybelline-New-York-Abdeckstift-Mikro-L%C3%B6sch-Applikator/dp/B0743T3WGY/ref=sr_1_1?__mk_de_DE=%C3%85M%C3%85%C5%BD%C3%95%C3%91&amp;crid=WZ1X0WVNO3L2&amp;dib=eyJ2IjoiMSJ9.QT3rgc1sKc5g_8dqUehTjw.vQzzF05TURr5a2BKRMvjdgQ14hCCrXeY4fQJsfWXcEU&amp;dib_tag=se&amp;keywords=B00CDO12Z8&amp;qid=1752837903&amp;rdc=1&amp;sprefix=b00cdo12z8%2Caps%2C169&amp;sr=8-1&amp;th=1</t>
        </is>
      </c>
      <c r="L270" s="14" t="inlineStr">
        <is>
          <t>B0743T3WGY</t>
        </is>
      </c>
      <c r="M270" s="15" t="n"/>
      <c r="N270" s="15" t="n"/>
      <c r="O270" s="15" t="n">
        <v>14.97</v>
      </c>
      <c r="P270" s="15">
        <f>O270/1.19</f>
        <v/>
      </c>
      <c r="Q270" s="15">
        <f>O270-P270</f>
        <v/>
      </c>
      <c r="R270" s="15">
        <f>O270*0.15</f>
        <v/>
      </c>
      <c r="S270" s="15" t="n">
        <v>7.08</v>
      </c>
      <c r="T270" s="15">
        <f>S270*0.2</f>
        <v/>
      </c>
      <c r="U270" s="15" t="n">
        <v>0.400000000000002</v>
      </c>
      <c r="V270" s="15" t="n">
        <v>1.97</v>
      </c>
      <c r="W270" s="15">
        <f>V270*0.2</f>
        <v/>
      </c>
      <c r="X270" s="21">
        <f>O270-Q270-R270-S270-U270-V270+T270+W270</f>
        <v/>
      </c>
      <c r="Y270" s="14" t="n"/>
      <c r="Z270" s="15">
        <f>O270+1.5</f>
        <v/>
      </c>
      <c r="AA270" s="15" t="n">
        <v>6.39</v>
      </c>
      <c r="AB270" s="15" t="n">
        <v>11.976</v>
      </c>
      <c r="AC270" s="14" t="n"/>
      <c r="AD270" s="14" t="n"/>
      <c r="AE270" s="13" t="inlineStr">
        <is>
          <t>NOT_UPLOADED</t>
        </is>
      </c>
    </row>
    <row r="271" ht="16" customHeight="1">
      <c r="A271" s="17" t="n">
        <v>3600531465193</v>
      </c>
      <c r="B271" s="17" t="n">
        <v>3600531465193</v>
      </c>
      <c r="C271" s="13" t="n"/>
      <c r="D271" s="18" t="n"/>
      <c r="E271" s="18" t="inlineStr">
        <is>
          <t>FOR-3600531465193</t>
        </is>
      </c>
      <c r="F271" s="17" t="inlineStr">
        <is>
          <t>M5005</t>
        </is>
      </c>
      <c r="G271" s="18" t="inlineStr">
        <is>
          <t>Fortuna</t>
        </is>
      </c>
      <c r="H271" s="18" t="inlineStr">
        <is>
          <t>Maybelline</t>
        </is>
      </c>
      <c r="I271" s="18" t="inlineStr">
        <is>
          <t>Maybelline Instant Anti Age Eraser Eye Concealer, Concealer für dunkle Ringe und Hautunreinheiten, Ultra Blendable Formula, 08 Buff, Verpackung kann variieren</t>
        </is>
      </c>
      <c r="J271" s="18" t="inlineStr">
        <is>
          <t>No</t>
        </is>
      </c>
      <c r="K271" s="18" t="inlineStr">
        <is>
          <t>https://www.amazon.de/Maybelline-Concealer-Hautunreinheiten-Blendable-Verpackung/dp/B07CS41GPS/ref=sr_1_1?__mk_de_DE=%C3%85M%C3%85%C5%BD%C3%95%C3%91&amp;crid=1644N7T1IDDPL&amp;dib=eyJ2IjoiMSJ9.7Lz-qUFXqRr_MEVUA-zClA.FyaJh3YisggQcl7vlhmfmXqy0C-DHDEzizYroEjxcl8&amp;dib_tag=se&amp;keywords=3600531465193&amp;qid=1749931102&amp;sprefix=3600531465193%2Caps%2C69&amp;sr=8-1&amp;th=1</t>
        </is>
      </c>
      <c r="L271" s="18" t="inlineStr">
        <is>
          <t>B07CS41GPS</t>
        </is>
      </c>
      <c r="M271" s="19" t="n">
        <v>15.85</v>
      </c>
      <c r="N271" s="19" t="n"/>
      <c r="O271" s="19" t="n">
        <v>14.97</v>
      </c>
      <c r="P271" s="19">
        <f>O271/1.19</f>
        <v/>
      </c>
      <c r="Q271" s="19">
        <f>O271-P271</f>
        <v/>
      </c>
      <c r="R271" s="19">
        <f>O271*0.15</f>
        <v/>
      </c>
      <c r="S271" s="19" t="n">
        <v>7.08</v>
      </c>
      <c r="T271" s="19">
        <f>S271*0.2</f>
        <v/>
      </c>
      <c r="U271" s="19" t="n">
        <v>0.400000000000002</v>
      </c>
      <c r="V271" s="19" t="n">
        <v>1.97</v>
      </c>
      <c r="W271" s="19">
        <f>V271*0.2</f>
        <v/>
      </c>
      <c r="X271" s="21">
        <f>O271-Q271-R271-S271-U271-V271+T271+W271</f>
        <v/>
      </c>
      <c r="Y271" s="18" t="n"/>
      <c r="Z271" s="19">
        <f>O271+1.5</f>
        <v/>
      </c>
      <c r="AA271" s="19" t="n">
        <v>6.39</v>
      </c>
      <c r="AB271" s="19" t="n">
        <v>11.976</v>
      </c>
      <c r="AC271" s="18" t="n"/>
      <c r="AD271" s="18" t="n"/>
      <c r="AE271" s="13" t="inlineStr">
        <is>
          <t>NOT_UPLOADED</t>
        </is>
      </c>
    </row>
    <row r="272" ht="16" customHeight="1">
      <c r="A272" s="12" t="n">
        <v>3600531507794</v>
      </c>
      <c r="B272" s="12" t="n">
        <v>3600531465193</v>
      </c>
      <c r="C272" s="13" t="n"/>
      <c r="D272" s="14" t="n"/>
      <c r="E272" s="14" t="inlineStr">
        <is>
          <t>FOR- 3600531507794</t>
        </is>
      </c>
      <c r="F272" s="12" t="inlineStr">
        <is>
          <t>M5005</t>
        </is>
      </c>
      <c r="G272" s="14" t="inlineStr">
        <is>
          <t>Fortuna</t>
        </is>
      </c>
      <c r="H272" s="14" t="inlineStr">
        <is>
          <t>Maybelline</t>
        </is>
      </c>
      <c r="I272" s="14" t="inlineStr">
        <is>
          <t>Maybelline New York Abdeckstift, Instant Anti-Age Effekt Concealer, Löscher mit Mikro-Lösch-Applikator, Nr. 08 Buff, 6,8 ml</t>
        </is>
      </c>
      <c r="J272" s="14" t="inlineStr">
        <is>
          <t>No</t>
        </is>
      </c>
      <c r="K272" s="14" t="inlineStr">
        <is>
          <t>https://www.amazon.de/Maybelline-New-York-Abdeckstift-Mikro-L%C3%B6sch-Applikator/dp/B07CQ1DXNM/ref=sr_1_1?__mk_de_DE=%C3%85M%C3%85%C5%BD%C3%95%C3%91&amp;crid=WZ1X0WVNO3L2&amp;dib=eyJ2IjoiMSJ9.QT3rgc1sKc5g_8dqUehTjw.vQzzF05TURr5a2BKRMvjdgQ14hCCrXeY4fQJsfWXcEU&amp;dib_tag=se&amp;keywords=B00CDO12Z8&amp;qid=1752837903&amp;rdc=1&amp;sprefix=b00cdo12z8%2Caps%2C169&amp;sr=8-1&amp;th=1</t>
        </is>
      </c>
      <c r="L272" s="14" t="inlineStr">
        <is>
          <t>B07CQ1DXNM</t>
        </is>
      </c>
      <c r="M272" s="15" t="n"/>
      <c r="N272" s="15" t="n"/>
      <c r="O272" s="15" t="n">
        <v>14.97</v>
      </c>
      <c r="P272" s="15">
        <f>O272/1.19</f>
        <v/>
      </c>
      <c r="Q272" s="15">
        <f>O272-P272</f>
        <v/>
      </c>
      <c r="R272" s="15">
        <f>O272*0.15</f>
        <v/>
      </c>
      <c r="S272" s="15" t="n">
        <v>7.08</v>
      </c>
      <c r="T272" s="15">
        <f>S272*0.2</f>
        <v/>
      </c>
      <c r="U272" s="15" t="n">
        <v>0.400000000000002</v>
      </c>
      <c r="V272" s="15" t="n">
        <v>1.97</v>
      </c>
      <c r="W272" s="15">
        <f>V272*0.2</f>
        <v/>
      </c>
      <c r="X272" s="21">
        <f>O272-Q272-R272-S272-U272-V272+T272+W272</f>
        <v/>
      </c>
      <c r="Y272" s="14" t="n"/>
      <c r="Z272" s="15">
        <f>O272+1.5</f>
        <v/>
      </c>
      <c r="AA272" s="15" t="n">
        <v>6.39</v>
      </c>
      <c r="AB272" s="15" t="n">
        <v>11.976</v>
      </c>
      <c r="AC272" s="14" t="n"/>
      <c r="AD272" s="14" t="n"/>
      <c r="AE272" s="13" t="inlineStr">
        <is>
          <t>NOT_UPLOADED</t>
        </is>
      </c>
    </row>
    <row r="273" ht="16" customHeight="1">
      <c r="A273" s="17" t="n">
        <v>4056048069093</v>
      </c>
      <c r="B273" s="17" t="n">
        <v>3600530733866</v>
      </c>
      <c r="C273" s="13" t="n"/>
      <c r="D273" s="18" t="n"/>
      <c r="E273" s="18" t="inlineStr">
        <is>
          <t>FOR-4056048069093</t>
        </is>
      </c>
      <c r="F273" s="17" t="inlineStr">
        <is>
          <t>M5006</t>
        </is>
      </c>
      <c r="G273" s="18" t="inlineStr">
        <is>
          <t>Fortuna</t>
        </is>
      </c>
      <c r="H273" s="18" t="inlineStr">
        <is>
          <t>Maybelline</t>
        </is>
      </c>
      <c r="I273" s="18" t="inlineStr">
        <is>
          <t>Maybelline New YorkTropfen Abdeckstift für Männer, Hautpflege mit Farbe, 5 verschiedene Farbtöne, zum Kaschieren von Augenringen und Pickeln, waches und gepflegtes Erscheinungsbild, Nr. 03 Fair, 6,8ml</t>
        </is>
      </c>
      <c r="J273" s="18" t="inlineStr">
        <is>
          <t>No</t>
        </is>
      </c>
      <c r="K273" s="18" t="inlineStr">
        <is>
          <t>https://www.amazon.de/Maybelline-New-York-Abdeckstift-Mikro-L%C3%B6sch-Applikator/dp/B0B6G4DXYQ/ref=sr_1_1?__mk_de_DE=%C3%85M%C3%85%C5%BD%C3%95%C3%91&amp;crid=WZ1X0WVNO3L2&amp;dib=eyJ2IjoiMSJ9.QT3rgc1sKc5g_8dqUehTjw.vQzzF05TURr5a2BKRMvjdgQ14hCCrXeY4fQJsfWXcEU&amp;dib_tag=se&amp;keywords=B00CDO12Z8&amp;qid=1752837903&amp;rdc=1&amp;sprefix=b00cdo12z8%2Caps%2C169&amp;sr=8-1&amp;th=1</t>
        </is>
      </c>
      <c r="L273" s="18" t="inlineStr">
        <is>
          <t>B0B6G4DXYQ</t>
        </is>
      </c>
      <c r="M273" s="19" t="n"/>
      <c r="N273" s="19" t="n"/>
      <c r="O273" s="19" t="n">
        <v>15.2</v>
      </c>
      <c r="P273" s="19">
        <f>O273/1.19</f>
        <v/>
      </c>
      <c r="Q273" s="19">
        <f>O273-P273</f>
        <v/>
      </c>
      <c r="R273" s="19">
        <f>O273*0.15</f>
        <v/>
      </c>
      <c r="S273" s="19" t="n">
        <v>7.08</v>
      </c>
      <c r="T273" s="19">
        <f>S273*0.2</f>
        <v/>
      </c>
      <c r="U273" s="19" t="n">
        <v>0.400000000000002</v>
      </c>
      <c r="V273" s="19" t="n">
        <v>1.97</v>
      </c>
      <c r="W273" s="19">
        <f>V273*0.2</f>
        <v/>
      </c>
      <c r="X273" s="21">
        <f>O273-Q273-R273-S273-U273-V273+T273+W273</f>
        <v/>
      </c>
      <c r="Y273" s="18" t="n"/>
      <c r="Z273" s="19">
        <f>O273+1.5</f>
        <v/>
      </c>
      <c r="AA273" s="19" t="n">
        <v>6.39</v>
      </c>
      <c r="AB273" s="19" t="n">
        <v>12.16</v>
      </c>
      <c r="AC273" s="18" t="n"/>
      <c r="AD273" s="18" t="n"/>
      <c r="AE273" s="13" t="inlineStr">
        <is>
          <t>NOT_UPLOADED</t>
        </is>
      </c>
    </row>
    <row r="274" ht="16" customHeight="1">
      <c r="A274" s="12" t="n">
        <v>3600530733460</v>
      </c>
      <c r="B274" s="12" t="n">
        <v>3600530733866</v>
      </c>
      <c r="C274" s="13" t="n"/>
      <c r="D274" s="14" t="n"/>
      <c r="E274" s="14" t="inlineStr">
        <is>
          <t>FOR-3600530733460</t>
        </is>
      </c>
      <c r="F274" s="12" t="inlineStr">
        <is>
          <t>M5006</t>
        </is>
      </c>
      <c r="G274" s="14" t="inlineStr">
        <is>
          <t>Fortuna</t>
        </is>
      </c>
      <c r="H274" s="14" t="inlineStr">
        <is>
          <t>Maybelline</t>
        </is>
      </c>
      <c r="I274" s="14" t="inlineStr">
        <is>
          <t>Maybelline New York Abdeckstift, Instant Anti-Age Effekt Concealer, Löscher mit Mikro-Lösch-Applikator, Nr. 03 Fair, 6,8 ml</t>
        </is>
      </c>
      <c r="J274" s="14" t="inlineStr">
        <is>
          <t>No</t>
        </is>
      </c>
      <c r="K274" s="14" t="inlineStr">
        <is>
          <t>https://www.amazon.de/Maybelline-New-York-Abdeckstift-Mikro-L%C3%B6sch-Applikator/dp/B00CDO175I/ref=sr_1_1?__mk_de_DE=%C3%85M%C3%85%C5%BD%C3%95%C3%91&amp;crid=WZ1X0WVNO3L2&amp;dib=eyJ2IjoiMSJ9.QT3rgc1sKc5g_8dqUehTjw.vQzzF05TURr5a2BKRMvjdgQ14hCCrXeY4fQJsfWXcEU&amp;dib_tag=se&amp;keywords=B00CDO12Z8&amp;qid=1752837903&amp;rdc=1&amp;sprefix=b00cdo12z8%2Caps%2C169&amp;sr=8-1&amp;th=1</t>
        </is>
      </c>
      <c r="L274" s="14" t="inlineStr">
        <is>
          <t>B00CDO175I</t>
        </is>
      </c>
      <c r="M274" s="15" t="n"/>
      <c r="N274" s="15" t="n"/>
      <c r="O274" s="15" t="n">
        <v>14.97</v>
      </c>
      <c r="P274" s="15">
        <f>O274/1.19</f>
        <v/>
      </c>
      <c r="Q274" s="15">
        <f>O274-P274</f>
        <v/>
      </c>
      <c r="R274" s="15">
        <f>O274*0.15</f>
        <v/>
      </c>
      <c r="S274" s="15" t="n">
        <v>7.08</v>
      </c>
      <c r="T274" s="15">
        <f>S274*0.2</f>
        <v/>
      </c>
      <c r="U274" s="15" t="n">
        <v>0.400000000000002</v>
      </c>
      <c r="V274" s="15" t="n">
        <v>1.97</v>
      </c>
      <c r="W274" s="15">
        <f>V274*0.2</f>
        <v/>
      </c>
      <c r="X274" s="21">
        <f>O274-Q274-R274-S274-U274-V274+T274+W274</f>
        <v/>
      </c>
      <c r="Y274" s="14" t="n"/>
      <c r="Z274" s="15">
        <f>O274+1.5</f>
        <v/>
      </c>
      <c r="AA274" s="15" t="n">
        <v>6.39</v>
      </c>
      <c r="AB274" s="15" t="n">
        <v>11.976</v>
      </c>
      <c r="AC274" s="14" t="n"/>
      <c r="AD274" s="14" t="n"/>
      <c r="AE274" s="13" t="inlineStr">
        <is>
          <t>NOT_UPLOADED</t>
        </is>
      </c>
    </row>
    <row r="275" ht="16" customHeight="1">
      <c r="A275" s="17" t="n">
        <v>3600530733866</v>
      </c>
      <c r="B275" s="17" t="n">
        <v>3600530733866</v>
      </c>
      <c r="C275" s="13" t="n"/>
      <c r="D275" s="18" t="n"/>
      <c r="E275" s="18" t="inlineStr">
        <is>
          <t>FOR-3600530733866</t>
        </is>
      </c>
      <c r="F275" s="17" t="inlineStr">
        <is>
          <t>M5006</t>
        </is>
      </c>
      <c r="G275" s="18" t="inlineStr">
        <is>
          <t>Fortuna</t>
        </is>
      </c>
      <c r="H275" s="18" t="inlineStr">
        <is>
          <t>Maybelline</t>
        </is>
      </c>
      <c r="I275" s="18" t="inlineStr">
        <is>
          <t>MAYBELLINE Eye Concealer, 03 Fair, 6.8 milliliter</t>
        </is>
      </c>
      <c r="J275" s="18" t="inlineStr">
        <is>
          <t>No</t>
        </is>
      </c>
      <c r="K275" s="18" t="inlineStr">
        <is>
          <t>https://www.amazon.de/MAYBELLINE-Eye-Concealer-Fair-milliliter/dp/B01JQ1T1E4/ref=sr_1_1?__mk_de_DE=%C3%85M%C3%85%C5%BD%C3%95%C3%91&amp;crid=11ECLQ9P9SRTH&amp;dib=eyJ2IjoiMSJ9.ELENJlbJiiI33_OqeHM38-9UPJ4oJZjdGiA_NR6xU_I.zQI6-_wOJx3emgXDj_5YU4xobNnjyXpVstckPmi2HcM&amp;dib_tag=se&amp;keywords=3600530733866&amp;qid=1749931191&amp;sprefix=3600530733866%2Caps%2C135&amp;sr=8-1&amp;th=1</t>
        </is>
      </c>
      <c r="L275" s="18" t="inlineStr">
        <is>
          <t>B01JQ1T1E4</t>
        </is>
      </c>
      <c r="M275" s="19" t="n">
        <v>15.85</v>
      </c>
      <c r="N275" s="19" t="n"/>
      <c r="O275" s="19" t="n">
        <v>12.75</v>
      </c>
      <c r="P275" s="19">
        <f>O275/1.19</f>
        <v/>
      </c>
      <c r="Q275" s="19">
        <f>O275-P275</f>
        <v/>
      </c>
      <c r="R275" s="19">
        <f>O275*0.15</f>
        <v/>
      </c>
      <c r="S275" s="19" t="n">
        <v>6.4</v>
      </c>
      <c r="T275" s="19">
        <f>S275*0.2</f>
        <v/>
      </c>
      <c r="U275" s="19" t="n">
        <v>0.400000000000002</v>
      </c>
      <c r="V275" s="19" t="n">
        <v>1.97</v>
      </c>
      <c r="W275" s="19">
        <f>V275*0.2</f>
        <v/>
      </c>
      <c r="X275" s="16">
        <f>O275-Q275-R275-S275-U275-V275+T275+W275</f>
        <v/>
      </c>
      <c r="Y275" s="18" t="n"/>
      <c r="Z275" s="19">
        <f>O275+1.5</f>
        <v/>
      </c>
      <c r="AA275" s="19" t="n">
        <v>6.39</v>
      </c>
      <c r="AB275" s="19" t="n">
        <v>10.2</v>
      </c>
      <c r="AC275" s="18" t="n"/>
      <c r="AD275" s="18" t="n"/>
      <c r="AE275" s="13" t="inlineStr">
        <is>
          <t>NOT_UPLOADED</t>
        </is>
      </c>
    </row>
    <row r="276" ht="16" customHeight="1">
      <c r="A276" s="12" t="n">
        <v>4056048068904</v>
      </c>
      <c r="B276" s="12" t="n">
        <v>3600530733866</v>
      </c>
      <c r="C276" s="13" t="n"/>
      <c r="D276" s="14" t="n"/>
      <c r="E276" s="14" t="inlineStr">
        <is>
          <t>FOR-4056048068904</t>
        </is>
      </c>
      <c r="F276" s="12" t="inlineStr">
        <is>
          <t>M5007</t>
        </is>
      </c>
      <c r="G276" s="14" t="inlineStr">
        <is>
          <t>Fortuna</t>
        </is>
      </c>
      <c r="H276" s="14" t="inlineStr">
        <is>
          <t>Maybelline</t>
        </is>
      </c>
      <c r="I276" s="14" t="inlineStr">
        <is>
          <t>Maybelline New York Abdeckstift für Männer, Hautpflege mit Farbe, 5 verschiedene Farbtöne, zum Kaschieren von Augenringen und Pickeln, waches und gepflegtes Erscheinungsbild, Nr. 04 Honey, 6,8ml</t>
        </is>
      </c>
      <c r="J276" s="14" t="inlineStr">
        <is>
          <t>No</t>
        </is>
      </c>
      <c r="K276" s="14" t="inlineStr">
        <is>
          <t>https://www.amazon.de/Maybelline-New-York-Abdeckstift-Mikro-L%C3%B6sch-Applikator/dp/B0B6G5C24W/ref=sr_1_1?__mk_de_DE=%C3%85M%C3%85%C5%BD%C3%95%C3%91&amp;crid=WZ1X0WVNO3L2&amp;dib=eyJ2IjoiMSJ9.QT3rgc1sKc5g_8dqUehTjw.vQzzF05TURr5a2BKRMvjdgQ14hCCrXeY4fQJsfWXcEU&amp;dib_tag=se&amp;keywords=B00CDO12Z8&amp;qid=1752837903&amp;rdc=1&amp;sprefix=b00cdo12z8%2Caps%2C169&amp;sr=8-1&amp;th=1</t>
        </is>
      </c>
      <c r="L276" s="14" t="inlineStr">
        <is>
          <t>B0B6G5C24W</t>
        </is>
      </c>
      <c r="M276" s="15" t="n"/>
      <c r="N276" s="15" t="n"/>
      <c r="O276" s="15" t="n">
        <v>13.75</v>
      </c>
      <c r="P276" s="15">
        <f>O276/1.19</f>
        <v/>
      </c>
      <c r="Q276" s="15">
        <f>O276-P276</f>
        <v/>
      </c>
      <c r="R276" s="15">
        <f>O276*0.15</f>
        <v/>
      </c>
      <c r="S276" s="15" t="n">
        <v>6.4</v>
      </c>
      <c r="T276" s="15">
        <f>S276*0.2</f>
        <v/>
      </c>
      <c r="U276" s="15" t="n">
        <v>0.400000000000002</v>
      </c>
      <c r="V276" s="15" t="n">
        <v>1.97</v>
      </c>
      <c r="W276" s="15">
        <f>V276*0.2</f>
        <v/>
      </c>
      <c r="X276" s="21">
        <f>O276-Q276-R276-S276-U276-V276+T276+W276</f>
        <v/>
      </c>
      <c r="Y276" s="14" t="n"/>
      <c r="Z276" s="15">
        <f>O276+1.5</f>
        <v/>
      </c>
      <c r="AA276" s="15" t="n">
        <v>6.39</v>
      </c>
      <c r="AB276" s="15" t="n">
        <v>11</v>
      </c>
      <c r="AC276" s="14" t="n"/>
      <c r="AD276" s="14" t="n"/>
      <c r="AE276" s="13" t="inlineStr">
        <is>
          <t>NOT_UPLOADED</t>
        </is>
      </c>
    </row>
    <row r="277" ht="16" customHeight="1">
      <c r="A277" s="17" t="n">
        <v>3600531396787</v>
      </c>
      <c r="B277" s="17" t="n">
        <v>3600530733866</v>
      </c>
      <c r="C277" s="13" t="n"/>
      <c r="D277" s="18" t="n"/>
      <c r="E277" s="18" t="inlineStr">
        <is>
          <t>FOR-3600531396787</t>
        </is>
      </c>
      <c r="F277" s="17" t="inlineStr">
        <is>
          <t>M5007</t>
        </is>
      </c>
      <c r="G277" s="18" t="inlineStr">
        <is>
          <t>Fortuna</t>
        </is>
      </c>
      <c r="H277" s="18" t="inlineStr">
        <is>
          <t>Maybelline</t>
        </is>
      </c>
      <c r="I277" s="18" t="inlineStr">
        <is>
          <t>Maybelline New York Abdeckstift, Instant Anti-Age Effekt Concealer, Löscher Mit Mikro-Lösch-Applikator, Nr. 04 Honey, 6,8 Ml</t>
        </is>
      </c>
      <c r="J277" s="18" t="inlineStr">
        <is>
          <t>No</t>
        </is>
      </c>
      <c r="K277" s="18" t="inlineStr">
        <is>
          <t>https://www.amazon.de/Maybelline-New-York-Abdeckstift-Mikro-L%C3%B6sch-Applikator/dp/B0743T5B4P/ref=sr_1_1?__mk_de_DE=%C3%85M%C3%85%C5%BD%C3%95%C3%91&amp;crid=WZ1X0WVNO3L2&amp;dib=eyJ2IjoiMSJ9.QT3rgc1sKc5g_8dqUehTjw.vQzzF05TURr5a2BKRMvjdgQ14hCCrXeY4fQJsfWXcEU&amp;dib_tag=se&amp;keywords=B00CDO12Z8&amp;qid=1752837903&amp;rdc=1&amp;sprefix=b00cdo12z8%2Caps%2C169&amp;sr=8-1&amp;th=1</t>
        </is>
      </c>
      <c r="L277" s="18" t="inlineStr">
        <is>
          <t>B0743T5B4P</t>
        </is>
      </c>
      <c r="M277" s="19" t="n"/>
      <c r="N277" s="19" t="n"/>
      <c r="O277" s="19" t="n">
        <v>14.45</v>
      </c>
      <c r="P277" s="19">
        <f>O277/1.19</f>
        <v/>
      </c>
      <c r="Q277" s="19">
        <f>O277-P277</f>
        <v/>
      </c>
      <c r="R277" s="19">
        <f>O277*0.15</f>
        <v/>
      </c>
      <c r="S277" s="19" t="n">
        <v>7.08</v>
      </c>
      <c r="T277" s="19">
        <f>S277*0.2</f>
        <v/>
      </c>
      <c r="U277" s="19" t="n">
        <v>0.400000000000002</v>
      </c>
      <c r="V277" s="19" t="n">
        <v>1.97</v>
      </c>
      <c r="W277" s="19">
        <f>V277*0.2</f>
        <v/>
      </c>
      <c r="X277" s="21">
        <f>O277-Q277-R277-S277-U277-V277+T277+W277</f>
        <v/>
      </c>
      <c r="Y277" s="18" t="n"/>
      <c r="Z277" s="19">
        <f>O277+1.5</f>
        <v/>
      </c>
      <c r="AA277" s="19" t="n">
        <v>6.39</v>
      </c>
      <c r="AB277" s="19" t="n">
        <v>11.56</v>
      </c>
      <c r="AC277" s="18" t="n"/>
      <c r="AD277" s="18" t="n"/>
      <c r="AE277" s="13" t="inlineStr">
        <is>
          <t>NOT_UPLOADED</t>
        </is>
      </c>
    </row>
    <row r="278" ht="16" customHeight="1">
      <c r="A278" s="12" t="n">
        <v>3600531396848</v>
      </c>
      <c r="B278" s="12" t="n">
        <v>3600531396848</v>
      </c>
      <c r="C278" s="13" t="n"/>
      <c r="D278" s="14" t="n"/>
      <c r="E278" s="14" t="inlineStr">
        <is>
          <t>FOR-3600531396848</t>
        </is>
      </c>
      <c r="F278" s="12" t="inlineStr">
        <is>
          <t>M5007</t>
        </is>
      </c>
      <c r="G278" s="14" t="inlineStr">
        <is>
          <t>Fortuna</t>
        </is>
      </c>
      <c r="H278" s="14" t="inlineStr">
        <is>
          <t>Maybelline</t>
        </is>
      </c>
      <c r="I278" s="14" t="inlineStr">
        <is>
          <t>Maybelline New York - Concealer/Concealer Fluide – Instant Anti-Age L'Effaceur – Farbton: Honig (04) – 6,8 ml</t>
        </is>
      </c>
      <c r="J278" s="14" t="inlineStr">
        <is>
          <t>No</t>
        </is>
      </c>
      <c r="K278" s="14" t="inlineStr">
        <is>
          <t>https://www.amazon.de/Maybelline-New-York-Anti-Aging-Anti-Augenringe/dp/B07JCJNCSC/ref=sr_1_2?__mk_de_DE=%C3%85M%C3%85%C5%BD%C3%95%C3%91&amp;crid=3RRJCIG2B6PJ7&amp;dib=eyJ2IjoiMSJ9.pmtNHp5ykgjAWgm-LI6mTLegkkkNzq6Wr93xlXfcvPlBOsEu1HIHa77RFiFomKeJUCSmUouLCOY5Si7grQiumw.59EhVSOgaKG_eslXyF1DNBc7e4aG-PNRLo_64s4JiII&amp;dib_tag=se&amp;keywords=3600531396848&amp;qid=1749931305&amp;sprefix=3600531396848%2Caps%2C125&amp;sr=8-2&amp;th=1</t>
        </is>
      </c>
      <c r="L278" s="14" t="inlineStr">
        <is>
          <t>B07JCJNCSC</t>
        </is>
      </c>
      <c r="M278" s="15" t="n">
        <v>15.83</v>
      </c>
      <c r="N278" s="15" t="n"/>
      <c r="O278" s="15" t="n">
        <v>14.97</v>
      </c>
      <c r="P278" s="15">
        <f>O278/1.19</f>
        <v/>
      </c>
      <c r="Q278" s="15">
        <f>O278-P278</f>
        <v/>
      </c>
      <c r="R278" s="15">
        <f>O278*0.15</f>
        <v/>
      </c>
      <c r="S278" s="15" t="n">
        <v>7.08</v>
      </c>
      <c r="T278" s="15">
        <f>S278*0.2</f>
        <v/>
      </c>
      <c r="U278" s="15" t="n">
        <v>0.400000000000002</v>
      </c>
      <c r="V278" s="15" t="n">
        <v>1.97</v>
      </c>
      <c r="W278" s="15">
        <f>V278*0.2</f>
        <v/>
      </c>
      <c r="X278" s="21">
        <f>O278-Q278-R278-S278-U278-V278+T278+W278</f>
        <v/>
      </c>
      <c r="Y278" s="14" t="n"/>
      <c r="Z278" s="15">
        <f>O278+1.5</f>
        <v/>
      </c>
      <c r="AA278" s="15" t="n">
        <v>6.39</v>
      </c>
      <c r="AB278" s="15" t="n">
        <v>11.976</v>
      </c>
      <c r="AC278" s="14" t="n"/>
      <c r="AD278" s="14" t="n"/>
      <c r="AE278" s="13" t="inlineStr">
        <is>
          <t>NOT_UPLOADED</t>
        </is>
      </c>
    </row>
    <row r="279" ht="16" customHeight="1">
      <c r="A279" s="17" t="n">
        <v>3600531396848</v>
      </c>
      <c r="B279" s="17" t="n">
        <v>3600531396848</v>
      </c>
      <c r="C279" s="13" t="n"/>
      <c r="D279" s="18" t="n"/>
      <c r="E279" s="18" t="inlineStr">
        <is>
          <t>FOR-3600531396848</t>
        </is>
      </c>
      <c r="F279" s="17" t="inlineStr">
        <is>
          <t>M5007</t>
        </is>
      </c>
      <c r="G279" s="18" t="inlineStr">
        <is>
          <t>Fortuna</t>
        </is>
      </c>
      <c r="H279" s="18" t="inlineStr">
        <is>
          <t>Maybelline</t>
        </is>
      </c>
      <c r="I279" s="18" t="inlineStr">
        <is>
          <t>Maybelline New York - Concealer/Concealer Fluid - Instant Anti-Aging - 04 Honey - 6.8ml</t>
        </is>
      </c>
      <c r="J279" s="18" t="inlineStr">
        <is>
          <t>No</t>
        </is>
      </c>
      <c r="K279" s="18" t="inlineStr">
        <is>
          <t>https://www.amazon.de/-/en/Maybelline-New-York-Concealer-Anti-Aging/dp/B077661527/ref=sr_1_1?crid=22Y0JO19G6C1T&amp;dib=eyJ2IjoiMSJ9.4p0gslBGv1E9lsxq3R6kJw.BX2we8JUfrKKX9ztbWUtukfNc3ZItEaFl0KS8IKlKdQ&amp;dib_tag=se&amp;keywords=B077661527&amp;qid=1756290801&amp;sprefix=b077661527%2Caps%2C218&amp;sr=8-1</t>
        </is>
      </c>
      <c r="L279" s="18" t="inlineStr">
        <is>
          <t>B077661527</t>
        </is>
      </c>
      <c r="M279" s="19" t="n">
        <v>13.9</v>
      </c>
      <c r="N279" s="19" t="n"/>
      <c r="O279" s="19" t="n">
        <v>13.67</v>
      </c>
      <c r="P279" s="19">
        <f>O279/1.19</f>
        <v/>
      </c>
      <c r="Q279" s="19">
        <f>O279-P279</f>
        <v/>
      </c>
      <c r="R279" s="19">
        <f>O279*0.15</f>
        <v/>
      </c>
      <c r="S279" s="19" t="n">
        <v>6.39</v>
      </c>
      <c r="T279" s="19">
        <f>S279*0.2</f>
        <v/>
      </c>
      <c r="U279" s="19" t="n">
        <v>0.400000000000002</v>
      </c>
      <c r="V279" s="19" t="n">
        <v>1.97</v>
      </c>
      <c r="W279" s="19">
        <f>V279*0.2</f>
        <v/>
      </c>
      <c r="X279" s="21">
        <f>O279-Q279-R279-S279-U279-V279+T279+W279</f>
        <v/>
      </c>
      <c r="Y279" s="18" t="n"/>
      <c r="Z279" s="19">
        <f>O279+1.5</f>
        <v/>
      </c>
      <c r="AA279" s="19" t="n">
        <v>6.39</v>
      </c>
      <c r="AB279" s="19" t="n">
        <v>10.936</v>
      </c>
      <c r="AC279" s="18" t="n"/>
      <c r="AD279" s="18" t="n"/>
      <c r="AE279" s="13" t="inlineStr">
        <is>
          <t>NOT_UPLOADED</t>
        </is>
      </c>
    </row>
    <row r="280" ht="16" customHeight="1">
      <c r="A280" s="12" t="n">
        <v>3600530446902</v>
      </c>
      <c r="B280" s="12" t="n">
        <v>3600530446902</v>
      </c>
      <c r="C280" s="13" t="n"/>
      <c r="D280" s="14" t="n"/>
      <c r="E280" s="14" t="inlineStr">
        <is>
          <t>FOR-3600530446902</t>
        </is>
      </c>
      <c r="F280" s="12" t="inlineStr">
        <is>
          <t>M5073</t>
        </is>
      </c>
      <c r="G280" s="14" t="inlineStr">
        <is>
          <t>Fortuna</t>
        </is>
      </c>
      <c r="H280" s="14" t="inlineStr">
        <is>
          <t>Maybelline</t>
        </is>
      </c>
      <c r="I280" s="14" t="inlineStr">
        <is>
          <t>Maybelline New York, Moisture Extreme, 670 Natural Rosewood</t>
        </is>
      </c>
      <c r="J280" s="14" t="inlineStr">
        <is>
          <t>No</t>
        </is>
      </c>
      <c r="K280" s="14" t="inlineStr">
        <is>
          <t>https://www.amazon.de/Maybelline-Lippenstift-intensive-Feuchtigkeit-gepflegte/dp/B001ET6AL4/ref=sr_1_1?__mk_de_DE=%C3%85M%C3%85%C5%BD%C3%95%C3%91&amp;crid=262VCWC20F53B&amp;dib=eyJ2IjoiMSJ9.vlWdSrbFgK9nDrrG9e1KlmjBzr3FSMoqaSYppKRpfRQ.6-JyJgvMq02KIQ6QaxJoi9z2EVPAnpkwX36cd7zbaB8&amp;dib_tag=se&amp;keywords=3600530446902&amp;qid=1749931558&amp;sprefix=3600530446902%2Caps%2C80&amp;sr=8-1&amp;th=1</t>
        </is>
      </c>
      <c r="L280" s="14" t="inlineStr">
        <is>
          <t>B001ET6AL4</t>
        </is>
      </c>
      <c r="M280" s="15" t="n">
        <v>8.720000000000001</v>
      </c>
      <c r="N280" s="15" t="n"/>
      <c r="O280" s="15" t="n">
        <v>9</v>
      </c>
      <c r="P280" s="15">
        <f>O280/1.19</f>
        <v/>
      </c>
      <c r="Q280" s="15">
        <f>O280-P280</f>
        <v/>
      </c>
      <c r="R280" s="15">
        <f>O280*0.15</f>
        <v/>
      </c>
      <c r="S280" s="15" t="n">
        <v>3.06</v>
      </c>
      <c r="T280" s="15">
        <f>S280*0.2</f>
        <v/>
      </c>
      <c r="U280" s="15" t="n">
        <v>0.400000000000002</v>
      </c>
      <c r="V280" s="15" t="n">
        <v>1.97</v>
      </c>
      <c r="W280" s="15">
        <f>V280*0.2</f>
        <v/>
      </c>
      <c r="X280" s="16">
        <f>O280-Q280-R280-S280-U280-V280+T280+W280</f>
        <v/>
      </c>
      <c r="Y280" s="14" t="n"/>
      <c r="Z280" s="15">
        <f>O280+1.5</f>
        <v/>
      </c>
      <c r="AA280" s="15" t="n"/>
      <c r="AB280" s="15" t="n"/>
      <c r="AC280" s="14" t="n"/>
      <c r="AD280" s="14" t="n"/>
      <c r="AE280" s="13" t="inlineStr">
        <is>
          <t>NOT_UPLOADED</t>
        </is>
      </c>
    </row>
    <row r="281" ht="16" customHeight="1">
      <c r="A281" s="17" t="n">
        <v>3600531411091</v>
      </c>
      <c r="B281" s="17" t="n">
        <v>3600531411091</v>
      </c>
      <c r="C281" s="13" t="n"/>
      <c r="D281" s="18" t="n"/>
      <c r="E281" s="18" t="inlineStr">
        <is>
          <t>FOR-3600531411091</t>
        </is>
      </c>
      <c r="F281" s="17" t="inlineStr">
        <is>
          <t>M5045</t>
        </is>
      </c>
      <c r="G281" s="18" t="inlineStr">
        <is>
          <t>Fortuna</t>
        </is>
      </c>
      <c r="H281" s="18" t="inlineStr">
        <is>
          <t>Maybelline</t>
        </is>
      </c>
      <c r="I281" s="18" t="inlineStr">
        <is>
          <t>Maybelline New York Lippenstift, Super Stay Matte Ink, Flüssig, matt und langanhaltend, Nr. 5 Loyalist, 5ml</t>
        </is>
      </c>
      <c r="J281" s="18" t="inlineStr">
        <is>
          <t>No</t>
        </is>
      </c>
      <c r="K281" s="18" t="inlineStr">
        <is>
          <t>https://www.amazon.de/Maybelline-Lippenstift-farbintensiver-Matt-Finish-Trendfarben/dp/B073HGNMH2/ref=sr_1_1?__mk_de_DE=%C3%85M%C3%85%C5%BD%C3%95%C3%91&amp;crid=6R0BV458MXDE&amp;dib=eyJ2IjoiMSJ9.zyZt6UDT-bgMajZqyqbEN6WHODStPc6-QHe6e8bzCZHGjHj071QN20LucGBJIEps.7eLYrnN7-A0Qlv47qMYIzp7JjGfMIoMC55_c3Prluw0&amp;dib_tag=se&amp;keywords=3600531411091&amp;qid=1750014487&amp;s=beauty&amp;sprefix=3600531411091%2Cbeauty%2C127&amp;sr=1-1&amp;th=1</t>
        </is>
      </c>
      <c r="L281" s="18" t="inlineStr">
        <is>
          <t>B073HGNMH2</t>
        </is>
      </c>
      <c r="M281" s="19" t="n">
        <v>16.46</v>
      </c>
      <c r="N281" s="19" t="n"/>
      <c r="O281" s="19" t="n">
        <v>15.27</v>
      </c>
      <c r="P281" s="19">
        <f>O281/1.19</f>
        <v/>
      </c>
      <c r="Q281" s="19">
        <f>O281-P281</f>
        <v/>
      </c>
      <c r="R281" s="19">
        <f>O281*0.15</f>
        <v/>
      </c>
      <c r="S281" s="19" t="n">
        <v>7.5</v>
      </c>
      <c r="T281" s="19">
        <f>S281*0.2</f>
        <v/>
      </c>
      <c r="U281" s="19" t="n">
        <v>0.400000000000002</v>
      </c>
      <c r="V281" s="19" t="n">
        <v>2</v>
      </c>
      <c r="W281" s="19">
        <f>V281*0.2</f>
        <v/>
      </c>
      <c r="X281" s="21">
        <f>O281-Q281-R281-S281-U281-V281+T281+W281</f>
        <v/>
      </c>
      <c r="Y281" s="18" t="n"/>
      <c r="Z281" s="19">
        <f>O281+1.5</f>
        <v/>
      </c>
      <c r="AA281" s="19" t="n"/>
      <c r="AB281" s="19" t="n"/>
      <c r="AC281" s="18" t="n"/>
      <c r="AD281" s="18" t="n"/>
      <c r="AE281" s="13" t="inlineStr">
        <is>
          <t>NOT_UPLOADED</t>
        </is>
      </c>
    </row>
    <row r="282" ht="16" customHeight="1">
      <c r="A282" s="12" t="n">
        <v>3600531411091</v>
      </c>
      <c r="B282" s="12" t="n">
        <v>3600531411091</v>
      </c>
      <c r="C282" s="13" t="n"/>
      <c r="D282" s="14" t="n"/>
      <c r="E282" s="14" t="inlineStr">
        <is>
          <t>FOR-3600531411091</t>
        </is>
      </c>
      <c r="F282" s="12" t="inlineStr">
        <is>
          <t>M5045</t>
        </is>
      </c>
      <c r="G282" s="14" t="inlineStr">
        <is>
          <t>Fortuna</t>
        </is>
      </c>
      <c r="H282" s="14" t="inlineStr">
        <is>
          <t>Maybelline</t>
        </is>
      </c>
      <c r="I282" s="14" t="inlineStr">
        <is>
          <t>Lippenstift Superstay Matte Ink 5</t>
        </is>
      </c>
      <c r="J282" s="14" t="inlineStr">
        <is>
          <t>No</t>
        </is>
      </c>
      <c r="K282" s="14" t="inlineStr">
        <is>
          <t>https://www.amazon.de/Lippenstift-Superstay-Matte-Ink-5/dp/B07969SQ4T/ref=sr_1_1?__mk_de_DE=%C3%85M%C3%85%C5%BD%C3%95%C3%91&amp;crid=2G33GMI3M9U7C&amp;dib=eyJ2IjoiMSJ9.AsRNRIBXhv0R1A0wMSQPUA.LrYOYR3yF53Q2in3oFz3sGYqCRiJd4cIC4BTk_Q48Z8&amp;dib_tag=se&amp;keywords=B07969SQ4T&amp;qid=1760381541&amp;s=toys&amp;sprefix=b07969sq4t%2Ctoys%2C181&amp;sr=1-1</t>
        </is>
      </c>
      <c r="L282" s="14" t="inlineStr">
        <is>
          <t>B07969SQ4T</t>
        </is>
      </c>
      <c r="M282" s="15" t="n"/>
      <c r="N282" s="15" t="n"/>
      <c r="O282" s="15" t="n">
        <v>16.4</v>
      </c>
      <c r="P282" s="15">
        <f>O282/1.19</f>
        <v/>
      </c>
      <c r="Q282" s="15">
        <f>O282-P282</f>
        <v/>
      </c>
      <c r="R282" s="15">
        <f>O282*0.15</f>
        <v/>
      </c>
      <c r="S282" s="15" t="n">
        <v>7.5</v>
      </c>
      <c r="T282" s="15">
        <f>S282*0.2</f>
        <v/>
      </c>
      <c r="U282" s="15" t="n">
        <v>0.400000000000002</v>
      </c>
      <c r="V282" s="15" t="n">
        <v>2</v>
      </c>
      <c r="W282" s="15">
        <f>V282*0.2</f>
        <v/>
      </c>
      <c r="X282" s="21">
        <f>O282-Q282-R282-S282-U282-V282+T282+W282</f>
        <v/>
      </c>
      <c r="Y282" s="14" t="n"/>
      <c r="Z282" s="15">
        <f>O282+1.5</f>
        <v/>
      </c>
      <c r="AA282" s="15" t="n"/>
      <c r="AB282" s="15" t="n"/>
      <c r="AC282" s="14" t="n"/>
      <c r="AD282" s="14" t="n"/>
      <c r="AE282" s="13" t="inlineStr">
        <is>
          <t>NOT_UPLOADED</t>
        </is>
      </c>
    </row>
    <row r="283" ht="16" customHeight="1">
      <c r="A283" s="17" t="n">
        <v>3600531411091</v>
      </c>
      <c r="B283" s="17" t="n">
        <v>3600531411091</v>
      </c>
      <c r="C283" s="13" t="n"/>
      <c r="D283" s="18" t="n"/>
      <c r="E283" s="18" t="inlineStr">
        <is>
          <t>FOR-36005314110911</t>
        </is>
      </c>
      <c r="F283" s="17" t="inlineStr">
        <is>
          <t>M5045</t>
        </is>
      </c>
      <c r="G283" s="18" t="inlineStr">
        <is>
          <t>Fortuna</t>
        </is>
      </c>
      <c r="H283" s="18" t="inlineStr">
        <is>
          <t>Maybelline</t>
        </is>
      </c>
      <c r="I283" s="18" t="inlineStr">
        <is>
          <t>Lippenstift Superstay Matte Ink 5</t>
        </is>
      </c>
      <c r="J283" s="18" t="inlineStr">
        <is>
          <t>No</t>
        </is>
      </c>
      <c r="K283" s="18" t="inlineStr">
        <is>
          <t>https://www.amazon.de/Lippenstift-Superstay-Matte-Ink-5/dp/B07P8V73BS/ref=sr_1_1?__mk_de_DE=%C3%85M%C3%85%C5%BD%C3%95%C3%91&amp;crid=3BTFZNSMNCS8Z&amp;dib=eyJ2IjoiMSJ9.Rva9qr4GYRRAndseBWDgZQ.Hs9eFRE0pJe_xIUb7GngsaCVzEadV946wRWzjpVFn9w&amp;dib_tag=se&amp;keywords=B07P8V73BS&amp;qid=1760381990&amp;s=toys&amp;sprefix=b07p8v73bs%2Ctoys%2C139&amp;sr=1-1</t>
        </is>
      </c>
      <c r="L283" s="18" t="inlineStr">
        <is>
          <t>B07P8V73BS</t>
        </is>
      </c>
      <c r="M283" s="19" t="n"/>
      <c r="N283" s="19" t="n"/>
      <c r="O283" s="19" t="n">
        <v>14.99</v>
      </c>
      <c r="P283" s="19">
        <f>O283/1.19</f>
        <v/>
      </c>
      <c r="Q283" s="19">
        <f>O283-P283</f>
        <v/>
      </c>
      <c r="R283" s="19">
        <f>O283*0.15</f>
        <v/>
      </c>
      <c r="S283" s="19" t="n">
        <v>7.5</v>
      </c>
      <c r="T283" s="19">
        <f>S283*0.2</f>
        <v/>
      </c>
      <c r="U283" s="19" t="n">
        <v>0.400000000000002</v>
      </c>
      <c r="V283" s="19" t="n">
        <v>2</v>
      </c>
      <c r="W283" s="19">
        <f>V283*0.2</f>
        <v/>
      </c>
      <c r="X283" s="21">
        <f>O283-Q283-R283-S283-U283-V283+T283+W283</f>
        <v/>
      </c>
      <c r="Y283" s="18" t="n"/>
      <c r="Z283" s="19">
        <f>O283+1.5</f>
        <v/>
      </c>
      <c r="AA283" s="19" t="n"/>
      <c r="AB283" s="19" t="n"/>
      <c r="AC283" s="18" t="n"/>
      <c r="AD283" s="18" t="n"/>
      <c r="AE283" s="13" t="inlineStr">
        <is>
          <t>NOT_UPLOADED</t>
        </is>
      </c>
    </row>
    <row r="284" ht="16" customHeight="1">
      <c r="A284" s="12" t="n">
        <v>3600531411183</v>
      </c>
      <c r="B284" s="12" t="n">
        <v>3600531411183</v>
      </c>
      <c r="C284" s="13" t="n"/>
      <c r="D284" s="14" t="n"/>
      <c r="E284" s="14" t="inlineStr">
        <is>
          <t>FOR-3600531411183</t>
        </is>
      </c>
      <c r="F284" s="12" t="inlineStr">
        <is>
          <t>M5046</t>
        </is>
      </c>
      <c r="G284" s="14" t="inlineStr">
        <is>
          <t>Fortuna</t>
        </is>
      </c>
      <c r="H284" s="14" t="inlineStr">
        <is>
          <t>Maybelline</t>
        </is>
      </c>
      <c r="I284" s="14" t="inlineStr">
        <is>
          <t>Maybelline New York Lippenstift, Super Stay Matte Ink, Flüssig, matt und langanhaltend, Nr. 10 Dreamer, 5ml</t>
        </is>
      </c>
      <c r="J284" s="14" t="inlineStr">
        <is>
          <t>No</t>
        </is>
      </c>
      <c r="K284" s="14" t="inlineStr">
        <is>
          <t>https://www.amazon.de/MAYBELLINE-Lippenstift-Fl%C3%BCssig-langanhaltend-Dreamer/dp/B073VMNVM9/ref=sr_1_2?__mk_de_DE=%C3%85M%C3%85%C5%BD%C3%95%C3%91&amp;crid=CHKD8RI9239D&amp;dib=eyJ2IjoiMSJ9.WET1invqTHoyVbyLV-xl2DraauXf06yVqsIm4WI_Ufo.xh2pfx5ZHQqZUaRVD3d93yd8h4a_fUd1My4DTt_-xRA&amp;dib_tag=se&amp;keywords=3600531411183&amp;qid=1750014815&amp;s=beauty&amp;sprefix=3600531411183%2Cbeauty%2C70&amp;sr=1-2&amp;th=1</t>
        </is>
      </c>
      <c r="L284" s="14" t="inlineStr">
        <is>
          <t>B073VMNVM9</t>
        </is>
      </c>
      <c r="M284" s="15" t="n">
        <v>16.45</v>
      </c>
      <c r="N284" s="15" t="n"/>
      <c r="O284" s="15" t="n">
        <v>15.27</v>
      </c>
      <c r="P284" s="15">
        <f>O284/1.19</f>
        <v/>
      </c>
      <c r="Q284" s="15">
        <f>O284-P284</f>
        <v/>
      </c>
      <c r="R284" s="15">
        <f>O284*0.15</f>
        <v/>
      </c>
      <c r="S284" s="15" t="n">
        <v>7.5</v>
      </c>
      <c r="T284" s="15">
        <f>S284*0.2</f>
        <v/>
      </c>
      <c r="U284" s="15" t="n">
        <v>0.400000000000002</v>
      </c>
      <c r="V284" s="15" t="n">
        <v>2</v>
      </c>
      <c r="W284" s="15">
        <f>V284*0.2</f>
        <v/>
      </c>
      <c r="X284" s="21">
        <f>O284-Q284-R284-S284-U284-V284+T284+W284</f>
        <v/>
      </c>
      <c r="Y284" s="14" t="n"/>
      <c r="Z284" s="15">
        <f>O284+1.5</f>
        <v/>
      </c>
      <c r="AA284" s="15" t="n"/>
      <c r="AB284" s="15" t="n"/>
      <c r="AC284" s="14" t="n"/>
      <c r="AD284" s="14" t="n"/>
      <c r="AE284" s="13" t="inlineStr">
        <is>
          <t>NOT_UPLOADED</t>
        </is>
      </c>
    </row>
    <row r="285" ht="16" customHeight="1">
      <c r="A285" s="17" t="n">
        <v>3600531411183</v>
      </c>
      <c r="B285" s="17" t="n">
        <v>3600531411183</v>
      </c>
      <c r="C285" s="13" t="n"/>
      <c r="D285" s="18" t="n"/>
      <c r="E285" s="18" t="inlineStr">
        <is>
          <t>FOR-3600531411183</t>
        </is>
      </c>
      <c r="F285" s="17" t="inlineStr">
        <is>
          <t>M5046</t>
        </is>
      </c>
      <c r="G285" s="18" t="inlineStr">
        <is>
          <t>Fortuna</t>
        </is>
      </c>
      <c r="H285" s="18" t="inlineStr">
        <is>
          <t>Maybelline</t>
        </is>
      </c>
      <c r="I285" s="18" t="inlineStr">
        <is>
          <t>MAYBELLINE Lippenstift Superstay Matte Ink , Nr. 10 Dreamer</t>
        </is>
      </c>
      <c r="J285" s="18" t="inlineStr">
        <is>
          <t>No</t>
        </is>
      </c>
      <c r="K285" s="18" t="inlineStr">
        <is>
          <t>https://www.amazon.de/Lippenstift-Superstay-Matte-Ink-10/dp/B07PC1TRSC/ref=sr_1_1?__mk_de_DE=%C3%85M%C3%85%C5%BD%C3%95%C3%91&amp;crid=P9PGKNTGAF33&amp;dib=eyJ2IjoiMSJ9.uUU4d_ec4MAR1LG0VUlGNg.bkzHqs495qO19R5rNqze38lV0i7DGwiRqTcIQun3pL4&amp;dib_tag=se&amp;keywords=B07PC1TRSC&amp;qid=1760382510&amp;s=toys&amp;sprefix=b07pc1trsc%2Ctoys%2C95&amp;sr=1-1&amp;th=1</t>
        </is>
      </c>
      <c r="L285" s="18" t="inlineStr">
        <is>
          <t>B07PC1TRSC</t>
        </is>
      </c>
      <c r="M285" s="19" t="n"/>
      <c r="N285" s="19" t="n"/>
      <c r="O285" s="19" t="n">
        <v>14.99</v>
      </c>
      <c r="P285" s="19">
        <f>O285/1.19</f>
        <v/>
      </c>
      <c r="Q285" s="19">
        <f>O285-P285</f>
        <v/>
      </c>
      <c r="R285" s="19">
        <f>O285*0.15</f>
        <v/>
      </c>
      <c r="S285" s="19" t="n">
        <v>7.5</v>
      </c>
      <c r="T285" s="19">
        <f>S285*0.2</f>
        <v/>
      </c>
      <c r="U285" s="19" t="n">
        <v>0.400000000000002</v>
      </c>
      <c r="V285" s="19" t="n">
        <v>2</v>
      </c>
      <c r="W285" s="19">
        <f>V285*0.2</f>
        <v/>
      </c>
      <c r="X285" s="21">
        <f>O285-Q285-R285-S285-U285-V285+T285+W285</f>
        <v/>
      </c>
      <c r="Y285" s="18" t="n"/>
      <c r="Z285" s="19">
        <f>O285+1.5</f>
        <v/>
      </c>
      <c r="AA285" s="19" t="n"/>
      <c r="AB285" s="19" t="n"/>
      <c r="AC285" s="18" t="n"/>
      <c r="AD285" s="18" t="n"/>
      <c r="AE285" s="13" t="inlineStr">
        <is>
          <t>NOT_UPLOADED</t>
        </is>
      </c>
    </row>
    <row r="286" ht="16" customHeight="1">
      <c r="A286" s="12" t="n">
        <v>3600531411107</v>
      </c>
      <c r="B286" s="12" t="n">
        <v>3600531411107</v>
      </c>
      <c r="C286" s="13" t="n"/>
      <c r="D286" s="14" t="n"/>
      <c r="E286" s="14" t="inlineStr">
        <is>
          <t>FOR-3600531411107</t>
        </is>
      </c>
      <c r="F286" s="12" t="inlineStr">
        <is>
          <t>M5047</t>
        </is>
      </c>
      <c r="G286" s="14" t="inlineStr">
        <is>
          <t>Fortuna</t>
        </is>
      </c>
      <c r="H286" s="14" t="inlineStr">
        <is>
          <t>Maybelline</t>
        </is>
      </c>
      <c r="I286" s="14" t="inlineStr">
        <is>
          <t>MAYBELLINE Lippenstift Superstay Matte Ink 15</t>
        </is>
      </c>
      <c r="J286" s="14" t="inlineStr">
        <is>
          <t>No</t>
        </is>
      </c>
      <c r="K286" s="14" t="inlineStr">
        <is>
          <t>https://www.amazon.de/Maybelline-Personalisierter-Lippenstift-SuperStay-Matte/dp/B07P5JMKBB/ref=sr_1_3?__mk_de_DE=%C3%85M%C3%85%C5%BD%C3%95%C3%91&amp;crid=3K0U3WEHTYQJ0&amp;dib=eyJ2IjoiMSJ9.UJKpRxNF8F_lRKZDSM3LlDipEYB6zQvxih54h36_u8vGjHj071QN20LucGBJIEps.jJKEnxV6E67iYaxOpXjU8QVloPJR8K9Aio0a27i7_mk&amp;dib_tag=se&amp;keywords=3600531411107&amp;qid=1750014953&amp;s=beauty&amp;sprefix=3600531411107%2Cbeauty%2C80&amp;sr=1-3&amp;th=1</t>
        </is>
      </c>
      <c r="L286" s="14" t="inlineStr">
        <is>
          <t>B07P5JMKBB</t>
        </is>
      </c>
      <c r="M286" s="15" t="n">
        <v>16.46</v>
      </c>
      <c r="N286" s="15" t="n"/>
      <c r="O286" s="15" t="n">
        <v>15.27</v>
      </c>
      <c r="P286" s="15">
        <f>O286/1.19</f>
        <v/>
      </c>
      <c r="Q286" s="15">
        <f>O286-P286</f>
        <v/>
      </c>
      <c r="R286" s="15">
        <f>O286*0.15</f>
        <v/>
      </c>
      <c r="S286" s="15" t="n">
        <v>7.5</v>
      </c>
      <c r="T286" s="15">
        <f>S286*0.2</f>
        <v/>
      </c>
      <c r="U286" s="15" t="n">
        <v>0.400000000000002</v>
      </c>
      <c r="V286" s="15" t="n">
        <v>2</v>
      </c>
      <c r="W286" s="15">
        <f>V286*0.2</f>
        <v/>
      </c>
      <c r="X286" s="21">
        <f>O286-Q286-R286-S286-U286-V286+T286+W286</f>
        <v/>
      </c>
      <c r="Y286" s="14" t="n"/>
      <c r="Z286" s="15">
        <f>O286+1.5</f>
        <v/>
      </c>
      <c r="AA286" s="15" t="n"/>
      <c r="AB286" s="15" t="n"/>
      <c r="AC286" s="14" t="n"/>
      <c r="AD286" s="14" t="n"/>
      <c r="AE286" s="13" t="inlineStr">
        <is>
          <t>NOT_UPLOADED</t>
        </is>
      </c>
    </row>
    <row r="287" ht="16" customHeight="1">
      <c r="A287" s="17" t="n">
        <v>3600531411107</v>
      </c>
      <c r="B287" s="17" t="n">
        <v>3600531411107</v>
      </c>
      <c r="C287" s="13" t="n"/>
      <c r="D287" s="18" t="n"/>
      <c r="E287" s="18" t="inlineStr">
        <is>
          <t>FOR-36005314111071</t>
        </is>
      </c>
      <c r="F287" s="17" t="inlineStr">
        <is>
          <t>M5047</t>
        </is>
      </c>
      <c r="G287" s="18" t="inlineStr">
        <is>
          <t>Fortuna</t>
        </is>
      </c>
      <c r="H287" s="18" t="inlineStr">
        <is>
          <t>Maybelline</t>
        </is>
      </c>
      <c r="I287" s="18" t="inlineStr">
        <is>
          <t>Maybelline New York Lippenstift, Super Stay Matte Ink, Flüssig, matt und langanhaltend, Nr. 15 Lover, 5ml</t>
        </is>
      </c>
      <c r="J287" s="18" t="inlineStr">
        <is>
          <t>No</t>
        </is>
      </c>
      <c r="K287" s="18" t="inlineStr">
        <is>
          <t>https://www.amazon.de/Maybelline-Super-Matte-Lippenstift-Lover/dp/B073HBNC2D/ref=sr_1_1?__mk_de_DE=%C3%85M%C3%85%C5%BD%C3%95%C3%91&amp;crid=1DF9DYQTLLE1Q&amp;dib=eyJ2IjoiMSJ9.Yz4GmD3umy8NGxehY7NTUQ.t1W7E9_WpVXLalF1Tp3ifJO4dKvoQn0Czu0RiEh6qRM&amp;dib_tag=se&amp;keywords=B073HBNC2D&amp;qid=1760383229&amp;rdc=1&amp;s=toys&amp;sprefix=b073hbnc2d%2Ctoys%2C124&amp;sr=1-1&amp;th=1</t>
        </is>
      </c>
      <c r="L287" s="18" t="inlineStr">
        <is>
          <t>B073HBNC2D</t>
        </is>
      </c>
      <c r="M287" s="19" t="n"/>
      <c r="N287" s="19" t="n"/>
      <c r="O287" s="19" t="n">
        <v>15.5</v>
      </c>
      <c r="P287" s="19">
        <f>O287/1.19</f>
        <v/>
      </c>
      <c r="Q287" s="19">
        <f>O287-P287</f>
        <v/>
      </c>
      <c r="R287" s="19">
        <f>O287*0.15</f>
        <v/>
      </c>
      <c r="S287" s="19" t="n">
        <v>7.5</v>
      </c>
      <c r="T287" s="19">
        <f>S287*0.2</f>
        <v/>
      </c>
      <c r="U287" s="19" t="n">
        <v>0.400000000000002</v>
      </c>
      <c r="V287" s="19" t="n">
        <v>2</v>
      </c>
      <c r="W287" s="19">
        <f>V287*0.2</f>
        <v/>
      </c>
      <c r="X287" s="21">
        <f>O287-Q287-R287-S287-U287-V287+T287+W287</f>
        <v/>
      </c>
      <c r="Y287" s="18" t="n"/>
      <c r="Z287" s="19">
        <f>O287+1.5</f>
        <v/>
      </c>
      <c r="AA287" s="19" t="n"/>
      <c r="AB287" s="19" t="n"/>
      <c r="AC287" s="18" t="n"/>
      <c r="AD287" s="18" t="n"/>
      <c r="AE287" s="13" t="inlineStr">
        <is>
          <t>NOT_UPLOADED</t>
        </is>
      </c>
    </row>
    <row r="288" ht="16" customHeight="1">
      <c r="A288" s="12" t="n">
        <v>6294016102757</v>
      </c>
      <c r="B288" s="12" t="n">
        <v>3600531411107</v>
      </c>
      <c r="C288" s="13" t="n"/>
      <c r="D288" s="14" t="n"/>
      <c r="E288" s="14" t="inlineStr">
        <is>
          <t>FOR-6294016102757</t>
        </is>
      </c>
      <c r="F288" s="12" t="inlineStr">
        <is>
          <t>M5047</t>
        </is>
      </c>
      <c r="G288" s="14" t="inlineStr">
        <is>
          <t>Fortuna</t>
        </is>
      </c>
      <c r="H288" s="14" t="inlineStr">
        <is>
          <t>Maybelline</t>
        </is>
      </c>
      <c r="I288" s="14" t="inlineStr">
        <is>
          <t>MAYBELLINE Lippenstift Superstay Matte Ink 15</t>
        </is>
      </c>
      <c r="J288" s="14" t="inlineStr">
        <is>
          <t>No</t>
        </is>
      </c>
      <c r="K288" s="14" t="inlineStr">
        <is>
          <t>https://www.amazon.de/Lippenstift-Superstay-Matte-Ink-15/dp/B0796BMKZT/ref=sr_1_1?__mk_de_DE=%C3%85M%C3%85%C5%BD%C3%95%C3%91&amp;crid=1DRT8RX5GCV88&amp;dib=eyJ2IjoiMSJ9.ng9VNCaOf_-JOMFsLaOolQ.RPHs8nEei-6I_8dsWj5M1cbV0DQnzwlQYx13YfDOTgw&amp;dib_tag=se&amp;keywords=B0796BMKZT&amp;qid=1760383830&amp;s=toys&amp;sprefix=b0796bmkzt%2Ctoys%2C90&amp;sr=1-1&amp;th=1</t>
        </is>
      </c>
      <c r="L288" s="14" t="inlineStr">
        <is>
          <t>B0796BMKZT</t>
        </is>
      </c>
      <c r="M288" s="15" t="n"/>
      <c r="N288" s="15" t="n"/>
      <c r="O288" s="15" t="n">
        <v>14.99</v>
      </c>
      <c r="P288" s="15">
        <f>O288/1.19</f>
        <v/>
      </c>
      <c r="Q288" s="15">
        <f>O288-P288</f>
        <v/>
      </c>
      <c r="R288" s="15">
        <f>O288*0.15</f>
        <v/>
      </c>
      <c r="S288" s="15" t="n">
        <v>7.5</v>
      </c>
      <c r="T288" s="15">
        <f>S288*0.2</f>
        <v/>
      </c>
      <c r="U288" s="15" t="n">
        <v>0.400000000000002</v>
      </c>
      <c r="V288" s="15" t="n">
        <v>2</v>
      </c>
      <c r="W288" s="15">
        <f>V288*0.2</f>
        <v/>
      </c>
      <c r="X288" s="21">
        <f>O288-Q288-R288-S288-U288-V288+T288+W288</f>
        <v/>
      </c>
      <c r="Y288" s="14" t="n"/>
      <c r="Z288" s="15">
        <f>O288+1.5</f>
        <v/>
      </c>
      <c r="AA288" s="15" t="n"/>
      <c r="AB288" s="15" t="n"/>
      <c r="AC288" s="14" t="n"/>
      <c r="AD288" s="14" t="n"/>
      <c r="AE288" s="13" t="inlineStr">
        <is>
          <t>NOT_UPLOADED</t>
        </is>
      </c>
    </row>
    <row r="289" ht="16" customHeight="1">
      <c r="A289" s="17" t="n">
        <v>3600531411114</v>
      </c>
      <c r="B289" s="17" t="n">
        <v>3600531411114</v>
      </c>
      <c r="C289" s="13" t="n"/>
      <c r="D289" s="18" t="n"/>
      <c r="E289" s="18" t="inlineStr">
        <is>
          <t>FOR-3600531411114</t>
        </is>
      </c>
      <c r="F289" s="17" t="inlineStr">
        <is>
          <t>M5048</t>
        </is>
      </c>
      <c r="G289" s="18" t="inlineStr">
        <is>
          <t>Fortuna</t>
        </is>
      </c>
      <c r="H289" s="18" t="inlineStr">
        <is>
          <t>Maybelline</t>
        </is>
      </c>
      <c r="I289" s="18" t="inlineStr">
        <is>
          <t>Lippenstift Superstay Matte Ink 20</t>
        </is>
      </c>
      <c r="J289" s="18" t="inlineStr">
        <is>
          <t>No</t>
        </is>
      </c>
      <c r="K289" s="18" t="inlineStr">
        <is>
          <t>https://www.amazon.de/Lippenstift-Superstay-Matte-Ink-20/dp/B07DG4KF3W/ref=sr_1_1?__mk_de_DE=%C3%85M%C3%85%C5%BD%C3%95%C3%91&amp;crid=16UXD68WKU1MN&amp;dib=eyJ2IjoiMSJ9.RvSOn5FyLaKTGnSeOqcMPtfyyir811TQVNZZfeKoVvnGjHj071QN20LucGBJIEps.bOI_QRVqUWXrU-c9IDHSFj-2IT-zPoFDhu0eTVCjIvM&amp;dib_tag=se&amp;keywords=3600531411114&amp;qid=1750015130&amp;s=beauty&amp;sprefix=3600531411114%2Cbeauty%2C75&amp;sr=1-1&amp;th=1</t>
        </is>
      </c>
      <c r="L289" s="18" t="inlineStr">
        <is>
          <t>B07DG4KF3W</t>
        </is>
      </c>
      <c r="M289" s="19" t="n">
        <v>16.46</v>
      </c>
      <c r="N289" s="19" t="n"/>
      <c r="O289" s="19" t="n">
        <v>15.27</v>
      </c>
      <c r="P289" s="19">
        <f>O289/1.19</f>
        <v/>
      </c>
      <c r="Q289" s="19">
        <f>O289-P289</f>
        <v/>
      </c>
      <c r="R289" s="19">
        <f>O289*0.15</f>
        <v/>
      </c>
      <c r="S289" s="19" t="n">
        <v>7.5</v>
      </c>
      <c r="T289" s="19">
        <f>S289*0.2</f>
        <v/>
      </c>
      <c r="U289" s="19" t="n">
        <v>0.400000000000002</v>
      </c>
      <c r="V289" s="19" t="n">
        <v>2</v>
      </c>
      <c r="W289" s="19">
        <f>V289*0.2</f>
        <v/>
      </c>
      <c r="X289" s="21">
        <f>O289-Q289-R289-S289-U289-V289+T289+W289</f>
        <v/>
      </c>
      <c r="Y289" s="18" t="n"/>
      <c r="Z289" s="19">
        <f>O289+1.5</f>
        <v/>
      </c>
      <c r="AA289" s="19" t="n"/>
      <c r="AB289" s="19" t="n"/>
      <c r="AC289" s="18" t="n"/>
      <c r="AD289" s="18" t="n"/>
      <c r="AE289" s="13" t="inlineStr">
        <is>
          <t>NOT_UPLOADED</t>
        </is>
      </c>
    </row>
    <row r="290" ht="16" customHeight="1">
      <c r="A290" s="12" t="n">
        <v>3600531411138</v>
      </c>
      <c r="B290" s="12" t="n">
        <v>3600531411138</v>
      </c>
      <c r="C290" s="13" t="n"/>
      <c r="D290" s="14" t="n"/>
      <c r="E290" s="14" t="inlineStr">
        <is>
          <t>FOR-3600531411138</t>
        </is>
      </c>
      <c r="F290" s="12" t="inlineStr">
        <is>
          <t>M5050</t>
        </is>
      </c>
      <c r="G290" s="14" t="inlineStr">
        <is>
          <t>Fortuna</t>
        </is>
      </c>
      <c r="H290" s="14" t="inlineStr">
        <is>
          <t>Maybelline</t>
        </is>
      </c>
      <c r="I290" s="14" t="inlineStr">
        <is>
          <t>Maybelline New York Lippenstift, Super Stay Matte Ink</t>
        </is>
      </c>
      <c r="J290" s="14" t="inlineStr">
        <is>
          <t>No</t>
        </is>
      </c>
      <c r="K290" s="14" t="inlineStr">
        <is>
          <t>https://www.amazon.de/Maybelline-Lippenstift-farbintensiver-Matt-Finish-Trendfarben/dp/B073HBZRZ4/ref=sr_1_1?__mk_de_DE=%C3%85M%C3%85%C5%BD%C3%95%C3%91&amp;crid=3BWECBHXPVCAC&amp;dib=eyJ2IjoiMSJ9.JnHiUDO59u7M-G32o-IqjZZOFESuAdsSpVcJLQwf_OM.40OaT2Ajd3FWQU9qFC6rBojCmOAINV3MoxzRtDgcBnA&amp;dib_tag=se&amp;keywords=3600531411138&amp;qid=1750015313&amp;s=beauty&amp;sprefix=3600531411138%2Cbeauty%2C78&amp;sr=1-1&amp;th=1</t>
        </is>
      </c>
      <c r="L290" s="14" t="inlineStr">
        <is>
          <t>B073HBZRZ4</t>
        </is>
      </c>
      <c r="M290" s="15" t="n">
        <v>16.46</v>
      </c>
      <c r="N290" s="15" t="n"/>
      <c r="O290" s="15" t="n">
        <v>15.27</v>
      </c>
      <c r="P290" s="15">
        <f>O290/1.19</f>
        <v/>
      </c>
      <c r="Q290" s="15">
        <f>O290-P290</f>
        <v/>
      </c>
      <c r="R290" s="15">
        <f>O290*0.15</f>
        <v/>
      </c>
      <c r="S290" s="15" t="n">
        <v>7.5</v>
      </c>
      <c r="T290" s="15">
        <f>S290*0.2</f>
        <v/>
      </c>
      <c r="U290" s="15" t="n">
        <v>0.400000000000002</v>
      </c>
      <c r="V290" s="15" t="n">
        <v>2</v>
      </c>
      <c r="W290" s="15">
        <f>V290*0.2</f>
        <v/>
      </c>
      <c r="X290" s="21">
        <f>O290-Q290-R290-S290-U290-V290+T290+W290</f>
        <v/>
      </c>
      <c r="Y290" s="14" t="n"/>
      <c r="Z290" s="15">
        <f>O290+1.5</f>
        <v/>
      </c>
      <c r="AA290" s="15" t="n"/>
      <c r="AB290" s="15" t="n"/>
      <c r="AC290" s="14" t="n"/>
      <c r="AD290" s="14" t="n"/>
      <c r="AE290" s="13" t="inlineStr">
        <is>
          <t>NOT_UPLOADED</t>
        </is>
      </c>
    </row>
    <row r="291" ht="16" customHeight="1">
      <c r="A291" s="17" t="n">
        <v>3600531411138</v>
      </c>
      <c r="B291" s="17" t="n">
        <v>3600531411138</v>
      </c>
      <c r="C291" s="13" t="n"/>
      <c r="D291" s="18" t="n"/>
      <c r="E291" s="18" t="inlineStr">
        <is>
          <t>FOR-3600531411138</t>
        </is>
      </c>
      <c r="F291" s="17" t="inlineStr">
        <is>
          <t>M5050</t>
        </is>
      </c>
      <c r="G291" s="18" t="inlineStr">
        <is>
          <t>Fortuna</t>
        </is>
      </c>
      <c r="H291" s="18" t="inlineStr">
        <is>
          <t>Maybelline</t>
        </is>
      </c>
      <c r="I291" s="18" t="inlineStr">
        <is>
          <t>Lippenstift Superstay Matte Ink 30</t>
        </is>
      </c>
      <c r="J291" s="18" t="inlineStr">
        <is>
          <t>No</t>
        </is>
      </c>
      <c r="K291" s="18" t="inlineStr">
        <is>
          <t>https://www.amazon.de/Lippenstift-Superstay-Matte-Ink-30/dp/B07P5MX5R6/ref=sr_1_1?__mk_de_DE=%C3%85M%C3%85%C5%BD%C3%95%C3%91&amp;crid=59NY3VJRS01T&amp;dib=eyJ2IjoiMSJ9.WsPDqsNt2F_uJgk276uehA.-y1IgxAvTWhq-uaR0CSX-KfbsZjlVNjt20v4s6eNjaE&amp;dib_tag=se&amp;keywords=B07P5MX5R6&amp;qid=1760386746&amp;s=toys&amp;sprefix=b07p5mx5r6%2Ctoys%2C134&amp;sr=1-1</t>
        </is>
      </c>
      <c r="L291" s="18" t="inlineStr">
        <is>
          <t>B07P5MX5R6</t>
        </is>
      </c>
      <c r="M291" s="19" t="n"/>
      <c r="N291" s="19" t="n"/>
      <c r="O291" s="19" t="n">
        <v>15</v>
      </c>
      <c r="P291" s="19">
        <f>O291/1.19</f>
        <v/>
      </c>
      <c r="Q291" s="19">
        <f>O291-P291</f>
        <v/>
      </c>
      <c r="R291" s="19">
        <f>O291*0.15</f>
        <v/>
      </c>
      <c r="S291" s="19" t="n">
        <v>7.5</v>
      </c>
      <c r="T291" s="19">
        <f>S291*0.2</f>
        <v/>
      </c>
      <c r="U291" s="19" t="n">
        <v>0.400000000000002</v>
      </c>
      <c r="V291" s="19" t="n">
        <v>2</v>
      </c>
      <c r="W291" s="19">
        <f>V291*0.2</f>
        <v/>
      </c>
      <c r="X291" s="21">
        <f>O291-Q291-R291-S291-U291-V291+T291+W291</f>
        <v/>
      </c>
      <c r="Y291" s="18" t="n"/>
      <c r="Z291" s="19">
        <f>O291+1.5</f>
        <v/>
      </c>
      <c r="AA291" s="19" t="n"/>
      <c r="AB291" s="19" t="n"/>
      <c r="AC291" s="18" t="n"/>
      <c r="AD291" s="18" t="n"/>
      <c r="AE291" s="13" t="inlineStr">
        <is>
          <t>NOT_UPLOADED</t>
        </is>
      </c>
    </row>
    <row r="292" ht="16" customHeight="1">
      <c r="A292" s="12" t="n">
        <v>3600531411176</v>
      </c>
      <c r="B292" s="12" t="n">
        <v>3600531411176</v>
      </c>
      <c r="C292" s="13" t="n"/>
      <c r="D292" s="14" t="n"/>
      <c r="E292" s="14" t="inlineStr">
        <is>
          <t>FOR-3600531411176</t>
        </is>
      </c>
      <c r="F292" s="12" t="inlineStr">
        <is>
          <t>M5052</t>
        </is>
      </c>
      <c r="G292" s="14" t="inlineStr">
        <is>
          <t>Fortuna</t>
        </is>
      </c>
      <c r="H292" s="14" t="inlineStr">
        <is>
          <t>Maybelline</t>
        </is>
      </c>
      <c r="I292" s="14" t="inlineStr">
        <is>
          <t>Maybelline New York Lippenstift, Super Stay Matte Ink, Flüssig, matt und langanhaltend, Nr. 50 Voyager, 5ml</t>
        </is>
      </c>
      <c r="J292" s="14" t="inlineStr">
        <is>
          <t>No</t>
        </is>
      </c>
      <c r="K292" s="14" t="inlineStr">
        <is>
          <t>https://www.amazon.de/Maybelline-Lippenstift-farbintensiver-Matt-Finish-Trendfarben/dp/B073HBZRX3/ref=sr_1_1?__mk_de_DE=%C3%85M%C3%85%C5%BD%C3%95%C3%91&amp;crid=33YEOI9IL6HG5&amp;dib=eyJ2IjoiMSJ9.UBqAeNTvjH2fj_GsU-vca1z0-qiPKhHCYUT_zZcoYwPBf1XiUjdaribDPOpWUftK.o7Yh5zqdnBxmf43cZGLTN1kJZGkXQ0nvLSZx_a--p9w&amp;dib_tag=se&amp;keywords=3600531411176&amp;qid=1750015486&amp;rdc=1&amp;s=beauty&amp;sprefix=3600531411176%2Cbeauty%2C135&amp;sr=1-1&amp;th=1</t>
        </is>
      </c>
      <c r="L292" s="14" t="inlineStr">
        <is>
          <t>B073HBZRX3</t>
        </is>
      </c>
      <c r="M292" s="15" t="n">
        <v>16.46</v>
      </c>
      <c r="N292" s="15" t="n"/>
      <c r="O292" s="15" t="n">
        <v>15.27</v>
      </c>
      <c r="P292" s="15">
        <f>O292/1.19</f>
        <v/>
      </c>
      <c r="Q292" s="15">
        <f>O292-P292</f>
        <v/>
      </c>
      <c r="R292" s="15">
        <f>O292*0.15</f>
        <v/>
      </c>
      <c r="S292" s="15" t="n">
        <v>7.5</v>
      </c>
      <c r="T292" s="15">
        <f>S292*0.2</f>
        <v/>
      </c>
      <c r="U292" s="15" t="n">
        <v>0.400000000000002</v>
      </c>
      <c r="V292" s="15" t="n">
        <v>2</v>
      </c>
      <c r="W292" s="15">
        <f>V292*0.2</f>
        <v/>
      </c>
      <c r="X292" s="21">
        <f>O292-Q292-R292-S292-U292-V292+T292+W292</f>
        <v/>
      </c>
      <c r="Y292" s="14" t="n"/>
      <c r="Z292" s="15">
        <f>O292+1.5</f>
        <v/>
      </c>
      <c r="AA292" s="15" t="n"/>
      <c r="AB292" s="15" t="n"/>
      <c r="AC292" s="14" t="n"/>
      <c r="AD292" s="14" t="n"/>
      <c r="AE292" s="13" t="inlineStr">
        <is>
          <t>NOT_UPLOADED</t>
        </is>
      </c>
    </row>
    <row r="293" ht="16" customHeight="1">
      <c r="A293" s="17" t="n">
        <v>3600531411176</v>
      </c>
      <c r="B293" s="17" t="n">
        <v>3600531411176</v>
      </c>
      <c r="C293" s="13" t="n"/>
      <c r="D293" s="18" t="n"/>
      <c r="E293" s="18" t="inlineStr">
        <is>
          <t>FOR-36005314111762</t>
        </is>
      </c>
      <c r="F293" s="17" t="inlineStr">
        <is>
          <t>M5052</t>
        </is>
      </c>
      <c r="G293" s="18" t="inlineStr">
        <is>
          <t>Fortuna</t>
        </is>
      </c>
      <c r="H293" s="18" t="inlineStr">
        <is>
          <t>Maybelline</t>
        </is>
      </c>
      <c r="I293" s="18" t="inlineStr">
        <is>
          <t>Maybelline Super Stay Lippenstift, matt, Ink 50 Voyager, 26 g</t>
        </is>
      </c>
      <c r="J293" s="18" t="inlineStr">
        <is>
          <t>No</t>
        </is>
      </c>
      <c r="K293" s="18" t="inlineStr">
        <is>
          <t>https://www.amazon.de/dp/B0796CC519?th=1</t>
        </is>
      </c>
      <c r="L293" s="18" t="inlineStr">
        <is>
          <t>B0796CC519</t>
        </is>
      </c>
      <c r="M293" s="19" t="n"/>
      <c r="N293" s="19" t="n"/>
      <c r="O293" s="19" t="n">
        <v>16</v>
      </c>
      <c r="P293" s="19">
        <f>O293/1.19</f>
        <v/>
      </c>
      <c r="Q293" s="19">
        <f>O293-P293</f>
        <v/>
      </c>
      <c r="R293" s="19">
        <f>O293*0.15</f>
        <v/>
      </c>
      <c r="S293" s="19" t="n">
        <v>7.5</v>
      </c>
      <c r="T293" s="19">
        <f>S293*0.2</f>
        <v/>
      </c>
      <c r="U293" s="19" t="n">
        <v>0.400000000000002</v>
      </c>
      <c r="V293" s="19" t="n">
        <v>2</v>
      </c>
      <c r="W293" s="19">
        <f>V293*0.2</f>
        <v/>
      </c>
      <c r="X293" s="21">
        <f>O293-Q293-R293-S293-U293-V293+T293+W293</f>
        <v/>
      </c>
      <c r="Y293" s="18" t="n"/>
      <c r="Z293" s="19">
        <f>O293+1.5</f>
        <v/>
      </c>
      <c r="AA293" s="19" t="n"/>
      <c r="AB293" s="19" t="n"/>
      <c r="AC293" s="18" t="n"/>
      <c r="AD293" s="18" t="n"/>
      <c r="AE293" s="13" t="inlineStr">
        <is>
          <t>NOT_UPLOADED</t>
        </is>
      </c>
    </row>
    <row r="294" ht="16" customHeight="1">
      <c r="A294" s="12" t="n">
        <v>3600531411176</v>
      </c>
      <c r="B294" s="12" t="n">
        <v>3600531411176</v>
      </c>
      <c r="C294" s="13" t="n"/>
      <c r="D294" s="14" t="n"/>
      <c r="E294" s="14" t="inlineStr">
        <is>
          <t>FOR-36005314111763</t>
        </is>
      </c>
      <c r="F294" s="12" t="inlineStr">
        <is>
          <t>M5052</t>
        </is>
      </c>
      <c r="G294" s="14" t="inlineStr">
        <is>
          <t>Fortuna</t>
        </is>
      </c>
      <c r="H294" s="14" t="inlineStr">
        <is>
          <t>Maybelline</t>
        </is>
      </c>
      <c r="I294" s="14" t="inlineStr">
        <is>
          <t>Lippenstift Superstay Matte Ink 50</t>
        </is>
      </c>
      <c r="J294" s="14" t="inlineStr">
        <is>
          <t>No</t>
        </is>
      </c>
      <c r="K294" s="14" t="inlineStr">
        <is>
          <t>https://www.amazon.de/Lippenstift-Superstay-Matte-Ink-50/dp/B07P5MX1H3/ref=sr_1_1?__mk_de_DE=%C3%85M%C3%85%C5%BD%C3%95%C3%91&amp;crid=22H8NMRVS62II&amp;dib=eyJ2IjoiMSJ9.a0B45rH_mrgahznyUO6Isg.qKruK_kvZK_Xpbg-9JbKTcE8u3KEDuQbUO_rM8ylTBo&amp;dib_tag=se&amp;keywords=B07P5MX1H3&amp;qid=1760387827&amp;s=beauty&amp;sprefix=b07p5mx1h3%2Cbeauty%2C129&amp;sr=1-1</t>
        </is>
      </c>
      <c r="L294" s="14" t="inlineStr">
        <is>
          <t>B07P5MX1H3</t>
        </is>
      </c>
      <c r="M294" s="15" t="n"/>
      <c r="N294" s="15" t="n"/>
      <c r="O294" s="15" t="n">
        <v>15</v>
      </c>
      <c r="P294" s="15">
        <f>O294/1.19</f>
        <v/>
      </c>
      <c r="Q294" s="15">
        <f>O294-P294</f>
        <v/>
      </c>
      <c r="R294" s="15">
        <f>O294*0.15</f>
        <v/>
      </c>
      <c r="S294" s="15" t="n">
        <v>7.5</v>
      </c>
      <c r="T294" s="15">
        <f>S294*0.2</f>
        <v/>
      </c>
      <c r="U294" s="15" t="n">
        <v>0.400000000000002</v>
      </c>
      <c r="V294" s="15" t="n">
        <v>2</v>
      </c>
      <c r="W294" s="15">
        <f>V294*0.2</f>
        <v/>
      </c>
      <c r="X294" s="21">
        <f>O294-Q294-R294-S294-U294-V294+T294+W294</f>
        <v/>
      </c>
      <c r="Y294" s="14" t="n"/>
      <c r="Z294" s="15">
        <f>O294+1.5</f>
        <v/>
      </c>
      <c r="AA294" s="15" t="n"/>
      <c r="AB294" s="15" t="n"/>
      <c r="AC294" s="14" t="n"/>
      <c r="AD294" s="14" t="n"/>
      <c r="AE294" s="13" t="inlineStr">
        <is>
          <t>NOT_UPLOADED</t>
        </is>
      </c>
    </row>
    <row r="295" ht="16" customHeight="1">
      <c r="A295" s="17" t="n">
        <v>3600531609689</v>
      </c>
      <c r="B295" s="17" t="n">
        <v>3600531609689</v>
      </c>
      <c r="C295" s="13" t="n"/>
      <c r="D295" s="18" t="n"/>
      <c r="E295" s="18" t="inlineStr">
        <is>
          <t>FOR-3600531609689</t>
        </is>
      </c>
      <c r="F295" s="17" t="inlineStr">
        <is>
          <t>M5010</t>
        </is>
      </c>
      <c r="G295" s="18" t="inlineStr">
        <is>
          <t>Fortuna</t>
        </is>
      </c>
      <c r="H295" s="18" t="inlineStr">
        <is>
          <t>Maybelline</t>
        </is>
      </c>
      <c r="I295" s="18" t="inlineStr">
        <is>
          <t>Maybelline New York Lifter Gloss Nu 001 Pearl</t>
        </is>
      </c>
      <c r="J295" s="18" t="inlineStr">
        <is>
          <t>No</t>
        </is>
      </c>
      <c r="K295" s="18" t="inlineStr">
        <is>
          <t>https://www.amazon.de/Maybelline-Lifter-Lipgloss-Pearl-hyaluronic/dp/B082XRXSP8/ref=sr_1_1?__mk_de_DE=%C3%85M%C3%85%C5%BD%C3%95%C3%91&amp;crid=33WTEC820SB9Z&amp;dib=eyJ2IjoiMSJ9.sjXMpAy8E_-hBsCRJAhESg.1gS24m3Kb4WGBBPcCr6CciC8yuS2r5unpu8kbknxrwU&amp;dib_tag=se&amp;keywords=3600531609689&amp;qid=1750016007&amp;s=beauty&amp;sprefix=3600531609689%2Cbeauty%2C116&amp;sr=1-1</t>
        </is>
      </c>
      <c r="L295" s="18" t="inlineStr">
        <is>
          <t>B082XRXSP8</t>
        </is>
      </c>
      <c r="M295" s="19" t="n">
        <v>14.08</v>
      </c>
      <c r="N295" s="19" t="n"/>
      <c r="O295" s="19" t="n">
        <v>13.87</v>
      </c>
      <c r="P295" s="19">
        <f>O295/1.19</f>
        <v/>
      </c>
      <c r="Q295" s="19">
        <f>O295-P295</f>
        <v/>
      </c>
      <c r="R295" s="19">
        <f>O295*0.15</f>
        <v/>
      </c>
      <c r="S295" s="19" t="n">
        <v>5.79</v>
      </c>
      <c r="T295" s="19">
        <f>S295*0.2</f>
        <v/>
      </c>
      <c r="U295" s="19" t="n">
        <v>0.400000000000002</v>
      </c>
      <c r="V295" s="19" t="n">
        <v>2.15</v>
      </c>
      <c r="W295" s="19">
        <f>V295*0.2</f>
        <v/>
      </c>
      <c r="X295" s="21">
        <f>O295-Q295-R295-S295-U295-V295+T295+W295</f>
        <v/>
      </c>
      <c r="Y295" s="18" t="n"/>
      <c r="Z295" s="19">
        <f>O295+1.5</f>
        <v/>
      </c>
      <c r="AA295" s="19" t="n"/>
      <c r="AB295" s="19" t="n"/>
      <c r="AC295" s="18" t="n"/>
      <c r="AD295" s="18" t="n"/>
      <c r="AE295" s="13" t="inlineStr">
        <is>
          <t>NOT_UPLOADED</t>
        </is>
      </c>
    </row>
    <row r="296" ht="16" customHeight="1">
      <c r="A296" s="12" t="n">
        <v>3600531609771</v>
      </c>
      <c r="B296" s="12" t="n">
        <v>3600531609771</v>
      </c>
      <c r="C296" s="13" t="n"/>
      <c r="D296" s="14" t="n"/>
      <c r="E296" s="14" t="inlineStr">
        <is>
          <t>FOR-3600531609771</t>
        </is>
      </c>
      <c r="F296" s="12" t="inlineStr">
        <is>
          <t>M5012</t>
        </is>
      </c>
      <c r="G296" s="14" t="inlineStr">
        <is>
          <t>Fortuna</t>
        </is>
      </c>
      <c r="H296" s="14" t="inlineStr">
        <is>
          <t>Maybelline</t>
        </is>
      </c>
      <c r="I296" s="14" t="inlineStr">
        <is>
          <t>Maybelline New York Glänzender Lipgloss für voller wirkende Lippen, Feuchtigkeitsspendend, Mit Hyaluronsäure, Lifter Gloss, Farbe: Nr. 003 Moon (Rosa), 1 x 5,4 ml</t>
        </is>
      </c>
      <c r="J296" s="14" t="inlineStr">
        <is>
          <t>No</t>
        </is>
      </c>
      <c r="K296" s="14" t="inlineStr">
        <is>
          <t>https://www.amazon.de/Maybelline-New-York-Feuchtigkeitsspendend-Hyalurons%C3%A4ure/dp/B08HLSL2FV/ref=sr_1_1?__mk_de_DE=%C3%85M%C3%85%C5%BD%C3%95%C3%91&amp;crid=PQ1LRAX71511&amp;dib=eyJ2IjoiMSJ9.2YQg6y0gnC9oQ0PBw8VZvFAxwHsQqYy7qikCa-8uNSn2XewsysChLIoSHF1eboCF.Pvn_v5I9m9su8l8prxJxXdfPW4P2Bck1Uw21c22DpZc&amp;dib_tag=se&amp;keywords=3600531609771&amp;qid=1750016461&amp;s=beauty&amp;sprefix=3600531609771%2Cbeauty%2C71&amp;sr=1-1&amp;th=1</t>
        </is>
      </c>
      <c r="L296" s="14" t="inlineStr">
        <is>
          <t>B08HLSL2FV</t>
        </is>
      </c>
      <c r="M296" s="15" t="n">
        <v>14.08</v>
      </c>
      <c r="N296" s="15" t="n"/>
      <c r="O296" s="15" t="n">
        <v>13.87</v>
      </c>
      <c r="P296" s="15">
        <f>O296/1.19</f>
        <v/>
      </c>
      <c r="Q296" s="15">
        <f>O296-P296</f>
        <v/>
      </c>
      <c r="R296" s="15">
        <f>O296*0.15</f>
        <v/>
      </c>
      <c r="S296" s="15" t="n">
        <v>5.79</v>
      </c>
      <c r="T296" s="15">
        <f>S296*0.2</f>
        <v/>
      </c>
      <c r="U296" s="15" t="n">
        <v>0.400000000000002</v>
      </c>
      <c r="V296" s="15" t="n">
        <v>2.15</v>
      </c>
      <c r="W296" s="15">
        <f>V296*0.2</f>
        <v/>
      </c>
      <c r="X296" s="21">
        <f>O296-Q296-R296-S296-U296-V296+T296+W296</f>
        <v/>
      </c>
      <c r="Y296" s="14" t="n"/>
      <c r="Z296" s="15">
        <f>O296+1.5</f>
        <v/>
      </c>
      <c r="AA296" s="15" t="n"/>
      <c r="AB296" s="15" t="n"/>
      <c r="AC296" s="14" t="n"/>
      <c r="AD296" s="14" t="n"/>
      <c r="AE296" s="13" t="inlineStr">
        <is>
          <t>NOT_UPLOADED</t>
        </is>
      </c>
    </row>
    <row r="297" ht="16" customHeight="1">
      <c r="A297" s="17" t="n">
        <v>3600531609726</v>
      </c>
      <c r="B297" s="17" t="n">
        <v>3600531609726</v>
      </c>
      <c r="C297" s="13" t="n"/>
      <c r="D297" s="18" t="n"/>
      <c r="E297" s="18" t="inlineStr">
        <is>
          <t>FOR-3600531609726</t>
        </is>
      </c>
      <c r="F297" s="17" t="inlineStr">
        <is>
          <t>M5013</t>
        </is>
      </c>
      <c r="G297" s="18" t="inlineStr">
        <is>
          <t>Fortuna</t>
        </is>
      </c>
      <c r="H297" s="18" t="inlineStr">
        <is>
          <t>Maybelline</t>
        </is>
      </c>
      <c r="I297" s="18" t="inlineStr">
        <is>
          <t>Maybelline New York Glänzender Lipgloss für voller wirkende Lippen, Feuchtigkeitsspendend, Mit Hyaluronsäure, Lifter Gloss, Farbe: Nr. 004 Silk (Rosa), 1 x 5,4 ml</t>
        </is>
      </c>
      <c r="J297" s="18" t="inlineStr">
        <is>
          <t>No</t>
        </is>
      </c>
      <c r="K297" s="18" t="inlineStr">
        <is>
          <t>https://www.amazon.de/Maybelline-New-York-Feuchtigkeitsspendend-Hyalurons%C3%A4ure/dp/B082XRRPK9/ref=sr_1_1?__mk_de_DE=%C3%85M%C3%85%C5%BD%C3%95%C3%91&amp;crid=3DWTSQR82A8PI&amp;dib=eyJ2IjoiMSJ9.6Sl0DFnUQXuyhbxRoBCfmA.GF7195mG0g3cGYBn1I800ykH4HNStj76T408Zz_NjfE&amp;dib_tag=se&amp;keywords=3600531609726&amp;qid=1750016594&amp;s=beauty&amp;sprefix=3600531609726%2Cbeauty%2C66&amp;sr=1-1&amp;th=1</t>
        </is>
      </c>
      <c r="L297" s="18" t="inlineStr">
        <is>
          <t>B082XRRPK9</t>
        </is>
      </c>
      <c r="M297" s="19" t="n">
        <v>14.08</v>
      </c>
      <c r="N297" s="19" t="n"/>
      <c r="O297" s="19" t="n">
        <v>13.87</v>
      </c>
      <c r="P297" s="19">
        <f>O297/1.19</f>
        <v/>
      </c>
      <c r="Q297" s="19">
        <f>O297-P297</f>
        <v/>
      </c>
      <c r="R297" s="19">
        <f>O297*0.15</f>
        <v/>
      </c>
      <c r="S297" s="19" t="n">
        <v>5.79</v>
      </c>
      <c r="T297" s="19">
        <f>S297*0.2</f>
        <v/>
      </c>
      <c r="U297" s="19" t="n">
        <v>0.400000000000002</v>
      </c>
      <c r="V297" s="19" t="n">
        <v>2.15</v>
      </c>
      <c r="W297" s="19">
        <f>V297*0.2</f>
        <v/>
      </c>
      <c r="X297" s="21">
        <f>O297-Q297-R297-S297-U297-V297+T297+W297</f>
        <v/>
      </c>
      <c r="Y297" s="18" t="n"/>
      <c r="Z297" s="19">
        <f>O297+1.5</f>
        <v/>
      </c>
      <c r="AA297" s="19" t="n"/>
      <c r="AB297" s="19" t="n"/>
      <c r="AC297" s="18" t="n"/>
      <c r="AD297" s="18" t="n"/>
      <c r="AE297" s="13" t="inlineStr">
        <is>
          <t>NOT_UPLOADED</t>
        </is>
      </c>
    </row>
    <row r="298" ht="16" customHeight="1">
      <c r="A298" s="12" t="n">
        <v>3600531609740</v>
      </c>
      <c r="B298" s="12" t="n">
        <v>3600531609740</v>
      </c>
      <c r="C298" s="13" t="n"/>
      <c r="D298" s="14" t="n"/>
      <c r="E298" s="14" t="inlineStr">
        <is>
          <t>FOR-3600531609740</t>
        </is>
      </c>
      <c r="F298" s="12" t="inlineStr">
        <is>
          <t>M5014</t>
        </is>
      </c>
      <c r="G298" s="14" t="inlineStr">
        <is>
          <t>Fortuna</t>
        </is>
      </c>
      <c r="H298" s="14" t="inlineStr">
        <is>
          <t>Maybelline</t>
        </is>
      </c>
      <c r="I298" s="14" t="inlineStr">
        <is>
          <t>Maybelline New York Glänzender Lipgloss für voller wirkende Lippen, Feuchtigkeitsspendend, Mit Hyaluronsäure, Lifter Gloss, Farbe: Nr. 006 Reef (Rosa), 1 x 5,4 ml</t>
        </is>
      </c>
      <c r="J298" s="14" t="inlineStr">
        <is>
          <t>No</t>
        </is>
      </c>
      <c r="K298" s="14" t="inlineStr">
        <is>
          <t>https://www.amazon.de/Maybelline-New-York-Feuchtigkeitsspendend-Hyalurons%C3%A4ure/dp/B082XRC4DC/ref=sr_1_1?__mk_de_DE=%C3%85M%C3%85%C5%BD%C3%95%C3%91&amp;crid=3VYV8YE1BCZPR&amp;dib=eyJ2IjoiMSJ9.wLhdU6Xr8YMIADOAmw99cGqkmYjdJicG_NlBpH-8jwq8JgB6wPtsCTy4olCIYAou.6Reeo7JTGvEeBXUlwENbVCzed6O3ATUtbG453qzrJuo&amp;dib_tag=se&amp;keywords=3600531609740&amp;qid=1750016701&amp;rdc=1&amp;s=beauty&amp;sprefix=3600531609740%2Cbeauty%2C134&amp;sr=1-1&amp;th=1</t>
        </is>
      </c>
      <c r="L298" s="14" t="inlineStr">
        <is>
          <t>B082XRC4DC</t>
        </is>
      </c>
      <c r="M298" s="15" t="n">
        <v>14.08</v>
      </c>
      <c r="N298" s="15" t="n"/>
      <c r="O298" s="15" t="n">
        <v>13.6</v>
      </c>
      <c r="P298" s="15">
        <f>O298/1.19</f>
        <v/>
      </c>
      <c r="Q298" s="15">
        <f>O298-P298</f>
        <v/>
      </c>
      <c r="R298" s="15">
        <f>O298*0.15</f>
        <v/>
      </c>
      <c r="S298" s="15" t="n">
        <v>5.79</v>
      </c>
      <c r="T298" s="15">
        <f>S298*0.2</f>
        <v/>
      </c>
      <c r="U298" s="15" t="n">
        <v>0.400000000000002</v>
      </c>
      <c r="V298" s="15" t="n">
        <v>2.15</v>
      </c>
      <c r="W298" s="15">
        <f>V298*0.2</f>
        <v/>
      </c>
      <c r="X298" s="21">
        <f>O298-Q298-R298-S298-U298-V298+T298+W298</f>
        <v/>
      </c>
      <c r="Y298" s="14" t="n"/>
      <c r="Z298" s="15">
        <f>O298+1.5</f>
        <v/>
      </c>
      <c r="AA298" s="15" t="n"/>
      <c r="AB298" s="15" t="n"/>
      <c r="AC298" s="14" t="n"/>
      <c r="AD298" s="14" t="n"/>
      <c r="AE298" s="13" t="inlineStr">
        <is>
          <t>NOT_UPLOADED</t>
        </is>
      </c>
    </row>
    <row r="299" ht="16" customHeight="1">
      <c r="A299" s="17" t="n">
        <v>3600531609825</v>
      </c>
      <c r="B299" s="17" t="n">
        <v>3600531609740</v>
      </c>
      <c r="C299" s="13" t="n"/>
      <c r="D299" s="18" t="n"/>
      <c r="E299" s="18" t="inlineStr">
        <is>
          <t>FOR-3600531609825</t>
        </is>
      </c>
      <c r="F299" s="17" t="inlineStr">
        <is>
          <t>M5014</t>
        </is>
      </c>
      <c r="G299" s="18" t="inlineStr">
        <is>
          <t>Fortuna</t>
        </is>
      </c>
      <c r="H299" s="18" t="inlineStr">
        <is>
          <t>Maybelline</t>
        </is>
      </c>
      <c r="I299" s="18" t="inlineStr">
        <is>
          <t>Maybelline New York Lifter Gloss, Plumping &amp; Hydrating Lip Gloss mit Hyaluronsäure, 5,4 ml, Farbton: 006, Reef</t>
        </is>
      </c>
      <c r="J299" s="18" t="inlineStr">
        <is>
          <t>No</t>
        </is>
      </c>
      <c r="K299" s="18" t="inlineStr">
        <is>
          <t>https://www.amazon.de/Maybelline-Plumping-Hydrating-Hyalurons%C3%A4ure-Farbton/dp/B08XXQP3WT/ref=sr_1_1?__mk_de_DE=%C3%85M%C3%85%C5%BD%C3%95%C3%91&amp;crid=1EZKPXH9KXSC4&amp;dib=eyJ2IjoiMSJ9.RHWh69DwtTaAa_Pv-FLJOg.kiRxTs_vpItcudzb75ZKFPbuTcsa8kpVX8bBuiHgcfk&amp;dib_tag=se&amp;keywords=B08XXQP3WT&amp;qid=1760388189&amp;s=beauty&amp;sprefix=b08xxqp3wt%2Cbeauty%2C137&amp;sr=1-1</t>
        </is>
      </c>
      <c r="L299" s="18" t="inlineStr">
        <is>
          <t>B08XXQP3WT</t>
        </is>
      </c>
      <c r="M299" s="19" t="n"/>
      <c r="N299" s="19" t="n"/>
      <c r="O299" s="19" t="n">
        <v>13.8</v>
      </c>
      <c r="P299" s="19">
        <f>O299/1.19</f>
        <v/>
      </c>
      <c r="Q299" s="19">
        <f>O299-P299</f>
        <v/>
      </c>
      <c r="R299" s="19">
        <f>O299*0.15</f>
        <v/>
      </c>
      <c r="S299" s="19" t="n">
        <v>5.79</v>
      </c>
      <c r="T299" s="19">
        <f>S299*0.2</f>
        <v/>
      </c>
      <c r="U299" s="19" t="n">
        <v>0.400000000000002</v>
      </c>
      <c r="V299" s="19" t="n">
        <v>2.15</v>
      </c>
      <c r="W299" s="19">
        <f>V299*0.2</f>
        <v/>
      </c>
      <c r="X299" s="21">
        <f>O299-Q299-R299-S299-U299-V299+T299+W299</f>
        <v/>
      </c>
      <c r="Y299" s="18" t="n"/>
      <c r="Z299" s="19">
        <f>O299+1.5</f>
        <v/>
      </c>
      <c r="AA299" s="19" t="n"/>
      <c r="AB299" s="19" t="n"/>
      <c r="AC299" s="18" t="n"/>
      <c r="AD299" s="18" t="n"/>
      <c r="AE299" s="13" t="inlineStr">
        <is>
          <t>NOT_UPLOADED</t>
        </is>
      </c>
    </row>
    <row r="300" ht="16" customHeight="1">
      <c r="A300" s="12" t="n">
        <v>3600531609696</v>
      </c>
      <c r="B300" s="12" t="n">
        <v>3600531609696</v>
      </c>
      <c r="C300" s="13" t="n"/>
      <c r="D300" s="14" t="n"/>
      <c r="E300" s="14" t="inlineStr">
        <is>
          <t>FOR-3600531609696</t>
        </is>
      </c>
      <c r="F300" s="12" t="inlineStr">
        <is>
          <t>M5015</t>
        </is>
      </c>
      <c r="G300" s="14" t="inlineStr">
        <is>
          <t>Fortuna</t>
        </is>
      </c>
      <c r="H300" s="14" t="inlineStr">
        <is>
          <t>Maybelline</t>
        </is>
      </c>
      <c r="I300" s="14" t="inlineStr">
        <is>
          <t>Maybelline New York Glänzender Lipgloss für voller wirkende Lippen, Feuchtigkeitsspendend, Mit Hyaluronsäure, Lifter Gloss, Farbe: Nr. 009 Topaz (Beige), 1 x 5,4 ml</t>
        </is>
      </c>
      <c r="J300" s="14" t="inlineStr">
        <is>
          <t>No</t>
        </is>
      </c>
      <c r="K300" s="14" t="inlineStr">
        <is>
          <t>https://www.amazon.de/Maybelline-Gl%C3%A4nzender-Lipgloss-Feuchtigkeitsspendend-Hyalurons%C3%A4ure/dp/B08XXSYKL1/ref=sr_1_1?dib=eyJ2IjoiMSJ9.YRONbK6Dk5Z6owpy5ge0AuilB5Mhg8ggjd-4R7irq6o.__QVSs0oGw3OYAzA2-tBc-91dxGAWxBGmtSIGz2T1GI&amp;dib_tag=se&amp;keywords=3600531609696&amp;qid=1750017217&amp;sr=8-1&amp;th=1</t>
        </is>
      </c>
      <c r="L300" s="14" t="inlineStr">
        <is>
          <t>B08XXSYKL1</t>
        </is>
      </c>
      <c r="M300" s="15" t="n"/>
      <c r="N300" s="15" t="n"/>
      <c r="O300" s="15" t="n">
        <v>13.87</v>
      </c>
      <c r="P300" s="15">
        <f>O300/1.19</f>
        <v/>
      </c>
      <c r="Q300" s="15">
        <f>O300-P300</f>
        <v/>
      </c>
      <c r="R300" s="15">
        <f>O300*0.15</f>
        <v/>
      </c>
      <c r="S300" s="15" t="n">
        <v>5.79</v>
      </c>
      <c r="T300" s="15">
        <f>S300*0.2</f>
        <v/>
      </c>
      <c r="U300" s="15" t="n">
        <v>0.400000000000002</v>
      </c>
      <c r="V300" s="15" t="n">
        <v>2.15</v>
      </c>
      <c r="W300" s="15">
        <f>V300*0.2</f>
        <v/>
      </c>
      <c r="X300" s="21">
        <f>O300-Q300-R300-S300-U300-V300+T300+W300</f>
        <v/>
      </c>
      <c r="Y300" s="14" t="n"/>
      <c r="Z300" s="15">
        <f>O300+1.5</f>
        <v/>
      </c>
      <c r="AA300" s="15" t="n"/>
      <c r="AB300" s="15" t="n"/>
      <c r="AC300" s="14" t="n"/>
      <c r="AD300" s="14" t="n"/>
      <c r="AE300" s="13" t="inlineStr">
        <is>
          <t>NOT_UPLOADED</t>
        </is>
      </c>
    </row>
    <row r="301" ht="16" customHeight="1">
      <c r="A301" s="17" t="n">
        <v>3600531609696</v>
      </c>
      <c r="B301" s="17" t="n">
        <v>3600531609696</v>
      </c>
      <c r="C301" s="13" t="n"/>
      <c r="D301" s="18" t="n"/>
      <c r="E301" s="18" t="inlineStr">
        <is>
          <t>FOR-36005316096961</t>
        </is>
      </c>
      <c r="F301" s="17" t="inlineStr">
        <is>
          <t>M5015</t>
        </is>
      </c>
      <c r="G301" s="18" t="inlineStr">
        <is>
          <t>Fortuna</t>
        </is>
      </c>
      <c r="H301" s="18" t="inlineStr">
        <is>
          <t>Maybelline</t>
        </is>
      </c>
      <c r="I301" s="18" t="inlineStr">
        <is>
          <t>Maybelline Compatible - Lifter Gloss - 09 Topaz, 5 ml (1er Pack)</t>
        </is>
      </c>
      <c r="J301" s="18" t="inlineStr">
        <is>
          <t>No</t>
        </is>
      </c>
      <c r="K301" s="18" t="inlineStr">
        <is>
          <t>https://www.amazon.de/Lifter-Gloss-Nr-09-Topaz/dp/B09PZFJSLD/ref=sr_1_1?__mk_de_DE=%C3%85M%C3%85%C5%BD%C3%95%C3%91&amp;crid=1GDR9XX13J07N&amp;dib=eyJ2IjoiMSJ9.0HZrW6DYIrMiOvNX2mNzyQ.QqyNI6B6pIjEvMGkDIkA9bIGnI4hukeoW-52jYjUuws&amp;dib_tag=se&amp;keywords=B09PZFJSLD&amp;qid=1760388576&amp;s=beauty&amp;sprefix=b09pzfjsld%2Cbeauty%2C127&amp;sr=1-1</t>
        </is>
      </c>
      <c r="L301" s="18" t="inlineStr">
        <is>
          <t>B09PZFJSLD</t>
        </is>
      </c>
      <c r="M301" s="19" t="n"/>
      <c r="N301" s="19" t="n"/>
      <c r="O301" s="19" t="n">
        <v>13.8</v>
      </c>
      <c r="P301" s="19">
        <f>O301/1.19</f>
        <v/>
      </c>
      <c r="Q301" s="19">
        <f>O301-P301</f>
        <v/>
      </c>
      <c r="R301" s="19">
        <f>O301*0.15</f>
        <v/>
      </c>
      <c r="S301" s="19" t="n">
        <v>5.79</v>
      </c>
      <c r="T301" s="19">
        <f>S301*0.2</f>
        <v/>
      </c>
      <c r="U301" s="19" t="n">
        <v>0.400000000000002</v>
      </c>
      <c r="V301" s="19" t="n">
        <v>2.15</v>
      </c>
      <c r="W301" s="19">
        <f>V301*0.2</f>
        <v/>
      </c>
      <c r="X301" s="21">
        <f>O301-Q301-R301-S301-U301-V301+T301+W301</f>
        <v/>
      </c>
      <c r="Y301" s="18" t="n"/>
      <c r="Z301" s="19">
        <f>O301+1.5</f>
        <v/>
      </c>
      <c r="AA301" s="19" t="n"/>
      <c r="AB301" s="19" t="n"/>
      <c r="AC301" s="18" t="n"/>
      <c r="AD301" s="18" t="n"/>
      <c r="AE301" s="13" t="inlineStr">
        <is>
          <t>NOT_UPLOADED</t>
        </is>
      </c>
    </row>
    <row r="302" ht="16" customHeight="1">
      <c r="A302" s="12" t="n">
        <v>3600531609733</v>
      </c>
      <c r="B302" s="12" t="n">
        <v>3600531609733</v>
      </c>
      <c r="C302" s="13" t="n"/>
      <c r="D302" s="14" t="n"/>
      <c r="E302" s="14" t="inlineStr">
        <is>
          <t>FOR-3600531609733</t>
        </is>
      </c>
      <c r="F302" s="12" t="inlineStr">
        <is>
          <t>M5016</t>
        </is>
      </c>
      <c r="G302" s="14" t="inlineStr">
        <is>
          <t>Fortuna</t>
        </is>
      </c>
      <c r="H302" s="14" t="inlineStr">
        <is>
          <t>Maybelline</t>
        </is>
      </c>
      <c r="I302" s="14" t="inlineStr">
        <is>
          <t>Maybelline New York Glänzender Lipgloss für voller wirkende Lippen, Feuchtigkeitsspendend, Mit Hyaluronsäure, Lifter Gloss, Farbe: Nr. 005 Petal (Pink), 1 x 5,4 ml</t>
        </is>
      </c>
      <c r="J302" s="14" t="inlineStr">
        <is>
          <t>No</t>
        </is>
      </c>
      <c r="K302" s="14" t="inlineStr">
        <is>
          <t>https://www.amazon.de/Maybelline-New-York-Feuchtigkeitsspendend-Hyalurons%C3%A4ure/dp/B08XXQSDTH/ref=sr_1_1?__mk_de_DE=%C3%85M%C3%85%C5%BD%C3%95%C3%91&amp;crid=1VYE0Z85GS3AP&amp;dib=eyJ2IjoiMSJ9.yZ_jGBqo47I--l_ZAaSoOeok-Uer8B5CW4snCzKAm_Q.pACdsgW8-qE_TZbumHCJhqRuw5S-0gDCZ3oGPPpINI4&amp;dib_tag=se&amp;keywords=3600531609733&amp;qid=1750017342&amp;sprefix=3600531609733%2Caps%2C73&amp;sr=8-1&amp;th=1</t>
        </is>
      </c>
      <c r="L302" s="14" t="inlineStr">
        <is>
          <t>B08XXQSDTH</t>
        </is>
      </c>
      <c r="M302" s="15" t="n">
        <v>14.08</v>
      </c>
      <c r="N302" s="15" t="n"/>
      <c r="O302" s="15" t="n">
        <v>13.87</v>
      </c>
      <c r="P302" s="15">
        <f>O302/1.19</f>
        <v/>
      </c>
      <c r="Q302" s="15">
        <f>O302-P302</f>
        <v/>
      </c>
      <c r="R302" s="15">
        <f>O302*0.15</f>
        <v/>
      </c>
      <c r="S302" s="15" t="n">
        <v>5.79</v>
      </c>
      <c r="T302" s="15">
        <f>S302*0.2</f>
        <v/>
      </c>
      <c r="U302" s="15" t="n">
        <v>0.400000000000002</v>
      </c>
      <c r="V302" s="15" t="n">
        <v>2.15</v>
      </c>
      <c r="W302" s="15">
        <f>V302*0.2</f>
        <v/>
      </c>
      <c r="X302" s="21">
        <f>O302-Q302-R302-S302-U302-V302+T302+W302</f>
        <v/>
      </c>
      <c r="Y302" s="14" t="n"/>
      <c r="Z302" s="15">
        <f>O302+1.5</f>
        <v/>
      </c>
      <c r="AA302" s="15" t="n"/>
      <c r="AB302" s="15" t="n"/>
      <c r="AC302" s="14" t="n"/>
      <c r="AD302" s="14" t="n"/>
      <c r="AE302" s="13" t="inlineStr">
        <is>
          <t>NOT_UPLOADED</t>
        </is>
      </c>
    </row>
    <row r="303" ht="16" customHeight="1">
      <c r="A303" s="17" t="n">
        <v>3600531609733</v>
      </c>
      <c r="B303" s="17" t="n">
        <v>3600531609733</v>
      </c>
      <c r="C303" s="13" t="n"/>
      <c r="D303" s="18" t="n"/>
      <c r="E303" s="18" t="inlineStr">
        <is>
          <t>FOR-36005316097331</t>
        </is>
      </c>
      <c r="F303" s="17" t="inlineStr">
        <is>
          <t>M5016</t>
        </is>
      </c>
      <c r="G303" s="18" t="inlineStr">
        <is>
          <t>Fortuna</t>
        </is>
      </c>
      <c r="H303" s="18" t="inlineStr">
        <is>
          <t>Maybelline</t>
        </is>
      </c>
      <c r="I303" s="18" t="inlineStr">
        <is>
          <t>Lifter Gloss</t>
        </is>
      </c>
      <c r="J303" s="18" t="inlineStr">
        <is>
          <t>No</t>
        </is>
      </c>
      <c r="K303" s="18" t="inlineStr">
        <is>
          <t>https://www.amazon.de/Maybelline-Lifter-Gloss-05-Petal/dp/B09PZ9J45G/ref=sr_1_1?__mk_de_DE=%C3%85M%C3%85%C5%BD%C3%95%C3%91&amp;crid=1FBU1W4797W27&amp;dib=eyJ2IjoiMSJ9._utkn2EaaVhMzDRv9ANuUQ.qssvrEuSghsgnfjRcyBKKbU3qjSq324c-AJzuqNc5lE&amp;dib_tag=se&amp;keywords=B09PZ9J45G&amp;qid=1760388920&amp;s=beauty&amp;sprefix=b09pz9j45g%2Cbeauty%2C97&amp;sr=1-1</t>
        </is>
      </c>
      <c r="L303" s="18" t="inlineStr">
        <is>
          <t>B09PZ9J45G</t>
        </is>
      </c>
      <c r="M303" s="19" t="n"/>
      <c r="N303" s="19" t="n"/>
      <c r="O303" s="19" t="n">
        <v>13.8</v>
      </c>
      <c r="P303" s="19">
        <f>O303/1.19</f>
        <v/>
      </c>
      <c r="Q303" s="19">
        <f>O303-P303</f>
        <v/>
      </c>
      <c r="R303" s="19">
        <f>O303*0.15</f>
        <v/>
      </c>
      <c r="S303" s="19" t="n">
        <v>5.79</v>
      </c>
      <c r="T303" s="19">
        <f>S303*0.2</f>
        <v/>
      </c>
      <c r="U303" s="19" t="n">
        <v>0.400000000000002</v>
      </c>
      <c r="V303" s="19" t="n">
        <v>2.15</v>
      </c>
      <c r="W303" s="19">
        <f>V303*0.2</f>
        <v/>
      </c>
      <c r="X303" s="21">
        <f>O303-Q303-R303-S303-U303-V303+T303+W303</f>
        <v/>
      </c>
      <c r="Y303" s="18" t="n"/>
      <c r="Z303" s="19">
        <f>O303+1.5</f>
        <v/>
      </c>
      <c r="AA303" s="19" t="n"/>
      <c r="AB303" s="19" t="n"/>
      <c r="AC303" s="18" t="n"/>
      <c r="AD303" s="18" t="n"/>
      <c r="AE303" s="13" t="inlineStr">
        <is>
          <t>NOT_UPLOADED</t>
        </is>
      </c>
    </row>
    <row r="304" ht="16" customHeight="1">
      <c r="A304" s="12" t="n">
        <v>3600531609719</v>
      </c>
      <c r="B304" s="12" t="n">
        <v>3600531609719</v>
      </c>
      <c r="C304" s="13" t="n"/>
      <c r="D304" s="14" t="n"/>
      <c r="E304" s="14" t="inlineStr">
        <is>
          <t>FOR-3600531609719</t>
        </is>
      </c>
      <c r="F304" s="12" t="inlineStr">
        <is>
          <t>M5017</t>
        </is>
      </c>
      <c r="G304" s="14" t="inlineStr">
        <is>
          <t>Fortuna</t>
        </is>
      </c>
      <c r="H304" s="14" t="inlineStr">
        <is>
          <t>Maybelline</t>
        </is>
      </c>
      <c r="I304" s="14" t="inlineStr">
        <is>
          <t>Maybelline New York Glänzender Lipgloss für voller wirkende Lippen, Feuchtigkeitsspendend, Mit Hyaluronsäure, Lifter Gloss, Farbe: Nr. 008 Stone (Braun), 1 x 5,4 ml</t>
        </is>
      </c>
      <c r="J304" s="14" t="inlineStr">
        <is>
          <t>No</t>
        </is>
      </c>
      <c r="K304" s="14" t="inlineStr">
        <is>
          <t>https://www.amazon.de/Maybelline-New-York-Feuchtigkeitsspendend-Hyalurons%C3%A4ure/dp/B08XXRK9BS/ref=sr_1_1?__mk_de_DE=%C3%85M%C3%85%C5%BD%C3%95%C3%91&amp;crid=KLHXQ3SFGG86&amp;dib=eyJ2IjoiMSJ9.Msb2C1MFeo4aZuGZHUooK50xHEhEfMi3U1zk2E4s0GI.ahjVZkKsJD6tFbljvSqIqA-fU7GweiaV_SAiJU6R_4g&amp;dib_tag=se&amp;keywords=3600531609719&amp;qid=1750017455&amp;sprefix=3600531609719%2Caps%2C66&amp;sr=8-1&amp;th=1</t>
        </is>
      </c>
      <c r="L304" s="14" t="inlineStr">
        <is>
          <t>B08XXRK9BS</t>
        </is>
      </c>
      <c r="M304" s="15" t="n">
        <v>14.08</v>
      </c>
      <c r="N304" s="15" t="n"/>
      <c r="O304" s="15" t="n">
        <v>13.87</v>
      </c>
      <c r="P304" s="15">
        <f>O304/1.19</f>
        <v/>
      </c>
      <c r="Q304" s="15">
        <f>O304-P304</f>
        <v/>
      </c>
      <c r="R304" s="15">
        <f>O304*0.15</f>
        <v/>
      </c>
      <c r="S304" s="15" t="n">
        <v>5.79</v>
      </c>
      <c r="T304" s="15">
        <f>S304*0.2</f>
        <v/>
      </c>
      <c r="U304" s="15" t="n">
        <v>0.400000000000002</v>
      </c>
      <c r="V304" s="15" t="n">
        <v>2.15</v>
      </c>
      <c r="W304" s="15">
        <f>V304*0.2</f>
        <v/>
      </c>
      <c r="X304" s="21">
        <f>O304-Q304-R304-S304-U304-V304+T304+W304</f>
        <v/>
      </c>
      <c r="Y304" s="14" t="n"/>
      <c r="Z304" s="15">
        <f>O304+1.5</f>
        <v/>
      </c>
      <c r="AA304" s="15" t="n"/>
      <c r="AB304" s="15" t="n"/>
      <c r="AC304" s="14" t="n"/>
      <c r="AD304" s="14" t="n"/>
      <c r="AE304" s="13" t="inlineStr">
        <is>
          <t>NOT_UPLOADED</t>
        </is>
      </c>
    </row>
    <row r="305" ht="16" customHeight="1">
      <c r="A305" s="17" t="n">
        <v>30148116</v>
      </c>
      <c r="B305" s="17" t="n">
        <v>30148116</v>
      </c>
      <c r="C305" s="13" t="n"/>
      <c r="D305" s="18" t="n"/>
      <c r="E305" s="18" t="inlineStr">
        <is>
          <t>FOR-30148116</t>
        </is>
      </c>
      <c r="F305" s="17" t="inlineStr">
        <is>
          <t>M5100</t>
        </is>
      </c>
      <c r="G305" s="18" t="inlineStr">
        <is>
          <t>Fortuna</t>
        </is>
      </c>
      <c r="H305" s="18" t="inlineStr">
        <is>
          <t>Maybelline</t>
        </is>
      </c>
      <c r="I305" s="18" t="inlineStr">
        <is>
          <t>Maybelline New York flüssiger Lippenstift, Liquid Lipstick mit 16 Stunden Halt und glänzendem Finish, Super Stay Vinyl Ink, Nr. 15 Peachy, 4,2 ml</t>
        </is>
      </c>
      <c r="J305" s="18" t="inlineStr">
        <is>
          <t>No</t>
        </is>
      </c>
      <c r="K305" s="18" t="inlineStr">
        <is>
          <t>https://www.amazon.de/Maybelline-New-York-Lippenstift-gl%C3%A4nzendem/dp/B09NQG6J5V/ref=sr_1_1?__mk_de_DE=%C3%85M%C3%85%C5%BD%C3%95%C3%91&amp;crid=1T2J31XOX08VZ&amp;dib=eyJ2IjoiMSJ9.c6Mjm39lBtxf4os2p7dX6w.BAUhQ3lSueOlybhmcE6dlC_NKbhCcT1q1YDSpPNpD6g&amp;dib_tag=se&amp;keywords=000030148116&amp;qid=1750017559&amp;rdc=1&amp;sprefix=000030148116%2Caps%2C79&amp;sr=8-1&amp;th=1</t>
        </is>
      </c>
      <c r="L305" s="18" t="inlineStr">
        <is>
          <t>B09NQG6J5V</t>
        </is>
      </c>
      <c r="M305" s="19" t="n">
        <v>18.84</v>
      </c>
      <c r="N305" s="19" t="n"/>
      <c r="O305" s="19" t="n">
        <v>17.99</v>
      </c>
      <c r="P305" s="19">
        <f>O305/1.19</f>
        <v/>
      </c>
      <c r="Q305" s="19">
        <f>O305-P305</f>
        <v/>
      </c>
      <c r="R305" s="19">
        <f>O305*0.15</f>
        <v/>
      </c>
      <c r="S305" s="19" t="n">
        <v>8.859999999999999</v>
      </c>
      <c r="T305" s="19">
        <f>S305*0.2</f>
        <v/>
      </c>
      <c r="U305" s="19" t="n">
        <v>0.400000000000002</v>
      </c>
      <c r="V305" s="19" t="n">
        <v>2.15</v>
      </c>
      <c r="W305" s="19">
        <f>V305*0.2</f>
        <v/>
      </c>
      <c r="X305" s="21">
        <f>O305-Q305-R305-S305-U305-V305+T305+W305</f>
        <v/>
      </c>
      <c r="Y305" s="18" t="n"/>
      <c r="Z305" s="19">
        <f>O305+1.5</f>
        <v/>
      </c>
      <c r="AA305" s="19" t="n"/>
      <c r="AB305" s="19" t="n"/>
      <c r="AC305" s="18" t="n"/>
      <c r="AD305" s="18" t="n"/>
      <c r="AE305" s="13" t="inlineStr">
        <is>
          <t>NOT_UPLOADED</t>
        </is>
      </c>
    </row>
    <row r="306" ht="16" customHeight="1">
      <c r="A306" s="12" t="n">
        <v>30145535</v>
      </c>
      <c r="B306" s="12" t="n">
        <v>30145535</v>
      </c>
      <c r="C306" s="13" t="n"/>
      <c r="D306" s="14" t="n"/>
      <c r="E306" s="14" t="inlineStr">
        <is>
          <t>FOR-30145535</t>
        </is>
      </c>
      <c r="F306" s="12" t="inlineStr">
        <is>
          <t>M5101</t>
        </is>
      </c>
      <c r="G306" s="14" t="inlineStr">
        <is>
          <t>Fortuna</t>
        </is>
      </c>
      <c r="H306" s="14" t="inlineStr">
        <is>
          <t>Maybelline</t>
        </is>
      </c>
      <c r="I306" s="14" t="inlineStr">
        <is>
          <t>Maybelline New York flüssiger Lippenstift, Liquid Lipstick mit 16 Stunden Halt und glänzendem Finish, Super Stay Vinyl Ink, Nr. 20 Coy, 4,2 ml</t>
        </is>
      </c>
      <c r="J306" s="14" t="inlineStr">
        <is>
          <t>No</t>
        </is>
      </c>
      <c r="K306" s="14" t="inlineStr">
        <is>
          <t>https://www.amazon.de/Maybelline-New-York-Lippenstift-gl%C3%A4nzendem/dp/B09NQH1P4S/ref=sr_1_1?__mk_de_DE=%C3%85M%C3%85%C5%BD%C3%95%C3%91&amp;crid=17NWSONGNENAH&amp;dib=eyJ2IjoiMSJ9.r4kP0FBi-CxPKs5j1To-WA.l5pjzbGWx9PCN1KHYOZreO6-zlWKgWBeDgks8zjzneg&amp;dib_tag=se&amp;keywords=000030145535&amp;qid=1750017787&amp;rdc=1&amp;sprefix=000030145535%2Caps%2C96&amp;sr=8-1&amp;th=1</t>
        </is>
      </c>
      <c r="L306" s="14" t="inlineStr">
        <is>
          <t>B09NQH1P4S</t>
        </is>
      </c>
      <c r="M306" s="15" t="n">
        <v>18.84</v>
      </c>
      <c r="N306" s="15" t="n"/>
      <c r="O306" s="15" t="n">
        <v>17.99</v>
      </c>
      <c r="P306" s="15">
        <f>O306/1.19</f>
        <v/>
      </c>
      <c r="Q306" s="15">
        <f>O306-P306</f>
        <v/>
      </c>
      <c r="R306" s="15">
        <f>O306*0.15</f>
        <v/>
      </c>
      <c r="S306" s="15" t="n">
        <v>8.859999999999999</v>
      </c>
      <c r="T306" s="15">
        <f>S306*0.2</f>
        <v/>
      </c>
      <c r="U306" s="15" t="n">
        <v>0.400000000000002</v>
      </c>
      <c r="V306" s="15" t="n">
        <v>2.15</v>
      </c>
      <c r="W306" s="15">
        <f>V306*0.2</f>
        <v/>
      </c>
      <c r="X306" s="21">
        <f>O306-Q306-R306-S306-U306-V306+T306+W306</f>
        <v/>
      </c>
      <c r="Y306" s="14" t="n"/>
      <c r="Z306" s="15">
        <f>O306+1.5</f>
        <v/>
      </c>
      <c r="AA306" s="15" t="n"/>
      <c r="AB306" s="15" t="n"/>
      <c r="AC306" s="14" t="n"/>
      <c r="AD306" s="14" t="n"/>
      <c r="AE306" s="13" t="inlineStr">
        <is>
          <t>NOT_UPLOADED</t>
        </is>
      </c>
    </row>
    <row r="307" ht="16" customHeight="1">
      <c r="A307" s="17" t="n">
        <v>30153219</v>
      </c>
      <c r="B307" s="17" t="n">
        <v>30153219</v>
      </c>
      <c r="C307" s="13" t="n"/>
      <c r="D307" s="18" t="n"/>
      <c r="E307" s="18" t="inlineStr">
        <is>
          <t>FOR-30153219</t>
        </is>
      </c>
      <c r="F307" s="17" t="inlineStr">
        <is>
          <t>M5102</t>
        </is>
      </c>
      <c r="G307" s="18" t="inlineStr">
        <is>
          <t>Fortuna</t>
        </is>
      </c>
      <c r="H307" s="18" t="inlineStr">
        <is>
          <t>Maybelline</t>
        </is>
      </c>
      <c r="I307" s="18" t="inlineStr">
        <is>
          <t>Maybelline New York flüssiger Lippenstift, Liquid Lipstick mit 16 Stunden Halt und glänzendem Finish, Super Stay Vinyl Ink, Nr. 35 Cheeky, 4,2 ml</t>
        </is>
      </c>
      <c r="J307" s="18" t="inlineStr">
        <is>
          <t>No</t>
        </is>
      </c>
      <c r="K307" s="18" t="inlineStr">
        <is>
          <t>https://www.amazon.de/Maybelline-fl%C3%BCssiger-Lippenstift-Lipstick-gl%C3%A4nzendem/dp/B09NQG78ND/ref=sr_1_1?__mk_de_DE=%C3%85M%C3%85%C5%BD%C3%95%C3%91&amp;crid=2JGBNYSRNAA1L&amp;dib=eyJ2IjoiMSJ9.rlbZUvjpnLQqwURqAX_k6AYKwn1vPMOEZxnY2yTT7Kx3iR2F_mb6uzyO3LpFDaRf.owSEBYUrDyzAQSJ6ZzS_fVUCaLtYVeTG0q0tEaPRZFI&amp;dib_tag=se&amp;keywords=000030153219&amp;qid=1750017884&amp;sprefix=000030153219%2Caps%2C117&amp;sr=8-1&amp;th=1</t>
        </is>
      </c>
      <c r="L307" s="18" t="inlineStr">
        <is>
          <t>B09NQG78ND</t>
        </is>
      </c>
      <c r="M307" s="19" t="n">
        <v>18.84</v>
      </c>
      <c r="N307" s="19" t="n"/>
      <c r="O307" s="19" t="n">
        <v>17.99</v>
      </c>
      <c r="P307" s="19">
        <f>O307/1.19</f>
        <v/>
      </c>
      <c r="Q307" s="19">
        <f>O307-P307</f>
        <v/>
      </c>
      <c r="R307" s="19">
        <f>O307*0.15</f>
        <v/>
      </c>
      <c r="S307" s="19" t="n">
        <v>8.859999999999999</v>
      </c>
      <c r="T307" s="19">
        <f>S307*0.2</f>
        <v/>
      </c>
      <c r="U307" s="19" t="n">
        <v>0.400000000000002</v>
      </c>
      <c r="V307" s="19" t="n">
        <v>2.15</v>
      </c>
      <c r="W307" s="19">
        <f>V307*0.2</f>
        <v/>
      </c>
      <c r="X307" s="21">
        <f>O307-Q307-R307-S307-U307-V307+T307+W307</f>
        <v/>
      </c>
      <c r="Y307" s="18" t="n"/>
      <c r="Z307" s="19">
        <f>O307+1.5</f>
        <v/>
      </c>
      <c r="AA307" s="19" t="n"/>
      <c r="AB307" s="19" t="n"/>
      <c r="AC307" s="18" t="n"/>
      <c r="AD307" s="18" t="n"/>
      <c r="AE307" s="13" t="inlineStr">
        <is>
          <t>NOT_UPLOADED</t>
        </is>
      </c>
    </row>
    <row r="308" ht="16" customHeight="1">
      <c r="A308" s="12" t="n">
        <v>30150669</v>
      </c>
      <c r="B308" s="12" t="n">
        <v>30150669</v>
      </c>
      <c r="C308" s="13" t="n"/>
      <c r="D308" s="14" t="n"/>
      <c r="E308" s="14" t="inlineStr">
        <is>
          <t>FOR-30150669</t>
        </is>
      </c>
      <c r="F308" s="12" t="inlineStr">
        <is>
          <t>M5103</t>
        </is>
      </c>
      <c r="G308" s="14" t="inlineStr">
        <is>
          <t>Fortuna</t>
        </is>
      </c>
      <c r="H308" s="14" t="inlineStr">
        <is>
          <t>Maybelline</t>
        </is>
      </c>
      <c r="I308" s="14" t="inlineStr">
        <is>
          <t>Maybelline New York flüssiger Lippenstift, Liquid Lipstick mit 16 Stunden Halt und glänzendem Finish, Super Stay Vinyl Ink, Nr. 50 Wicked, 4,2 ml</t>
        </is>
      </c>
      <c r="J308" s="14" t="inlineStr">
        <is>
          <t>No</t>
        </is>
      </c>
      <c r="K308" s="14" t="inlineStr">
        <is>
          <t>https://www.amazon.de/Maybelline-fl%C3%BCssiger-Lippenstift-Lipstick-gl%C3%A4nzendem/dp/B09NQFK2S9/ref=sr_1_1?__mk_de_DE=%C3%85M%C3%85%C5%BD%C3%95%C3%91&amp;crid=1MK7TEX54D63Y&amp;dib=eyJ2IjoiMSJ9.OK2Ord8U_kAQkSMnx0P7pQ.pm-xcEM4xePj3AuaXC4E7l6LKvtfGKnCiUPM2IApNUw&amp;dib_tag=se&amp;keywords=000030150669&amp;qid=1750018039&amp;sprefix=000030150669%2Caps%2C120&amp;sr=8-1&amp;th=1</t>
        </is>
      </c>
      <c r="L308" s="14" t="inlineStr">
        <is>
          <t>B09NQFK2S9</t>
        </is>
      </c>
      <c r="M308" s="15" t="n">
        <v>18.84</v>
      </c>
      <c r="N308" s="15" t="n"/>
      <c r="O308" s="15" t="n">
        <v>17.99</v>
      </c>
      <c r="P308" s="15">
        <f>O308/1.19</f>
        <v/>
      </c>
      <c r="Q308" s="15">
        <f>O308-P308</f>
        <v/>
      </c>
      <c r="R308" s="15">
        <f>O308*0.15</f>
        <v/>
      </c>
      <c r="S308" s="15" t="n">
        <v>8.859999999999999</v>
      </c>
      <c r="T308" s="15">
        <f>S308*0.2</f>
        <v/>
      </c>
      <c r="U308" s="15" t="n">
        <v>0.400000000000002</v>
      </c>
      <c r="V308" s="15" t="n">
        <v>2.15</v>
      </c>
      <c r="W308" s="15">
        <f>V308*0.2</f>
        <v/>
      </c>
      <c r="X308" s="21">
        <f>O308-Q308-R308-S308-U308-V308+T308+W308</f>
        <v/>
      </c>
      <c r="Y308" s="14" t="n"/>
      <c r="Z308" s="15">
        <f>O308+1.5</f>
        <v/>
      </c>
      <c r="AA308" s="15" t="n"/>
      <c r="AB308" s="15" t="n"/>
      <c r="AC308" s="14" t="n"/>
      <c r="AD308" s="14" t="n"/>
      <c r="AE308" s="13" t="inlineStr">
        <is>
          <t>NOT_UPLOADED</t>
        </is>
      </c>
    </row>
    <row r="309" ht="16" customHeight="1">
      <c r="A309" s="17" t="n">
        <v>30147492</v>
      </c>
      <c r="B309" s="17" t="n">
        <v>30147492</v>
      </c>
      <c r="C309" s="13" t="n"/>
      <c r="D309" s="18" t="n"/>
      <c r="E309" s="18" t="inlineStr">
        <is>
          <t>FOR-30147492</t>
        </is>
      </c>
      <c r="F309" s="17" t="inlineStr">
        <is>
          <t>M5104</t>
        </is>
      </c>
      <c r="G309" s="18" t="inlineStr">
        <is>
          <t>Fortuna</t>
        </is>
      </c>
      <c r="H309" s="18" t="inlineStr">
        <is>
          <t>Maybelline</t>
        </is>
      </c>
      <c r="I309" s="18" t="inlineStr">
        <is>
          <t>Maybelline New York flüssiger Lippenstift, Liquid Lipstick mit 16 Stunden Halt und glänzendem Finish, Super Stay Vinyl Ink, Nr. 95 Captivated, 4,2 ml</t>
        </is>
      </c>
      <c r="J309" s="18" t="inlineStr">
        <is>
          <t>No</t>
        </is>
      </c>
      <c r="K309" s="18" t="inlineStr">
        <is>
          <t>https://www.amazon.de/Maybelline-Lippenstift-gl%C3%A4nzendem-Vinyl-Ink/dp/B0BMGR14DT/ref=sr_1_1?__mk_de_DE=%C3%85M%C3%85%C5%BD%C3%95%C3%91&amp;crid=778IX20KP9ZN&amp;dib=eyJ2IjoiMSJ9.XGUT4lWe_ADwsZVez2xhgQ.jLSTvKw_lW-s1gA1jCDPUeqNleHE2hB7ALDk29teK9c&amp;dib_tag=se&amp;keywords=000030147492&amp;qid=1750018154&amp;rdc=1&amp;sprefix=000030147492%2Caps%2C108&amp;sr=8-1</t>
        </is>
      </c>
      <c r="L309" s="18" t="inlineStr">
        <is>
          <t>B0BMGR14DT</t>
        </is>
      </c>
      <c r="M309" s="19" t="n">
        <v>18.87</v>
      </c>
      <c r="N309" s="19" t="n"/>
      <c r="O309" s="19" t="n">
        <v>17.99</v>
      </c>
      <c r="P309" s="19">
        <f>O309/1.19</f>
        <v/>
      </c>
      <c r="Q309" s="19">
        <f>O309-P309</f>
        <v/>
      </c>
      <c r="R309" s="19">
        <f>O309*0.15</f>
        <v/>
      </c>
      <c r="S309" s="19" t="n">
        <v>8.859999999999999</v>
      </c>
      <c r="T309" s="19">
        <f>S309*0.2</f>
        <v/>
      </c>
      <c r="U309" s="19" t="n">
        <v>0.400000000000002</v>
      </c>
      <c r="V309" s="19" t="n">
        <v>2.15</v>
      </c>
      <c r="W309" s="19">
        <f>V309*0.2</f>
        <v/>
      </c>
      <c r="X309" s="21">
        <f>O309-Q309-R309-S309-U309-V309+T309+W309</f>
        <v/>
      </c>
      <c r="Y309" s="18" t="n"/>
      <c r="Z309" s="19">
        <f>O309+1.5</f>
        <v/>
      </c>
      <c r="AA309" s="19" t="n"/>
      <c r="AB309" s="19" t="n"/>
      <c r="AC309" s="18" t="n"/>
      <c r="AD309" s="18" t="n"/>
      <c r="AE309" s="13" t="inlineStr">
        <is>
          <t>NOT_UPLOADED</t>
        </is>
      </c>
    </row>
    <row r="310" ht="16" customHeight="1">
      <c r="A310" s="12" t="n">
        <v>30150058</v>
      </c>
      <c r="B310" s="12" t="n">
        <v>30150058</v>
      </c>
      <c r="C310" s="13" t="n"/>
      <c r="D310" s="14" t="n"/>
      <c r="E310" s="14" t="inlineStr">
        <is>
          <t>FOR-30150058</t>
        </is>
      </c>
      <c r="F310" s="12" t="inlineStr">
        <is>
          <t>M5105</t>
        </is>
      </c>
      <c r="G310" s="14" t="inlineStr">
        <is>
          <t>Fortuna</t>
        </is>
      </c>
      <c r="H310" s="14" t="inlineStr">
        <is>
          <t>Maybelline</t>
        </is>
      </c>
      <c r="I310" s="14" t="inlineStr">
        <is>
          <t>Maybelline New York flüssiger Lippenstift, Liquid Lipstick mit 16 Stunden Halt und glänzendem Finish, Super Stay Vinyl Ink, Nr. 100 Charmed, 4,2 ml</t>
        </is>
      </c>
      <c r="J310" s="14" t="inlineStr">
        <is>
          <t>No</t>
        </is>
      </c>
      <c r="K310" s="14" t="inlineStr">
        <is>
          <t>https://www.amazon.de/Maybelline-fl%C3%BCssiger-Lippenstift-Lipstick-gl%C3%A4nzendem/dp/B00DJAOUX6/ref=sr_1_1?__mk_de_DE=%C3%85M%C3%85%C5%BD%C3%95%C3%91&amp;crid=1IMZL41CQL5WV&amp;dib=eyJ2IjoiMSJ9.DEWlsrTSnH7RSC5WkYG12w.8_EyIIw7NH7CDJSM6EMyO6V1EhhSOszyHcXqcfrDCIo&amp;dib_tag=se&amp;keywords=000030150058&amp;qid=1750018249&amp;rdc=1&amp;sprefix=000030150058%2Caps%2C120&amp;sr=8-1&amp;th=1</t>
        </is>
      </c>
      <c r="L310" s="14" t="inlineStr">
        <is>
          <t>B00DJAOUX6</t>
        </is>
      </c>
      <c r="M310" s="15" t="n">
        <v>18.84</v>
      </c>
      <c r="N310" s="15" t="n"/>
      <c r="O310" s="15" t="n">
        <v>16.99</v>
      </c>
      <c r="P310" s="15">
        <f>O310/1.19</f>
        <v/>
      </c>
      <c r="Q310" s="15">
        <f>O310-P310</f>
        <v/>
      </c>
      <c r="R310" s="15">
        <f>O310*0.15</f>
        <v/>
      </c>
      <c r="S310" s="15" t="n">
        <v>8.859999999999999</v>
      </c>
      <c r="T310" s="15">
        <f>S310*0.2</f>
        <v/>
      </c>
      <c r="U310" s="15" t="n">
        <v>0.400000000000002</v>
      </c>
      <c r="V310" s="15" t="n">
        <v>2.15</v>
      </c>
      <c r="W310" s="15">
        <f>V310*0.2</f>
        <v/>
      </c>
      <c r="X310" s="21">
        <f>O310-Q310-R310-S310-U310-V310+T310+W310</f>
        <v/>
      </c>
      <c r="Y310" s="14" t="n"/>
      <c r="Z310" s="15">
        <f>O310+1.5</f>
        <v/>
      </c>
      <c r="AA310" s="15" t="n"/>
      <c r="AB310" s="15" t="n"/>
      <c r="AC310" s="14" t="n"/>
      <c r="AD310" s="14" t="n"/>
      <c r="AE310" s="13" t="inlineStr">
        <is>
          <t>NOT_UPLOADED</t>
        </is>
      </c>
    </row>
    <row r="311" ht="16" customHeight="1">
      <c r="A311" s="17" t="n">
        <v>30144941</v>
      </c>
      <c r="B311" s="17" t="n">
        <v>30144941</v>
      </c>
      <c r="C311" s="13" t="n"/>
      <c r="D311" s="18" t="n"/>
      <c r="E311" s="18" t="inlineStr">
        <is>
          <t>FOR-30144941</t>
        </is>
      </c>
      <c r="F311" s="17" t="inlineStr">
        <is>
          <t>M5106</t>
        </is>
      </c>
      <c r="G311" s="18" t="inlineStr">
        <is>
          <t>Fortuna</t>
        </is>
      </c>
      <c r="H311" s="18" t="inlineStr">
        <is>
          <t>Maybelline</t>
        </is>
      </c>
      <c r="I311" s="18" t="inlineStr">
        <is>
          <t>Maybelline New York flüssiger Lippenstift, Liquid Lipstick mit 16 Stunden Halt und glänzendem Finish, Super Stay Vinyl Ink, Nr. 105 Golden, 4,2 ml</t>
        </is>
      </c>
      <c r="J311" s="18" t="inlineStr">
        <is>
          <t>No</t>
        </is>
      </c>
      <c r="K311" s="18" t="inlineStr">
        <is>
          <t>https://www.amazon.de/Maybelline-Lippenstift-gl%C3%A4nzendem-Vinyl-Ink/dp/B0BM9M9QZS/ref=sr_1_1?__mk_de_DE=%C3%85M%C3%85%C5%BD%C3%95%C3%91&amp;crid=1MI104KMPVC4I&amp;dib=eyJ2IjoiMSJ9.NCuOxVDY2CaO9aNjO5Y60A.bOB-5SCi7Aw0BkUU7gtyfYnHGw8OShArYxj-wS1sNys&amp;dib_tag=se&amp;keywords=000030144941&amp;qid=1750018345&amp;rdc=1&amp;sprefix=000030144941%2Caps%2C122&amp;sr=8-1&amp;th=1</t>
        </is>
      </c>
      <c r="L311" s="18" t="inlineStr">
        <is>
          <t>B0BM9M9QZS</t>
        </is>
      </c>
      <c r="M311" s="19" t="n">
        <v>18.84</v>
      </c>
      <c r="N311" s="19" t="n"/>
      <c r="O311" s="19" t="n">
        <v>17.99</v>
      </c>
      <c r="P311" s="19">
        <f>O311/1.19</f>
        <v/>
      </c>
      <c r="Q311" s="19">
        <f>O311-P311</f>
        <v/>
      </c>
      <c r="R311" s="19">
        <f>O311*0.15</f>
        <v/>
      </c>
      <c r="S311" s="19" t="n">
        <v>8.859999999999999</v>
      </c>
      <c r="T311" s="19">
        <f>S311*0.2</f>
        <v/>
      </c>
      <c r="U311" s="19" t="n">
        <v>0.400000000000002</v>
      </c>
      <c r="V311" s="19" t="n">
        <v>2.15</v>
      </c>
      <c r="W311" s="19">
        <f>V311*0.2</f>
        <v/>
      </c>
      <c r="X311" s="21">
        <f>O311-Q311-R311-S311-U311-V311+T311+W311</f>
        <v/>
      </c>
      <c r="Y311" s="18" t="n"/>
      <c r="Z311" s="19">
        <f>O311+1.5</f>
        <v/>
      </c>
      <c r="AA311" s="19" t="n"/>
      <c r="AB311" s="19" t="n"/>
      <c r="AC311" s="18" t="n"/>
      <c r="AD311" s="18" t="n"/>
      <c r="AE311" s="13" t="inlineStr">
        <is>
          <t>NOT_UPLOADED</t>
        </is>
      </c>
    </row>
    <row r="312" ht="16" customHeight="1">
      <c r="A312" s="12" t="n">
        <v>30150065</v>
      </c>
      <c r="B312" s="12" t="n">
        <v>30150065</v>
      </c>
      <c r="C312" s="13" t="n"/>
      <c r="D312" s="14" t="n"/>
      <c r="E312" s="14" t="inlineStr">
        <is>
          <t>FOR-0000030150065</t>
        </is>
      </c>
      <c r="F312" s="12" t="inlineStr">
        <is>
          <t>M5107</t>
        </is>
      </c>
      <c r="G312" s="14" t="inlineStr">
        <is>
          <t>Fortuna</t>
        </is>
      </c>
      <c r="H312" s="14" t="inlineStr">
        <is>
          <t>Maybelline</t>
        </is>
      </c>
      <c r="I312" s="14" t="inlineStr">
        <is>
          <t>Maybelline New York flüssiger Lippenstift, Liquid Lipstick mit 16 Stunden Halt und glänzendem Finish, Super Stay Vinyl Ink, Nr. 120 Punchy, 4,2 ml</t>
        </is>
      </c>
      <c r="J312" s="14" t="inlineStr">
        <is>
          <t>No</t>
        </is>
      </c>
      <c r="K312" s="14" t="inlineStr">
        <is>
          <t>https://www.amazon.de/Maybelline-Lippenstift-gl%C3%A4nzendem-Vinyl-Ink/dp/B0BM9KGX3G/ref=sr_1_1?__mk_de_DE=%C3%85M%C3%85%C5%BD%C3%95%C3%91&amp;crid=1C5OJJCK3NCEV&amp;dib=eyJ2IjoiMSJ9.kqF--0oeB4DC5iVxH1aKig.2US8VJuSx6KvktqSkCCCAlxqKT9fdywoYAvQKsAgPUQ&amp;dib_tag=se&amp;keywords=000030150065&amp;qid=1750018489&amp;sprefix=000030150065%2Caps%2C135&amp;sr=8-1&amp;th=1</t>
        </is>
      </c>
      <c r="L312" s="14" t="inlineStr">
        <is>
          <t>B0BM9KGX3G</t>
        </is>
      </c>
      <c r="M312" s="15" t="n">
        <v>18.84</v>
      </c>
      <c r="N312" s="15" t="n"/>
      <c r="O312" s="15" t="n">
        <v>17.99</v>
      </c>
      <c r="P312" s="15">
        <f>O312/1.19</f>
        <v/>
      </c>
      <c r="Q312" s="15">
        <f>O312-P312</f>
        <v/>
      </c>
      <c r="R312" s="15">
        <f>O312*0.15</f>
        <v/>
      </c>
      <c r="S312" s="15" t="n">
        <v>8.859999999999999</v>
      </c>
      <c r="T312" s="15">
        <f>S312*0.2</f>
        <v/>
      </c>
      <c r="U312" s="15" t="n">
        <v>0.400000000000002</v>
      </c>
      <c r="V312" s="15" t="n">
        <v>2.15</v>
      </c>
      <c r="W312" s="15">
        <f>V312*0.2</f>
        <v/>
      </c>
      <c r="X312" s="21">
        <f>O312-Q312-R312-S312-U312-V312+T312+W312</f>
        <v/>
      </c>
      <c r="Y312" s="14" t="n"/>
      <c r="Z312" s="15">
        <f>O312+1.5</f>
        <v/>
      </c>
      <c r="AA312" s="15" t="n"/>
      <c r="AB312" s="15" t="n"/>
      <c r="AC312" s="14" t="n"/>
      <c r="AD312" s="14" t="n"/>
      <c r="AE312" s="13" t="inlineStr">
        <is>
          <t>NOT_UPLOADED</t>
        </is>
      </c>
    </row>
    <row r="313" ht="16" customHeight="1">
      <c r="A313" s="17" t="n">
        <v>30163768</v>
      </c>
      <c r="B313" s="17" t="n">
        <v>30163768</v>
      </c>
      <c r="C313" s="13" t="n"/>
      <c r="D313" s="18" t="n"/>
      <c r="E313" s="18" t="inlineStr">
        <is>
          <t>FOR-0000030163768</t>
        </is>
      </c>
      <c r="F313" s="17" t="inlineStr">
        <is>
          <t>M5108</t>
        </is>
      </c>
      <c r="G313" s="18" t="inlineStr">
        <is>
          <t>Fortuna</t>
        </is>
      </c>
      <c r="H313" s="18" t="inlineStr">
        <is>
          <t>Maybelline</t>
        </is>
      </c>
      <c r="I313" s="18" t="inlineStr">
        <is>
          <t>Maybelline New York flüssiger Lippenstift, Liquid Lipstick mit 16 Stunden Halt und glänzendem Finish, Super Stay Vinyl Ink, Nr. 145 Rogue, 4,2 ml</t>
        </is>
      </c>
      <c r="J313" s="18" t="inlineStr">
        <is>
          <t>No</t>
        </is>
      </c>
      <c r="K313" s="18" t="inlineStr">
        <is>
          <t>https://www.amazon.de/Maybelline-fl%C3%BCssiger-Lippenstift-Lipstick-gl%C3%A4nzendem/dp/B0CK8MKXCL/ref=sr_1_1?__mk_de_DE=%C3%85M%C3%85%C5%BD%C3%95%C3%91&amp;crid=3LK7OACH0RG0Z&amp;dib=eyJ2IjoiMSJ9.-USzog8zvSEG3-lp_kXMew.N5BlPg_vmGuHaRKtwnuElfHMY4IfjcqikLLoXsgnQRw&amp;dib_tag=se&amp;keywords=000030163768&amp;qid=1750018573&amp;sprefix=000030163768%2Caps%2C118&amp;sr=8-1&amp;th=1</t>
        </is>
      </c>
      <c r="L313" s="18" t="inlineStr">
        <is>
          <t>B0CK8MKXCL</t>
        </is>
      </c>
      <c r="M313" s="19" t="n">
        <v>18.84</v>
      </c>
      <c r="N313" s="19" t="n"/>
      <c r="O313" s="19" t="n">
        <v>17.99</v>
      </c>
      <c r="P313" s="19">
        <f>O313/1.19</f>
        <v/>
      </c>
      <c r="Q313" s="19">
        <f>O313-P313</f>
        <v/>
      </c>
      <c r="R313" s="19">
        <f>O313*0.15</f>
        <v/>
      </c>
      <c r="S313" s="19" t="n">
        <v>8.859999999999999</v>
      </c>
      <c r="T313" s="19">
        <f>S313*0.2</f>
        <v/>
      </c>
      <c r="U313" s="19" t="n">
        <v>0.400000000000002</v>
      </c>
      <c r="V313" s="19" t="n">
        <v>2.15</v>
      </c>
      <c r="W313" s="19">
        <f>V313*0.2</f>
        <v/>
      </c>
      <c r="X313" s="21">
        <f>O313-Q313-R313-S313-U313-V313+T313+W313</f>
        <v/>
      </c>
      <c r="Y313" s="18" t="n"/>
      <c r="Z313" s="19">
        <f>O313+1.5</f>
        <v/>
      </c>
      <c r="AA313" s="19" t="n"/>
      <c r="AB313" s="19" t="n"/>
      <c r="AC313" s="18" t="n"/>
      <c r="AD313" s="18" t="n"/>
      <c r="AE313" s="13" t="inlineStr">
        <is>
          <t>NOT_UPLOADED</t>
        </is>
      </c>
    </row>
    <row r="314" ht="16" customHeight="1">
      <c r="A314" s="12" t="n">
        <v>3600531716974</v>
      </c>
      <c r="B314" s="12" t="n"/>
      <c r="C314" s="13" t="n"/>
      <c r="D314" s="14" t="inlineStr">
        <is>
          <t>GNANGE PRICE 01.03</t>
        </is>
      </c>
      <c r="E314" s="14" t="inlineStr">
        <is>
          <t>FOR-3600531716974</t>
        </is>
      </c>
      <c r="F314" s="12" t="inlineStr">
        <is>
          <t>M7027</t>
        </is>
      </c>
      <c r="G314" s="14" t="inlineStr">
        <is>
          <t>Fortuna</t>
        </is>
      </c>
      <c r="H314" s="14" t="inlineStr">
        <is>
          <t>Maybelline</t>
        </is>
      </c>
      <c r="I314" s="14" t="inlineStr">
        <is>
          <t>Maybelline New York Lash Sensational Body Mascara Black</t>
        </is>
      </c>
      <c r="J314" s="14" t="inlineStr">
        <is>
          <t>No</t>
        </is>
      </c>
      <c r="K314" s="14" t="inlineStr">
        <is>
          <t>https://www.amazon.de/-/en/Maybelline-York-Sensational-Mascara-Black/dp/B0FPX93VHW/ref=sr_1_1?crid=3M1LEDRTQG19C&amp;dib=eyJ2IjoiMSJ9.vHleX6pSEBOWu4LIJIzn2io5T2UOMimuLtE06inqSu7xvTZM8CI-GiLlTFmaVEyDgi0SF0fP5ixu8PY2-WNZEaVVn5URh9h-5kSRAv2Ir2Yege6COKgzHGv2xOmWD5BQjsNI7JL5MOOxtfU9VIeuPa8N2AAJQNwp8sVqubCOlkFP9nGu0HocFr-2wZvUG6QQAcU-1w6MTszl8bujL4b9WuMybeEPnGfOdrzASWgdBLcHFHU865L2W-AtMudOBBRM7VczeeXrlcChJPGML6qAWLj97PaI808gpQKnfb_plr0.v8AsMGGJrjJ0EBRc1wOkRYyCRmKgBkdb6h_g01tdjFA&amp;dib_tag=se&amp;keywords=maybelline+body&amp;qid=1764962082&amp;sprefix=maybeline+body%2Caps%2C173&amp;sr=8-1</t>
        </is>
      </c>
      <c r="L314" s="14" t="inlineStr">
        <is>
          <t>B0FPX93VHW</t>
        </is>
      </c>
      <c r="M314" s="15" t="n"/>
      <c r="N314" s="15" t="n"/>
      <c r="O314" s="15" t="n">
        <v>12.7</v>
      </c>
      <c r="P314" s="15">
        <f>O314/1.19</f>
        <v/>
      </c>
      <c r="Q314" s="15">
        <f>O314-P314</f>
        <v/>
      </c>
      <c r="R314" s="15">
        <f>O314*0.15</f>
        <v/>
      </c>
      <c r="S314" s="15" t="n">
        <v>6.08</v>
      </c>
      <c r="T314" s="15">
        <f>S314*0.2</f>
        <v/>
      </c>
      <c r="U314" s="15" t="n">
        <v>0.400000000000002</v>
      </c>
      <c r="V314" s="15" t="n">
        <v>2</v>
      </c>
      <c r="W314" s="15">
        <f>V314*0.2</f>
        <v/>
      </c>
      <c r="X314" s="16">
        <f>O314-Q314-R314-S314-U314-V314+T314+W314</f>
        <v/>
      </c>
      <c r="Y314" s="14" t="n"/>
      <c r="Z314" s="15">
        <f>O314+1.5</f>
        <v/>
      </c>
      <c r="AA314" s="15" t="n"/>
      <c r="AB314" s="15" t="n"/>
      <c r="AC314" s="14" t="n"/>
      <c r="AD314" s="14" t="n"/>
      <c r="AE314" s="13" t="inlineStr">
        <is>
          <t>NOT_UPLOADED</t>
        </is>
      </c>
    </row>
    <row r="315" ht="16" customHeight="1">
      <c r="A315" s="17" t="n">
        <v>30163737</v>
      </c>
      <c r="B315" s="17" t="n">
        <v>30163737</v>
      </c>
      <c r="C315" s="13" t="n"/>
      <c r="D315" s="18" t="n"/>
      <c r="E315" s="18" t="inlineStr">
        <is>
          <t>FOR-0000030163737</t>
        </is>
      </c>
      <c r="F315" s="17" t="inlineStr">
        <is>
          <t>M5109</t>
        </is>
      </c>
      <c r="G315" s="18" t="inlineStr">
        <is>
          <t>Fortuna</t>
        </is>
      </c>
      <c r="H315" s="18" t="inlineStr">
        <is>
          <t>Maybelline</t>
        </is>
      </c>
      <c r="I315" s="18" t="inlineStr">
        <is>
          <t>Maybelline New York flüssiger Lippenstift, Liquid Lipstick mit 16 Stunden Halt und glänzendem Finish, Super Stay Vinyl Ink, Nr. 155 Upbeat, 4,2 ml</t>
        </is>
      </c>
      <c r="J315" s="18" t="inlineStr">
        <is>
          <t>No</t>
        </is>
      </c>
      <c r="K315" s="18" t="inlineStr">
        <is>
          <t>https://www.amazon.de/Maybelline-fl%C3%BCssiger-Lippenstift-Lipstick-gl%C3%A4nzendem/dp/B0CK8MCNLR/ref=sr_1_1?__mk_de_DE=%C3%85M%C3%85%C5%BD%C3%95%C3%91&amp;crid=FN3O0DWDDG1D&amp;dib=eyJ2IjoiMSJ9.hfAnxqxiu3LLgEE9d1IQNQ.q1cq2btCbbd6vxBsmWkhbEwtrycrgK1N6CN8_ojefvs&amp;dib_tag=se&amp;keywords=000030163737&amp;qid=1750018800&amp;sprefix=000030163737%2Caps%2C174&amp;sr=8-1&amp;th=1</t>
        </is>
      </c>
      <c r="L315" s="18" t="inlineStr">
        <is>
          <t>B0CK8MCNLR</t>
        </is>
      </c>
      <c r="M315" s="19" t="n">
        <v>18.84</v>
      </c>
      <c r="N315" s="19" t="n"/>
      <c r="O315" s="19" t="n">
        <v>17.99</v>
      </c>
      <c r="P315" s="19">
        <f>O315/1.19</f>
        <v/>
      </c>
      <c r="Q315" s="19">
        <f>O315-P315</f>
        <v/>
      </c>
      <c r="R315" s="19">
        <f>O315*0.15</f>
        <v/>
      </c>
      <c r="S315" s="19" t="n">
        <v>8.859999999999999</v>
      </c>
      <c r="T315" s="19">
        <f>S315*0.2</f>
        <v/>
      </c>
      <c r="U315" s="19" t="n">
        <v>0.400000000000002</v>
      </c>
      <c r="V315" s="19" t="n">
        <v>2.15</v>
      </c>
      <c r="W315" s="19">
        <f>V315*0.2</f>
        <v/>
      </c>
      <c r="X315" s="21">
        <f>O315-Q315-R315-S315-U315-V315+T315+W315</f>
        <v/>
      </c>
      <c r="Y315" s="18" t="n"/>
      <c r="Z315" s="19">
        <f>O315+1.5</f>
        <v/>
      </c>
      <c r="AA315" s="19" t="n"/>
      <c r="AB315" s="19" t="n"/>
      <c r="AC315" s="18" t="n"/>
      <c r="AD315" s="18" t="n"/>
      <c r="AE315" s="13" t="inlineStr">
        <is>
          <t>NOT_UPLOADED</t>
        </is>
      </c>
    </row>
    <row r="316" ht="16" customHeight="1">
      <c r="A316" s="12" t="n">
        <v>8710103989738</v>
      </c>
      <c r="B316" s="12" t="n">
        <v>8710103989738</v>
      </c>
      <c r="C316" s="20" t="inlineStr">
        <is>
          <t>APPROVAL</t>
        </is>
      </c>
      <c r="D316" s="14" t="n"/>
      <c r="E316" s="14" t="inlineStr">
        <is>
          <t>AX-8710103989738</t>
        </is>
      </c>
      <c r="F316" s="12" t="inlineStr">
        <is>
          <t>SCY903/02</t>
        </is>
      </c>
      <c r="G316" s="14" t="inlineStr">
        <is>
          <t>Iventas</t>
        </is>
      </c>
      <c r="H316" s="14" t="inlineStr">
        <is>
          <t>Philips Avent</t>
        </is>
      </c>
      <c r="I316" s="14" t="inlineStr">
        <is>
          <t>Philips Avent Flasche Natural mit Responsivschnuller 260ml, 2 Stück (Modell SCY903/02)</t>
        </is>
      </c>
      <c r="J316" s="14" t="inlineStr">
        <is>
          <t>No</t>
        </is>
      </c>
      <c r="K316" s="14" t="inlineStr">
        <is>
          <t>https://www.amazon.de/Philips-Flasche-Responsivschnuller-SCY903-02/dp/B0BXFBY729/ref=sr_1_1?__mk_de_DE=%C3%85M%C3%85%C5%BD%C3%95%C3%91&amp;crid=1Z35AJ8AO8ZEL&amp;dib=eyJ2IjoiMSJ9.NIcWWLnCMnrc1sgBfZ23AQ.jN06tWbm_2qmKNen4WDI5Ad4YWNQSI3DbIHgmvbg_OY&amp;dib_tag=se&amp;keywords=8710103989738&amp;qid=1750019104&amp;sprefix=8710103989738%2Caps%2C93&amp;sr=8-1</t>
        </is>
      </c>
      <c r="L316" s="14" t="inlineStr">
        <is>
          <t>B0BXFBY729</t>
        </is>
      </c>
      <c r="M316" s="15" t="n">
        <v>20.13</v>
      </c>
      <c r="N316" s="15" t="n"/>
      <c r="O316" s="15" t="n">
        <v>24.99</v>
      </c>
      <c r="P316" s="15">
        <f>O316/1.19</f>
        <v/>
      </c>
      <c r="Q316" s="15">
        <f>O316-P316</f>
        <v/>
      </c>
      <c r="R316" s="15">
        <f>O316*0.15</f>
        <v/>
      </c>
      <c r="S316" s="15" t="n">
        <v>12.43</v>
      </c>
      <c r="T316" s="15">
        <f>S316*0.2</f>
        <v/>
      </c>
      <c r="U316" s="15" t="n">
        <v>0.400000000000002</v>
      </c>
      <c r="V316" s="15" t="n">
        <v>4.04</v>
      </c>
      <c r="W316" s="15">
        <f>V316*0.2</f>
        <v/>
      </c>
      <c r="X316" s="21">
        <f>O316-Q316-R316-S316-U316-V316+T316+W316</f>
        <v/>
      </c>
      <c r="Y316" s="14" t="n"/>
      <c r="Z316" s="15">
        <f>O316+1.5</f>
        <v/>
      </c>
      <c r="AA316" s="15" t="n"/>
      <c r="AB316" s="15" t="n"/>
      <c r="AC316" s="14" t="n"/>
      <c r="AD316" s="14" t="n"/>
      <c r="AE316" s="13" t="inlineStr">
        <is>
          <t>NOT_UPLOADED</t>
        </is>
      </c>
    </row>
    <row r="317" ht="16" customHeight="1">
      <c r="A317" s="17" t="n">
        <v>8710103990741</v>
      </c>
      <c r="B317" s="17" t="n">
        <v>8710103990741</v>
      </c>
      <c r="C317" s="13" t="n"/>
      <c r="D317" s="18" t="n"/>
      <c r="E317" s="18" t="inlineStr">
        <is>
          <t>AX-8710103990741</t>
        </is>
      </c>
      <c r="F317" s="17" t="inlineStr">
        <is>
          <t>SCY903/03</t>
        </is>
      </c>
      <c r="G317" s="18" t="inlineStr">
        <is>
          <t>Iventas</t>
        </is>
      </c>
      <c r="H317" s="18" t="inlineStr">
        <is>
          <t>Philips Avent</t>
        </is>
      </c>
      <c r="I317" s="18" t="inlineStr">
        <is>
          <t>Philips Avent Babyflaschen Natural Response – 3x Babyflaschen, 260 ml, für Neugeborene ab 1 Monat, BPA-frei (Modell SCY903/03)</t>
        </is>
      </c>
      <c r="J317" s="18" t="inlineStr">
        <is>
          <t>No</t>
        </is>
      </c>
      <c r="K317" s="18" t="inlineStr">
        <is>
          <t>https://www.amazon.de/Philips-Avent-Babyflaschen-Natural-Response/dp/B0BWFNBJ7C/ref=sr_1_1?__mk_de_DE=%C3%85M%C3%85%C5%BD%C3%95%C3%91&amp;crid=10KGP9RP3FSO0&amp;dib=eyJ2IjoiMSJ9.zHRIMd9T9e_EaPpMcbdfiQ.8hxB6YG5MzcswlapfL5VyXVO1ulSDe2KDzjomTBjg0Y&amp;dib_tag=se&amp;keywords=8710103990741&amp;qid=1750019460&amp;sprefix=8710103990741%2Caps%2C101&amp;sr=8-1&amp;th=1</t>
        </is>
      </c>
      <c r="L317" s="18" t="inlineStr">
        <is>
          <t>B0BWFNBJ7C</t>
        </is>
      </c>
      <c r="M317" s="19" t="n">
        <v>31.87</v>
      </c>
      <c r="N317" s="19" t="n"/>
      <c r="O317" s="19" t="n">
        <v>29.95</v>
      </c>
      <c r="P317" s="19">
        <f>O317/1.19</f>
        <v/>
      </c>
      <c r="Q317" s="19">
        <f>O317-P317</f>
        <v/>
      </c>
      <c r="R317" s="19">
        <f>O317*0.15</f>
        <v/>
      </c>
      <c r="S317" s="19" t="n">
        <v>16.03</v>
      </c>
      <c r="T317" s="19">
        <f>S317*0.2</f>
        <v/>
      </c>
      <c r="U317" s="19" t="n">
        <v>0.400000000000002</v>
      </c>
      <c r="V317" s="19" t="n">
        <v>4.3</v>
      </c>
      <c r="W317" s="19">
        <f>V317*0.2</f>
        <v/>
      </c>
      <c r="X317" s="21">
        <f>O317-Q317-R317-S317-U317-V317+T317+W317</f>
        <v/>
      </c>
      <c r="Y317" s="18" t="n"/>
      <c r="Z317" s="19">
        <f>O317+1.5</f>
        <v/>
      </c>
      <c r="AA317" s="19" t="n"/>
      <c r="AB317" s="19" t="n"/>
      <c r="AC317" s="18" t="n"/>
      <c r="AD317" s="18" t="n"/>
      <c r="AE317" s="13" t="inlineStr">
        <is>
          <t>NOT_UPLOADED</t>
        </is>
      </c>
    </row>
    <row r="318" ht="16" customHeight="1">
      <c r="A318" s="12" t="n">
        <v>8710103989769</v>
      </c>
      <c r="B318" s="12" t="n">
        <v>8710103989752</v>
      </c>
      <c r="C318" s="13" t="n"/>
      <c r="D318" s="14" t="n"/>
      <c r="E318" s="14" t="inlineStr">
        <is>
          <t>AX-8710103989769</t>
        </is>
      </c>
      <c r="F318" s="12" t="inlineStr">
        <is>
          <t>SCY906/01</t>
        </is>
      </c>
      <c r="G318" s="14" t="inlineStr">
        <is>
          <t>Iventas</t>
        </is>
      </c>
      <c r="H318" s="14" t="inlineStr">
        <is>
          <t>Philips Avent</t>
        </is>
      </c>
      <c r="I318" s="14" t="inlineStr">
        <is>
          <t>Philips Avent Babyflasche Natural Response – Babyflasche, 330 ml, BPA-frei, für Babys ab 3 Monaten (Modell SCY906/01)</t>
        </is>
      </c>
      <c r="J318" s="14" t="inlineStr">
        <is>
          <t>No</t>
        </is>
      </c>
      <c r="K318" s="14" t="inlineStr">
        <is>
          <t>https://www.amazon.de/Philips-Avent-Babyflasche-Natural-Response/dp/B0BWFNGMP1/ref=sr_1_1?__mk_de_DE=%C3%85M%C3%85%C5%BD%C3%95%C3%91&amp;crid=3KYXCFBBR8T06&amp;dib=eyJ2IjoiMSJ9.WiVYJC9Yb6_PDh1X0l3Q3pehQ-4gZXf1L4D6K1Ov5SCImqy4Cq9eQqNBU3bpnldLbgU4RvATN9G5BMsrCG3NPgbM9Q1fiD1m7vyriKs2ue4.AQvU7eQYyUdEw0aUyL7tVnSDxxfqz7oU_AfjNeC0g58&amp;dib_tag=se&amp;keywords=SCY906%2F02&amp;qid=1750019710&amp;sprefix=scy906%2F02%2Caps%2C86&amp;sr=8-1&amp;th=1</t>
        </is>
      </c>
      <c r="L318" s="14" t="inlineStr">
        <is>
          <t>B0BWFNGMP1</t>
        </is>
      </c>
      <c r="M318" s="15" t="n">
        <v>19.38</v>
      </c>
      <c r="N318" s="15" t="n"/>
      <c r="O318" s="15" t="n">
        <v>17.7</v>
      </c>
      <c r="P318" s="15">
        <f>O318/1.19</f>
        <v/>
      </c>
      <c r="Q318" s="15">
        <f>O318-P318</f>
        <v/>
      </c>
      <c r="R318" s="15">
        <f>O318*0.15</f>
        <v/>
      </c>
      <c r="S318" s="15" t="n">
        <v>8.470000000000001</v>
      </c>
      <c r="T318" s="15">
        <f>S318*0.2</f>
        <v/>
      </c>
      <c r="U318" s="15" t="n">
        <v>0.400000000000002</v>
      </c>
      <c r="V318" s="15" t="n">
        <v>2.82</v>
      </c>
      <c r="W318" s="15">
        <f>V318*0.2</f>
        <v/>
      </c>
      <c r="X318" s="21">
        <f>O318-Q318-R318-S318-U318-V318+T318+W318</f>
        <v/>
      </c>
      <c r="Y318" s="14" t="n"/>
      <c r="Z318" s="15">
        <f>O318+1.5</f>
        <v/>
      </c>
      <c r="AA318" s="15" t="n"/>
      <c r="AB318" s="15" t="n"/>
      <c r="AC318" s="14" t="n"/>
      <c r="AD318" s="14" t="n"/>
      <c r="AE318" s="13" t="inlineStr">
        <is>
          <t>NOT_UPLOADED</t>
        </is>
      </c>
    </row>
    <row r="319" ht="16" customHeight="1">
      <c r="A319" s="17" t="n">
        <v>8710103990710</v>
      </c>
      <c r="B319" s="17" t="n">
        <v>8710103990710</v>
      </c>
      <c r="C319" s="20" t="inlineStr">
        <is>
          <t>APPROVAL</t>
        </is>
      </c>
      <c r="D319" s="18" t="n"/>
      <c r="E319" s="18" t="n"/>
      <c r="F319" s="17" t="inlineStr">
        <is>
          <t>SCD838/11</t>
        </is>
      </c>
      <c r="G319" s="18" t="inlineStr">
        <is>
          <t>Iventas</t>
        </is>
      </c>
      <c r="H319" s="18" t="inlineStr">
        <is>
          <t>Philips Avent</t>
        </is>
      </c>
      <c r="I319" s="18" t="inlineStr">
        <is>
          <t>Philips Avent Babyflaschen Natural Response, Geschenkset für Neugeborene – 4 Babyflaschen, ultra soft Schnuller und Flaschenbürste, Babys von 0–12 Monaten und älter (Modell SCD838/11)</t>
        </is>
      </c>
      <c r="J319" s="18" t="inlineStr">
        <is>
          <t>No</t>
        </is>
      </c>
      <c r="K319" s="18" t="inlineStr">
        <is>
          <t>https://www.amazon.de/Philips-Babyflaschen-Response-Geschenkset-Neugeborene/dp/B0BWFLPZ5G/ref=sr_1_1?__mk_de_DE=%C3%85M%C3%85%C5%BD%C3%95%C3%91&amp;crid=3ACH69TJWHEEY&amp;dib=eyJ2IjoiMSJ9.shg8e_v8sKID59CQG2aDx69HEpn3TIM7qgP5r_H3UoM.QvGT5nrS6ZBaONR2wAHdygSPgPR93Rf1YtyJbu2rdSY&amp;dib_tag=se&amp;keywords=8710103990710&amp;qid=1750020097&amp;sprefix=8710103990710%2Caps%2C85&amp;sr=8-1</t>
        </is>
      </c>
      <c r="L319" s="18" t="inlineStr">
        <is>
          <t>B0BWFLPZ5G</t>
        </is>
      </c>
      <c r="M319" s="19" t="n">
        <v>57.29</v>
      </c>
      <c r="N319" s="19" t="n"/>
      <c r="O319" s="19" t="n">
        <v>56.77</v>
      </c>
      <c r="P319" s="19">
        <f>O319/1.19</f>
        <v/>
      </c>
      <c r="Q319" s="19">
        <f>O319-P319</f>
        <v/>
      </c>
      <c r="R319" s="19">
        <f>O319*0.15</f>
        <v/>
      </c>
      <c r="S319" s="19" t="n">
        <v>31.1</v>
      </c>
      <c r="T319" s="19">
        <f>S319*0.2</f>
        <v/>
      </c>
      <c r="U319" s="19" t="n">
        <v>0.400000000000002</v>
      </c>
      <c r="V319" s="19" t="n">
        <v>8</v>
      </c>
      <c r="W319" s="19">
        <f>V319*0.2</f>
        <v/>
      </c>
      <c r="X319" s="21">
        <f>O319-Q319-R319-S319-U319-V319+T319+W319</f>
        <v/>
      </c>
      <c r="Y319" s="18" t="n"/>
      <c r="Z319" s="19">
        <f>O319+1.5</f>
        <v/>
      </c>
      <c r="AA319" s="19" t="n"/>
      <c r="AB319" s="19" t="n"/>
      <c r="AC319" s="18" t="n"/>
      <c r="AD319" s="18" t="n"/>
      <c r="AE319" s="13" t="inlineStr">
        <is>
          <t>NOT_UPLOADED</t>
        </is>
      </c>
    </row>
    <row r="320" ht="16" customHeight="1">
      <c r="A320" s="12" t="n">
        <v>8710103990666</v>
      </c>
      <c r="B320" s="12" t="n">
        <v>8710103990666</v>
      </c>
      <c r="C320" s="20" t="inlineStr">
        <is>
          <t>APPROVAL</t>
        </is>
      </c>
      <c r="D320" s="14" t="n"/>
      <c r="E320" s="14" t="n"/>
      <c r="F320" s="12" t="inlineStr">
        <is>
          <t>SCD657/11</t>
        </is>
      </c>
      <c r="G320" s="14" t="inlineStr">
        <is>
          <t>Iventas</t>
        </is>
      </c>
      <c r="H320" s="14" t="inlineStr">
        <is>
          <t>Philips Avent</t>
        </is>
      </c>
      <c r="I320" s="14" t="inlineStr">
        <is>
          <t>Philips Avent Babyflaschen mit AirFree Ventil, Geschenkset für Neugeborene – 4 Babyflaschen, ultra soft Schnuller und Flaschenbürste, Babys von 0–12 Monaten und älter (Modell SCD657/11)</t>
        </is>
      </c>
      <c r="J320" s="14" t="inlineStr">
        <is>
          <t>No</t>
        </is>
      </c>
      <c r="K320" s="14" t="inlineStr">
        <is>
          <t>https://www.amazon.de/Philips-Babyflaschen-AirFree-Geschenkset-Neugeborene/dp/B0BWFLY8HV/ref=sr_1_1?__mk_de_DE=%C3%85M%C3%85%C5%BD%C3%95%C3%91&amp;crid=GIOQ2ONL1OK&amp;dib=eyJ2IjoiMSJ9.lA4vpCju-7FJTPyTAhRK5A.rGdiKRvCcUnuiRhsWqDrPn8qb46GHi3zE2-mb5yE1sg&amp;dib_tag=se&amp;keywords=8710103990666&amp;qid=1750020380&amp;sprefix=8710103990666%2Caps%2C124&amp;sr=8-1&amp;th=1</t>
        </is>
      </c>
      <c r="L320" s="14" t="inlineStr">
        <is>
          <t>B0BWFLY8HV</t>
        </is>
      </c>
      <c r="M320" s="15" t="n">
        <v>64.76000000000001</v>
      </c>
      <c r="N320" s="15" t="n"/>
      <c r="O320" s="15" t="n">
        <v>63.96</v>
      </c>
      <c r="P320" s="15">
        <f>O320/1.19</f>
        <v/>
      </c>
      <c r="Q320" s="15">
        <f>O320-P320</f>
        <v/>
      </c>
      <c r="R320" s="15">
        <f>O320*0.15</f>
        <v/>
      </c>
      <c r="S320" s="15" t="n">
        <v>35.66</v>
      </c>
      <c r="T320" s="15">
        <f>S320*0.2</f>
        <v/>
      </c>
      <c r="U320" s="15" t="n">
        <v>0.400000000000002</v>
      </c>
      <c r="V320" s="15" t="n">
        <v>7</v>
      </c>
      <c r="W320" s="15">
        <f>V320*0.2</f>
        <v/>
      </c>
      <c r="X320" s="21">
        <f>O320-Q320-R320-S320-U320-V320+T320+W320</f>
        <v/>
      </c>
      <c r="Y320" s="14" t="n"/>
      <c r="Z320" s="15">
        <f>O320+1.5</f>
        <v/>
      </c>
      <c r="AA320" s="15" t="n"/>
      <c r="AB320" s="15" t="n"/>
      <c r="AC320" s="14" t="n"/>
      <c r="AD320" s="14" t="n"/>
      <c r="AE320" s="13" t="inlineStr">
        <is>
          <t>NOT_UPLOADED</t>
        </is>
      </c>
    </row>
    <row r="321" ht="16" customHeight="1">
      <c r="A321" s="17" t="n">
        <v>8710103990727</v>
      </c>
      <c r="B321" s="17" t="n">
        <v>8710103990727</v>
      </c>
      <c r="C321" s="20" t="inlineStr">
        <is>
          <t>GLASS-APPROVAL</t>
        </is>
      </c>
      <c r="D321" s="18" t="n"/>
      <c r="E321" s="18" t="n"/>
      <c r="F321" s="17" t="inlineStr">
        <is>
          <t>SCD878/11</t>
        </is>
      </c>
      <c r="G321" s="18" t="inlineStr">
        <is>
          <t>Iventas</t>
        </is>
      </c>
      <c r="H321" s="18" t="inlineStr">
        <is>
          <t>Philips Avent</t>
        </is>
      </c>
      <c r="I321" s="18" t="inlineStr">
        <is>
          <t>Philips Avent Babyflaschen aus Glas, Geschenkset für Neugeborene – 3 Babyflaschen Natural Response, ultra soft Schnuller, für Babys von 0–6 Monaten und älter (Modell SCD878/11)</t>
        </is>
      </c>
      <c r="J321" s="18" t="inlineStr">
        <is>
          <t>No</t>
        </is>
      </c>
      <c r="K321" s="18" t="inlineStr">
        <is>
          <t>https://www.amazon.de/Philips-Avent-Babyflaschen-Geschenkset-Neugeborene/dp/B0BWFJL62B/ref=sr_1_1?__mk_de_DE=%C3%85M%C3%85%C5%BD%C3%95%C3%91&amp;crid=1REJNPV4M6KZR&amp;dib=eyJ2IjoiMSJ9.HmKE8tTuz9ZfcfJUgLz2Qg.TfgXUPiGM6YF0QlI-NC22dzhM2ibXfZ7GQvMA9TZLXY&amp;dib_tag=se&amp;keywords=8710103990727&amp;qid=1750020676&amp;sprefix=8710103990727%2Caps%2C88&amp;sr=8-1&amp;th=1</t>
        </is>
      </c>
      <c r="L321" s="18" t="inlineStr">
        <is>
          <t>B0BWFJL62B</t>
        </is>
      </c>
      <c r="M321" s="19" t="n">
        <v>58.59</v>
      </c>
      <c r="N321" s="19" t="n"/>
      <c r="O321" s="19" t="n">
        <v>57.97</v>
      </c>
      <c r="P321" s="19">
        <f>O321/1.19</f>
        <v/>
      </c>
      <c r="Q321" s="19">
        <f>O321-P321</f>
        <v/>
      </c>
      <c r="R321" s="19">
        <f>O321*0.15</f>
        <v/>
      </c>
      <c r="S321" s="19" t="n">
        <v>30.43</v>
      </c>
      <c r="T321" s="19">
        <f>S321*0.2</f>
        <v/>
      </c>
      <c r="U321" s="19" t="n">
        <v>0.400000000000002</v>
      </c>
      <c r="V321" s="19" t="n">
        <v>9.800000000000001</v>
      </c>
      <c r="W321" s="19">
        <f>V321*0.2</f>
        <v/>
      </c>
      <c r="X321" s="21">
        <f>O321-Q321-R321-S321-U321-V321+T321+W321</f>
        <v/>
      </c>
      <c r="Y321" s="18" t="n"/>
      <c r="Z321" s="19">
        <f>O321+1.5</f>
        <v/>
      </c>
      <c r="AA321" s="19" t="n"/>
      <c r="AB321" s="19" t="n"/>
      <c r="AC321" s="18" t="n"/>
      <c r="AD321" s="18" t="n"/>
      <c r="AE321" s="13" t="inlineStr">
        <is>
          <t>NOT_UPLOADED</t>
        </is>
      </c>
    </row>
    <row r="322" ht="16" customHeight="1">
      <c r="A322" s="12" t="n">
        <v>8710103990673</v>
      </c>
      <c r="B322" s="12" t="n">
        <v>8710103990673</v>
      </c>
      <c r="C322" s="20" t="inlineStr">
        <is>
          <t>APPROVAL</t>
        </is>
      </c>
      <c r="D322" s="14" t="n"/>
      <c r="E322" s="14" t="n"/>
      <c r="F322" s="12" t="inlineStr">
        <is>
          <t>SCD837/11</t>
        </is>
      </c>
      <c r="G322" s="14" t="inlineStr">
        <is>
          <t>Iventas</t>
        </is>
      </c>
      <c r="H322" s="14" t="inlineStr">
        <is>
          <t>Philips Avent</t>
        </is>
      </c>
      <c r="I322" s="14" t="inlineStr">
        <is>
          <t>Philips Avent Natural Response Pack: 2 Decorated 260ml Baby Bottles + 2 Ultra Air Pacifiers 0-6 Months</t>
        </is>
      </c>
      <c r="J322" s="14" t="inlineStr">
        <is>
          <t>No</t>
        </is>
      </c>
      <c r="K322" s="14" t="inlineStr">
        <is>
          <t>https://www.amazon.de/Philips-Avent-Natural-Response-Pack/dp/B0C6B3C4M4/ref=sr_1_1?__mk_de_DE=%C3%85M%C3%85%C5%BD%C3%95%C3%91&amp;crid=1GZJV0H35ERLF&amp;dib=eyJ2IjoiMSJ9.APvsu-pfJIFaXBT87r8xnQ.kBSJfLW-lVoOFTQYsXnDOZbkMvBvIpV-RQwQZrJ4aaw&amp;dib_tag=se&amp;keywords=8710103990673&amp;qid=1750021046&amp;sprefix=8710103990673%2Caps%2C112&amp;sr=8-1</t>
        </is>
      </c>
      <c r="L322" s="14" t="inlineStr">
        <is>
          <t>B0C6B3C4M4</t>
        </is>
      </c>
      <c r="M322" s="15" t="n">
        <v>40.24</v>
      </c>
      <c r="N322" s="15" t="n"/>
      <c r="O322" s="15" t="n">
        <v>39.74</v>
      </c>
      <c r="P322" s="15">
        <f>O322/1.19</f>
        <v/>
      </c>
      <c r="Q322" s="15">
        <f>O322-P322</f>
        <v/>
      </c>
      <c r="R322" s="15">
        <f>O322*0.15</f>
        <v/>
      </c>
      <c r="S322" s="15" t="n">
        <v>21.26</v>
      </c>
      <c r="T322" s="15">
        <f>S322*0.2</f>
        <v/>
      </c>
      <c r="U322" s="15" t="n">
        <v>0.400000000000002</v>
      </c>
      <c r="V322" s="15" t="n">
        <v>4.49</v>
      </c>
      <c r="W322" s="15">
        <f>V322*0.2</f>
        <v/>
      </c>
      <c r="X322" s="21">
        <f>O322-Q322-R322-S322-U322-V322+T322+W322</f>
        <v/>
      </c>
      <c r="Y322" s="14" t="n"/>
      <c r="Z322" s="15">
        <f>O322+1.5</f>
        <v/>
      </c>
      <c r="AA322" s="15" t="n"/>
      <c r="AB322" s="15" t="n"/>
      <c r="AC322" s="14" t="n"/>
      <c r="AD322" s="14" t="n"/>
      <c r="AE322" s="13" t="inlineStr">
        <is>
          <t>NOT_UPLOADED</t>
        </is>
      </c>
    </row>
    <row r="323" ht="16" customHeight="1">
      <c r="A323" s="17" t="n">
        <v>8710103990680</v>
      </c>
      <c r="B323" s="17" t="n">
        <v>8710103990680</v>
      </c>
      <c r="C323" s="13" t="n"/>
      <c r="D323" s="18" t="n"/>
      <c r="E323" s="18" t="inlineStr">
        <is>
          <t>FOR-8710103990680</t>
        </is>
      </c>
      <c r="F323" s="17" t="inlineStr">
        <is>
          <t>SCD837/12</t>
        </is>
      </c>
      <c r="G323" s="18" t="inlineStr">
        <is>
          <t>Iventas</t>
        </is>
      </c>
      <c r="H323" s="18" t="inlineStr">
        <is>
          <t>Philips Avent</t>
        </is>
      </c>
      <c r="I323" s="18" t="inlineStr">
        <is>
          <t>Avent Natural Response Set Neugeborenes SCD837/12</t>
        </is>
      </c>
      <c r="J323" s="18" t="inlineStr">
        <is>
          <t>No</t>
        </is>
      </c>
      <c r="K323" s="18" t="inlineStr">
        <is>
          <t>https://www.amazon.de/Avent-Natural-Response-Neugeborenes-SCD837/dp/B0CP6JZLPJ/ref=sr_1_1?__mk_de_DE=%C3%85M%C3%85%C5%BD%C3%95%C3%91&amp;crid=2MO8HJ4JGMURZ&amp;dib=eyJ2IjoiMSJ9.QrPazYKfoMesMJe3gds5wg.1aWC7F5Pm03_Hf-7cRJAfk0Q2Hg1ESqx-OjnVMwyD9g&amp;dib_tag=se&amp;keywords=8710103990680&amp;qid=1750021254&amp;sprefix=8710103990680%2Caps%2C118&amp;sr=8-1</t>
        </is>
      </c>
      <c r="L323" s="18" t="inlineStr">
        <is>
          <t>B0CP6JZLPJ</t>
        </is>
      </c>
      <c r="M323" s="19" t="n">
        <v>46.5</v>
      </c>
      <c r="N323" s="19" t="n"/>
      <c r="O323" s="19" t="n">
        <v>45.7</v>
      </c>
      <c r="P323" s="19">
        <f>O323/1.19</f>
        <v/>
      </c>
      <c r="Q323" s="19">
        <f>O323-P323</f>
        <v/>
      </c>
      <c r="R323" s="19">
        <f>O323*0.15</f>
        <v/>
      </c>
      <c r="S323" s="19" t="n">
        <v>24.86</v>
      </c>
      <c r="T323" s="19">
        <f>S323*0.2</f>
        <v/>
      </c>
      <c r="U323" s="19" t="n">
        <v>0.400000000000002</v>
      </c>
      <c r="V323" s="19" t="n">
        <v>7</v>
      </c>
      <c r="W323" s="19">
        <f>V323*0.2</f>
        <v/>
      </c>
      <c r="X323" s="21">
        <f>O323-Q323-R323-S323-U323-V323+T323+W323</f>
        <v/>
      </c>
      <c r="Y323" s="18" t="n"/>
      <c r="Z323" s="19">
        <f>O323+1.5</f>
        <v/>
      </c>
      <c r="AA323" s="19" t="n"/>
      <c r="AB323" s="19" t="n"/>
      <c r="AC323" s="18" t="n"/>
      <c r="AD323" s="18" t="n"/>
      <c r="AE323" s="13" t="inlineStr">
        <is>
          <t>NOT_UPLOADED</t>
        </is>
      </c>
    </row>
    <row r="324" ht="16" customHeight="1">
      <c r="A324" s="12" t="n">
        <v>8710103997146</v>
      </c>
      <c r="B324" s="12" t="n">
        <v>8710103997146</v>
      </c>
      <c r="C324" s="20" t="inlineStr">
        <is>
          <t>B0BLNWTDZ9</t>
        </is>
      </c>
      <c r="D324" s="14" t="n"/>
      <c r="E324" s="14" t="inlineStr">
        <is>
          <t>AX-8710103997146</t>
        </is>
      </c>
      <c r="F324" s="12" t="inlineStr">
        <is>
          <t>QP420</t>
        </is>
      </c>
      <c r="G324" s="14" t="inlineStr">
        <is>
          <t>Axxon</t>
        </is>
      </c>
      <c r="H324" s="14" t="inlineStr">
        <is>
          <t>Philips SONICARE</t>
        </is>
      </c>
      <c r="I324" s="14" t="inlineStr">
        <is>
          <t>Klinge One Blade X2 360, doppelte Richtung, kompatibel mit allen Onebalde Philips – QP420.50</t>
        </is>
      </c>
      <c r="J324" s="14" t="inlineStr">
        <is>
          <t>No</t>
        </is>
      </c>
      <c r="K324" s="14" t="inlineStr">
        <is>
          <t>https://www.amazon.de/doppelte-Richtung-kompatibel-Onebalde-Philips/dp/B0C43JZPXT/ref=sr_1_3?__mk_de_DE=%C3%85M%C3%85%C5%BD%C3%95%C3%91&amp;crid=7IQ7E9VQ1X16&amp;dib=eyJ2IjoiMSJ9.u-P5uygJXs992Tfzq-sP8uV2hDQD7arHjVj3SD2Bt9kqp7wjnKc8CT60YW7PywzY2ygHQ6Xy25DYIjSj3KAtNg.jmteGj9-JmNDBQcm4bUQmkGSgKr_UiNFuc-lk963jAE&amp;dib_tag=se&amp;keywords=QP420&amp;qid=1750106236&amp;sprefix=qp420%2Caps%2C103&amp;sr=8-3</t>
        </is>
      </c>
      <c r="L324" s="14" t="inlineStr">
        <is>
          <t>B0C43JZPXT</t>
        </is>
      </c>
      <c r="M324" s="15" t="n"/>
      <c r="N324" s="15" t="n"/>
      <c r="O324" s="15" t="n">
        <v>37.4</v>
      </c>
      <c r="P324" s="15">
        <f>O324/1.19</f>
        <v/>
      </c>
      <c r="Q324" s="15">
        <f>O324-P324</f>
        <v/>
      </c>
      <c r="R324" s="15">
        <f>O324*0.15</f>
        <v/>
      </c>
      <c r="S324" s="15" t="n">
        <v>23.22</v>
      </c>
      <c r="T324" s="15">
        <f>S324*0.2</f>
        <v/>
      </c>
      <c r="U324" s="15" t="n">
        <v>0.400000000000002</v>
      </c>
      <c r="V324" s="15" t="n">
        <v>2.15</v>
      </c>
      <c r="W324" s="15">
        <f>V324*0.2</f>
        <v/>
      </c>
      <c r="X324" s="21">
        <f>O324-Q324-R324-S324-U324-V324+T324+W324</f>
        <v/>
      </c>
      <c r="Y324" s="14" t="n"/>
      <c r="Z324" s="15">
        <f>O324+1.5</f>
        <v/>
      </c>
      <c r="AA324" s="15" t="n"/>
      <c r="AB324" s="15" t="n"/>
      <c r="AC324" s="14" t="n"/>
      <c r="AD324" s="14" t="n"/>
      <c r="AE324" s="13" t="inlineStr">
        <is>
          <t>NOT_UPLOADED</t>
        </is>
      </c>
    </row>
    <row r="325" ht="16" customHeight="1">
      <c r="A325" s="17" t="n">
        <v>8710103850311</v>
      </c>
      <c r="B325" s="17" t="n">
        <v>8710103850311</v>
      </c>
      <c r="C325" s="20" t="inlineStr">
        <is>
          <t>APPROVAL</t>
        </is>
      </c>
      <c r="D325" s="18" t="n"/>
      <c r="E325" s="18" t="n"/>
      <c r="F325" s="17" t="inlineStr">
        <is>
          <t>HX6062/10</t>
        </is>
      </c>
      <c r="G325" s="18" t="inlineStr">
        <is>
          <t>Axxon</t>
        </is>
      </c>
      <c r="H325" s="18" t="inlineStr">
        <is>
          <t>Philips SONICARE</t>
        </is>
      </c>
      <c r="I325" s="18" t="inlineStr">
        <is>
          <t>Philips Sonicare Original W2 Optimal Weiß Standard-Schallzahnbürstenköpfe - 2er-Pack in Weiß (Modell HX6062/10)</t>
        </is>
      </c>
      <c r="J325" s="18" t="inlineStr">
        <is>
          <t>No</t>
        </is>
      </c>
      <c r="K325" s="18" t="inlineStr">
        <is>
          <t>https://www.amazon.de/Philips-Sonicare-Original-Optimal-Standard-Schallzahnb%C3%BCrstenk%C3%B6pfe/dp/B079MD3F7Q/ref=sr_1_1?__mk_de_DE=%C3%85M%C3%85%C5%BD%C3%95%C3%91&amp;crid=1R2V1ZBPS4JMJ&amp;dib=eyJ2IjoiMSJ9.vTCGHh6xgYXosdhT8e5SXHEx0AhfrAgCmAxaWvV95aS5Z-0xOhG88czfy_IJediqDEzn5dqzI0pryhHA2Y9klQ.98cN2q009wP456sFyAHJ5rjYLMjbt7lMpbH1KJGVZ9k&amp;dib_tag=se&amp;keywords=HX6062%2F10&amp;qid=1750106953&amp;sprefix=hx6062%2F10%2Caps%2C106&amp;sr=8-1&amp;th=1</t>
        </is>
      </c>
      <c r="L325" s="18" t="inlineStr">
        <is>
          <t>B079MD3F7Q</t>
        </is>
      </c>
      <c r="M325" s="19" t="n">
        <v>23.26</v>
      </c>
      <c r="N325" s="19" t="n"/>
      <c r="O325" s="19" t="n">
        <v>23.17</v>
      </c>
      <c r="P325" s="19">
        <f>O325/1.19</f>
        <v/>
      </c>
      <c r="Q325" s="19">
        <f>O325-P325</f>
        <v/>
      </c>
      <c r="R325" s="19">
        <f>O325*0.15</f>
        <v/>
      </c>
      <c r="S325" s="19" t="n">
        <v>14.78</v>
      </c>
      <c r="T325" s="19">
        <f>S325*0.2</f>
        <v/>
      </c>
      <c r="U325" s="19" t="n">
        <v>0.400000000000002</v>
      </c>
      <c r="V325" s="19" t="n">
        <v>2.15</v>
      </c>
      <c r="W325" s="19">
        <f>V325*0.2</f>
        <v/>
      </c>
      <c r="X325" s="21">
        <f>O325-Q325-R325-S325-U325-V325+T325+W325</f>
        <v/>
      </c>
      <c r="Y325" s="18" t="n"/>
      <c r="Z325" s="19">
        <f>O325+1.5</f>
        <v/>
      </c>
      <c r="AA325" s="19" t="n"/>
      <c r="AB325" s="19" t="n"/>
      <c r="AC325" s="18" t="n"/>
      <c r="AD325" s="18" t="n"/>
      <c r="AE325" s="13" t="inlineStr">
        <is>
          <t>NOT_UPLOADED</t>
        </is>
      </c>
    </row>
    <row r="326" ht="16" customHeight="1">
      <c r="A326" s="12" t="n">
        <v>8710103850359</v>
      </c>
      <c r="B326" s="12" t="n">
        <v>8710103850359</v>
      </c>
      <c r="C326" s="20" t="inlineStr">
        <is>
          <t>APPROVAL</t>
        </is>
      </c>
      <c r="D326" s="14" t="n"/>
      <c r="E326" s="14" t="n"/>
      <c r="F326" s="12" t="inlineStr">
        <is>
          <t>HX6064/10</t>
        </is>
      </c>
      <c r="G326" s="14" t="inlineStr">
        <is>
          <t>Axxon</t>
        </is>
      </c>
      <c r="H326" s="14" t="inlineStr">
        <is>
          <t>Philips SONICARE</t>
        </is>
      </c>
      <c r="I326" s="14" t="inlineStr">
        <is>
          <t>Philips Sonicare Original W2 Optimal Weiß Standard-Schallzahnbürstenköpfe - 4er-Pack in Weiß (Modell HX6064/10)</t>
        </is>
      </c>
      <c r="J326" s="14" t="inlineStr">
        <is>
          <t>No</t>
        </is>
      </c>
      <c r="K326" s="14" t="inlineStr">
        <is>
          <t>https://www.amazon.de/Philips-Sonicare-Original-Optimal-Standard-Schallzahnb%C3%BCrstenk%C3%B6pfe/dp/B079H8G39B/ref=sr_1_1?__mk_de_DE=%C3%85M%C3%85%C5%BD%C3%95%C3%91&amp;crid=1R2V1ZBPS4JMJ&amp;dib=eyJ2IjoiMSJ9.vTCGHh6xgYXosdhT8e5SXHEx0AhfrAgCmAxaWvV95aS5Z-0xOhG88czfy_IJediqDEzn5dqzI0pryhHA2Y9klQ.98cN2q009wP456sFyAHJ5rjYLMjbt7lMpbH1KJGVZ9k&amp;dib_tag=se&amp;keywords=HX6062%2F10&amp;qid=1750106953&amp;sprefix=hx6062%2F10%2Caps%2C106&amp;sr=8-1&amp;th=1</t>
        </is>
      </c>
      <c r="L326" s="14" t="inlineStr">
        <is>
          <t>B079H8G39B</t>
        </is>
      </c>
      <c r="M326" s="15" t="n">
        <v>37.66</v>
      </c>
      <c r="N326" s="15" t="n"/>
      <c r="O326" s="15" t="n">
        <v>37.37</v>
      </c>
      <c r="P326" s="15">
        <f>O326/1.19</f>
        <v/>
      </c>
      <c r="Q326" s="15">
        <f>O326-P326</f>
        <v/>
      </c>
      <c r="R326" s="15">
        <f>O326*0.15</f>
        <v/>
      </c>
      <c r="S326" s="15" t="n">
        <v>20.52</v>
      </c>
      <c r="T326" s="15">
        <f>S326*0.2</f>
        <v/>
      </c>
      <c r="U326" s="15" t="n">
        <v>0.400000000000002</v>
      </c>
      <c r="V326" s="15" t="n">
        <v>2.82</v>
      </c>
      <c r="W326" s="15">
        <f>V326*0.2</f>
        <v/>
      </c>
      <c r="X326" s="21">
        <f>O326-Q326-R326-S326-U326-V326+T326+W326</f>
        <v/>
      </c>
      <c r="Y326" s="14" t="n"/>
      <c r="Z326" s="15">
        <f>O326+1.5</f>
        <v/>
      </c>
      <c r="AA326" s="15" t="n"/>
      <c r="AB326" s="15" t="n"/>
      <c r="AC326" s="14" t="n"/>
      <c r="AD326" s="14" t="n"/>
      <c r="AE326" s="13" t="inlineStr">
        <is>
          <t>NOT_UPLOADED</t>
        </is>
      </c>
    </row>
    <row r="327" ht="16" customHeight="1">
      <c r="A327" s="17" t="n">
        <v>8710103850359</v>
      </c>
      <c r="B327" s="17" t="n">
        <v>8710103850359</v>
      </c>
      <c r="C327" s="20" t="inlineStr">
        <is>
          <t>APPROVAL</t>
        </is>
      </c>
      <c r="D327" s="18" t="n"/>
      <c r="E327" s="18" t="n"/>
      <c r="F327" s="17" t="inlineStr">
        <is>
          <t>HX6064/10</t>
        </is>
      </c>
      <c r="G327" s="18" t="inlineStr">
        <is>
          <t>Axxon</t>
        </is>
      </c>
      <c r="H327" s="18" t="inlineStr">
        <is>
          <t>Philips SONICARE</t>
        </is>
      </c>
      <c r="I327" s="18" t="inlineStr">
        <is>
          <t>Philips Sonicare Original W2 Optimal Weiß Standard-Schallzahnbürstenköpfe - 4er-Pack in Weiß (Modell HX6064/10)</t>
        </is>
      </c>
      <c r="J327" s="18" t="inlineStr">
        <is>
          <t>No</t>
        </is>
      </c>
      <c r="K327" s="18" t="inlineStr">
        <is>
          <t>https://www.amazon.de/Philips-Sonicare-Original-Optimal-Standard-Schallzahnb%C3%BCrstenk%C3%B6pfe/dp/B079H8G39B/ref=sr_1_1?__mk_de_DE=%C3%85M%C3%85%C5%BD%C3%95%C3%91&amp;crid=1R2V1ZBPS4JMJ&amp;dib=eyJ2IjoiMSJ9.vTCGHh6xgYXosdhT8e5SXHEx0AhfrAgCmAxaWvV95aS5Z-0xOhG88czfy_IJediqDEzn5dqzI0pryhHA2Y9klQ.98cN2q009wP456sFyAHJ5rjYLMjbt7lMpbH1KJGVZ9k&amp;dib_tag=se&amp;keywords=HX6062%2F10&amp;qid=1750106953&amp;sprefix=hx6062%2F10%2Caps%2C106&amp;sr=8-1&amp;th=1</t>
        </is>
      </c>
      <c r="L327" s="18" t="inlineStr">
        <is>
          <t>B079H8G39B</t>
        </is>
      </c>
      <c r="M327" s="19" t="n">
        <v>37.66</v>
      </c>
      <c r="N327" s="19" t="n"/>
      <c r="O327" s="19" t="n">
        <v>37.37</v>
      </c>
      <c r="P327" s="19">
        <f>O327/1.19</f>
        <v/>
      </c>
      <c r="Q327" s="19">
        <f>O327-P327</f>
        <v/>
      </c>
      <c r="R327" s="19">
        <f>O327*0.15</f>
        <v/>
      </c>
      <c r="S327" s="19" t="n">
        <v>23.53</v>
      </c>
      <c r="T327" s="19">
        <f>S327*0.2</f>
        <v/>
      </c>
      <c r="U327" s="19" t="n">
        <v>0.400000000000002</v>
      </c>
      <c r="V327" s="19" t="n">
        <v>2.82</v>
      </c>
      <c r="W327" s="19">
        <f>V327*0.2</f>
        <v/>
      </c>
      <c r="X327" s="21">
        <f>O327-Q327-R327-S327-U327-V327+T327+W327</f>
        <v/>
      </c>
      <c r="Y327" s="18" t="n"/>
      <c r="Z327" s="19">
        <f>O327+1.5</f>
        <v/>
      </c>
      <c r="AA327" s="19" t="n"/>
      <c r="AB327" s="19" t="n"/>
      <c r="AC327" s="18" t="n"/>
      <c r="AD327" s="18" t="n"/>
      <c r="AE327" s="13" t="inlineStr">
        <is>
          <t>NOT_UPLOADED</t>
        </is>
      </c>
    </row>
    <row r="328" ht="16" customHeight="1">
      <c r="A328" s="12" t="n">
        <v>8710103963530</v>
      </c>
      <c r="B328" s="12" t="n">
        <v>8710103963530</v>
      </c>
      <c r="C328" s="13" t="n"/>
      <c r="D328" s="14" t="inlineStr">
        <is>
          <t>HX9092/10</t>
        </is>
      </c>
      <c r="E328" s="14" t="inlineStr">
        <is>
          <t>AX-8710103963530</t>
        </is>
      </c>
      <c r="F328" s="12" t="inlineStr">
        <is>
          <t>SC.HX9092/10</t>
        </is>
      </c>
      <c r="G328" s="14" t="inlineStr">
        <is>
          <t>IVENTAS</t>
        </is>
      </c>
      <c r="H328" s="14" t="inlineStr">
        <is>
          <t>Philips SONICARE</t>
        </is>
      </c>
      <c r="I328" s="14" t="inlineStr">
        <is>
          <t>Philips Sonicare Original A3 Premium All-in-One Standard-Schallzahnbürstenköpfe - 2er-Pack in Weiß (Modell HX9092/10)</t>
        </is>
      </c>
      <c r="J328" s="14" t="inlineStr">
        <is>
          <t>No</t>
        </is>
      </c>
      <c r="K328" s="14" t="inlineStr">
        <is>
          <t>https://www.amazon.de/Philips-Sonicare-Original-Premium-Standard-Schallzahnb%C3%BCrstenk%C3%B6pfe/dp/B08RTFPH2J/ref=sr_1_1?__mk_de_DE=%C3%85M%C3%85%C5%BD%C3%95%C3%91&amp;crid=3BN4FRDAJX06P&amp;dib=eyJ2IjoiMSJ9.0pLvzlf8wNjZxGCX-HSMWhRQQI6yAqxMFvGxj3AWYnD9Y3dNxzmgUmCtVZjC2XqV.oRI9MAaE8CulDvEOnBDqDpWNnYyjLAtXGQp0AJ8p8jI&amp;dib_tag=se&amp;keywords=HX9092%2F10&amp;qid=1750107965&amp;sprefix=hx9092%2F10%2Caps%2C94&amp;sr=8-1&amp;th=1</t>
        </is>
      </c>
      <c r="L328" s="14" t="inlineStr">
        <is>
          <t>B08RTFPH2J</t>
        </is>
      </c>
      <c r="M328" s="15" t="n">
        <v>37.74</v>
      </c>
      <c r="N328" s="15" t="n"/>
      <c r="O328" s="15" t="n">
        <v>39</v>
      </c>
      <c r="P328" s="15">
        <f>O328/1.19</f>
        <v/>
      </c>
      <c r="Q328" s="15">
        <f>O328-P328</f>
        <v/>
      </c>
      <c r="R328" s="15">
        <f>O328*0.15</f>
        <v/>
      </c>
      <c r="S328" s="15" t="n">
        <v>20.52</v>
      </c>
      <c r="T328" s="15">
        <f>S328*0.2</f>
        <v/>
      </c>
      <c r="U328" s="15" t="n">
        <v>0.400000000000002</v>
      </c>
      <c r="V328" s="15" t="n">
        <v>2.15</v>
      </c>
      <c r="W328" s="15">
        <f>V328*0.2</f>
        <v/>
      </c>
      <c r="X328" s="21">
        <f>O328-Q328-R328-S328-U328-V328+T328+W328</f>
        <v/>
      </c>
      <c r="Y328" s="14" t="n"/>
      <c r="Z328" s="15">
        <f>O328+1.5</f>
        <v/>
      </c>
      <c r="AA328" s="15" t="n"/>
      <c r="AB328" s="15" t="n"/>
      <c r="AC328" s="14" t="n"/>
      <c r="AD328" s="14" t="n"/>
      <c r="AE328" s="13" t="inlineStr">
        <is>
          <t>NOT_UPLOADED</t>
        </is>
      </c>
    </row>
    <row r="329" ht="16" customHeight="1">
      <c r="A329" s="17" t="n">
        <v>8710103817390</v>
      </c>
      <c r="B329" s="17" t="n">
        <v>8710103817390</v>
      </c>
      <c r="C329" s="13" t="n"/>
      <c r="D329" s="18" t="inlineStr">
        <is>
          <t>HX9042/17</t>
        </is>
      </c>
      <c r="E329" s="18" t="inlineStr">
        <is>
          <t>AX-8710103817390</t>
        </is>
      </c>
      <c r="F329" s="17" t="inlineStr">
        <is>
          <t>SC.HX9042/17</t>
        </is>
      </c>
      <c r="G329" s="18" t="inlineStr">
        <is>
          <t>IVENTAS</t>
        </is>
      </c>
      <c r="H329" s="18" t="inlineStr">
        <is>
          <t>Philips SONICARE</t>
        </is>
      </c>
      <c r="I329" s="18" t="inlineStr">
        <is>
          <t>Philips Sonicare Original AdaptiveClean Standard-Schallzahnbürstenköpfe - 2er-Pack in Weiß (Modell HX9042/17)</t>
        </is>
      </c>
      <c r="J329" s="18" t="inlineStr">
        <is>
          <t>No</t>
        </is>
      </c>
      <c r="K329" s="18" t="inlineStr">
        <is>
          <t>https://www.amazon.de/Philips-Sonicare-Original-AdaptiveClean-Standard-Schallzahnb%C3%BCrstenk%C3%B6pfe/dp/B074D18BF3/ref=sr_1_1?__mk_de_DE=%C3%85M%C3%85%C5%BD%C3%95%C3%91&amp;crid=8WMO8XISOGY0&amp;dib=eyJ2IjoiMSJ9.ZkHok9VNT4EWdlPg0gf6d0jiURFQAshx4uVpQJJNP98OJduQ6Gs-ZYZCmdsCIl49h-YFxkNU66vw9-V-IX0Jvum7S_5IQAx8oi4-Br54mTfRjJP7Uhe-FFfrhzX2jgUj.xENFVaEg_keGxXpRolqpYmFbmivlkg9P19ex6NjeC6M&amp;dib_tag=se&amp;keywords=HX9042%2F17&amp;qid=1750108603&amp;sprefix=hx9042%2F17%2Caps%2C113&amp;sr=8-1&amp;th=1</t>
        </is>
      </c>
      <c r="L329" s="18" t="inlineStr">
        <is>
          <t>B074D18BF3</t>
        </is>
      </c>
      <c r="M329" s="19" t="n">
        <v>30.58</v>
      </c>
      <c r="N329" s="19" t="n"/>
      <c r="O329" s="19" t="n">
        <v>30.49</v>
      </c>
      <c r="P329" s="19">
        <f>O329/1.19</f>
        <v/>
      </c>
      <c r="Q329" s="19">
        <f>O329-P329</f>
        <v/>
      </c>
      <c r="R329" s="19">
        <f>O329*0.15</f>
        <v/>
      </c>
      <c r="S329" s="19" t="n">
        <v>17.05</v>
      </c>
      <c r="T329" s="19">
        <f>S329*0.2</f>
        <v/>
      </c>
      <c r="U329" s="19" t="n">
        <v>0.400000000000002</v>
      </c>
      <c r="V329" s="19" t="n">
        <v>2.15</v>
      </c>
      <c r="W329" s="19">
        <f>V329*0.2</f>
        <v/>
      </c>
      <c r="X329" s="21">
        <f>O329-Q329-R329-S329-U329-V329+T329+W329</f>
        <v/>
      </c>
      <c r="Y329" s="18" t="n"/>
      <c r="Z329" s="19">
        <f>O329+1.5</f>
        <v/>
      </c>
      <c r="AA329" s="19" t="n"/>
      <c r="AB329" s="19" t="n"/>
      <c r="AC329" s="18" t="n"/>
      <c r="AD329" s="18" t="n"/>
      <c r="AE329" s="13" t="inlineStr">
        <is>
          <t>NOT_UPLOADED</t>
        </is>
      </c>
    </row>
    <row r="330" ht="16" customHeight="1">
      <c r="A330" s="12" t="n">
        <v>8710103805601</v>
      </c>
      <c r="B330" s="12" t="n">
        <v>8710103805601</v>
      </c>
      <c r="C330" s="13" t="n"/>
      <c r="D330" s="14" t="inlineStr">
        <is>
          <t>HX9042/33</t>
        </is>
      </c>
      <c r="E330" s="14" t="inlineStr">
        <is>
          <t>AX-8710103805601</t>
        </is>
      </c>
      <c r="F330" s="12" t="inlineStr">
        <is>
          <t>SC.HX9042/33</t>
        </is>
      </c>
      <c r="G330" s="14" t="inlineStr">
        <is>
          <t>IVENTAS</t>
        </is>
      </c>
      <c r="H330" s="14" t="inlineStr">
        <is>
          <t>Philips SONICARE</t>
        </is>
      </c>
      <c r="I330" s="14" t="inlineStr">
        <is>
          <t>Philips Sonicare Original C3 Premium Plaque Defence Standard Schallzahnbürstenköpfe - 2er-Pack in Schwarz (Modell HX9042/33)</t>
        </is>
      </c>
      <c r="J330" s="14" t="inlineStr">
        <is>
          <t>No</t>
        </is>
      </c>
      <c r="K330" s="14" t="inlineStr">
        <is>
          <t>https://www.amazon.de/Philips-Aufsteckb%C3%BCrste-HX9042-33-Plaqueentfernung/dp/B074D2BBP6/ref=sr_1_1?__mk_de_DE=%C3%85M%C3%85%C5%BD%C3%95%C3%91&amp;crid=NWEEJPWKSX7R&amp;dib=eyJ2IjoiMSJ9.PGrRcPT-bF0QfG7sjvLcEZI_5PDt7SZ2jC_8xFOxIBBf9USnp4QalvZeFWW5hJJkxkV55ncooVTVGeR-IhPlU9_WjKIqdrATaSly_CmT4cENqc8JO_e7pE5X4P4K7jKhP9TN028nTwwBBJySrWmSzA.iA8EoQzaXq8Z2jxl8JVCsXqLNFPlFoH8zqkbDzDokFA&amp;dib_tag=se&amp;keywords=HX9042%2F33&amp;qid=1750108941&amp;sprefix=hx9042%2F33%2Caps%2C124&amp;sr=8-1&amp;th=1</t>
        </is>
      </c>
      <c r="L330" s="14" t="inlineStr">
        <is>
          <t>B074D2BBP6</t>
        </is>
      </c>
      <c r="M330" s="15" t="n"/>
      <c r="N330" s="15" t="n"/>
      <c r="O330" s="15" t="n">
        <v>34.77</v>
      </c>
      <c r="P330" s="15">
        <f>O330/1.19</f>
        <v/>
      </c>
      <c r="Q330" s="15">
        <f>O330-P330</f>
        <v/>
      </c>
      <c r="R330" s="15">
        <f>O330*0.15</f>
        <v/>
      </c>
      <c r="S330" s="15" t="n">
        <v>17.05</v>
      </c>
      <c r="T330" s="15">
        <f>S330*0.2</f>
        <v/>
      </c>
      <c r="U330" s="15" t="n">
        <v>0.400000000000002</v>
      </c>
      <c r="V330" s="15" t="n">
        <v>2.15</v>
      </c>
      <c r="W330" s="15">
        <f>V330*0.2</f>
        <v/>
      </c>
      <c r="X330" s="21">
        <f>O330-Q330-R330-S330-U330-V330+T330+W330</f>
        <v/>
      </c>
      <c r="Y330" s="14" t="n"/>
      <c r="Z330" s="15">
        <f>O330+1.5</f>
        <v/>
      </c>
      <c r="AA330" s="15" t="n"/>
      <c r="AB330" s="15" t="n"/>
      <c r="AC330" s="14" t="n"/>
      <c r="AD330" s="14" t="n"/>
      <c r="AE330" s="13" t="inlineStr">
        <is>
          <t>NOT_UPLOADED</t>
        </is>
      </c>
    </row>
    <row r="331" ht="16" customHeight="1">
      <c r="A331" s="17" t="n">
        <v>8720689020121</v>
      </c>
      <c r="B331" s="17" t="n">
        <v>8720689020121</v>
      </c>
      <c r="C331" s="13" t="n"/>
      <c r="D331" s="18" t="n"/>
      <c r="E331" s="18" t="inlineStr">
        <is>
          <t>AX-8720689020121</t>
        </is>
      </c>
      <c r="F331" s="17" t="inlineStr">
        <is>
          <t>HX6052/10</t>
        </is>
      </c>
      <c r="G331" s="18" t="inlineStr">
        <is>
          <t>Axxon</t>
        </is>
      </c>
      <c r="H331" s="18" t="inlineStr">
        <is>
          <t>Philips SONICARE</t>
        </is>
      </c>
      <c r="I331" s="18" t="inlineStr">
        <is>
          <t>Philips Ersatz für elektrische Zahnbürste HX6052/10 (2 Stück) (2 Stück)</t>
        </is>
      </c>
      <c r="J331" s="18" t="inlineStr">
        <is>
          <t>No</t>
        </is>
      </c>
      <c r="K331" s="18" t="inlineStr">
        <is>
          <t>https://www.amazon.de/Philips-Ersatz-elektrische-Zahnb%C3%BCrste-HX6052/dp/B0CR4978LD/ref=sr_1_5?crid=3RNK5MPU1NE5&amp;dib=eyJ2IjoiMSJ9.7lwzKM6lVVSMj8_mbev4VV6-3fxP2ZOssdtndhglFcGNZgBJysVvky3YyT4TrPBdBu0NattIX8wSQEeGjDHTAw.EUWc48Y2jwF3RAhLX_eyH9XU6cciJaY3Mvo1tMZWPkI&amp;dib_tag=se&amp;keywords=hx6052%2F10&amp;qid=1750109285&amp;sprefix=HX6052%2F10%2Caps%2C113&amp;sr=8-5</t>
        </is>
      </c>
      <c r="L331" s="18" t="inlineStr">
        <is>
          <t>B0CR4978LD</t>
        </is>
      </c>
      <c r="M331" s="19" t="n"/>
      <c r="N331" s="19" t="n"/>
      <c r="O331" s="19" t="n">
        <v>29.99</v>
      </c>
      <c r="P331" s="19">
        <f>O331/1.19</f>
        <v/>
      </c>
      <c r="Q331" s="19">
        <f>O331-P331</f>
        <v/>
      </c>
      <c r="R331" s="19">
        <f>O331*0.15</f>
        <v/>
      </c>
      <c r="S331" s="19" t="n">
        <v>14.78</v>
      </c>
      <c r="T331" s="19">
        <f>S331*0.2</f>
        <v/>
      </c>
      <c r="U331" s="19" t="n">
        <v>0.400000000000002</v>
      </c>
      <c r="V331" s="19" t="n">
        <v>3</v>
      </c>
      <c r="W331" s="19">
        <f>V331*0.2</f>
        <v/>
      </c>
      <c r="X331" s="21">
        <f>O331-Q331-R331-S331-U331-V331+T331+W331</f>
        <v/>
      </c>
      <c r="Y331" s="18" t="n"/>
      <c r="Z331" s="19">
        <f>O331+1.5</f>
        <v/>
      </c>
      <c r="AA331" s="19" t="n"/>
      <c r="AB331" s="19" t="n"/>
      <c r="AC331" s="18" t="n"/>
      <c r="AD331" s="18" t="n"/>
      <c r="AE331" s="13" t="inlineStr">
        <is>
          <t>NOT_UPLOADED</t>
        </is>
      </c>
    </row>
    <row r="332" ht="16" customHeight="1">
      <c r="A332" s="12" t="n">
        <v>8710103786832</v>
      </c>
      <c r="B332" s="12" t="n">
        <v>8710103786832</v>
      </c>
      <c r="C332" s="13" t="n"/>
      <c r="D332" s="14" t="n"/>
      <c r="E332" s="14" t="inlineStr">
        <is>
          <t>AX-8710103786832</t>
        </is>
      </c>
      <c r="F332" s="12" t="inlineStr">
        <is>
          <t>HX6042/33</t>
        </is>
      </c>
      <c r="G332" s="14" t="inlineStr">
        <is>
          <t>Axxon</t>
        </is>
      </c>
      <c r="H332" s="14" t="inlineStr">
        <is>
          <t>Philips SONICARE</t>
        </is>
      </c>
      <c r="I332" s="14" t="inlineStr">
        <is>
          <t>Philips Sonicare for KIDS Standard- Bürstenkopf 7+</t>
        </is>
      </c>
      <c r="J332" s="14" t="inlineStr">
        <is>
          <t>No</t>
        </is>
      </c>
      <c r="K332" s="14" t="inlineStr">
        <is>
          <t>https://www.amazon.de/Philips-Sonicare-KIDS-Standard-B%C3%BCrstenkopf/dp/B00I9U0TDQ/ref=sr_1_4?__mk_de_DE=%C3%85M%C3%85%C5%BD%C3%95%C3%91&amp;crid=1YKE0FWDY4MOJ&amp;dib=eyJ2IjoiMSJ9.LG6yT2-e4TDjT0SWvGqzjhQIouh8HDKeZiszTYGyWiN2Gyc4cWht29Cr1KZ5fVC52zFZfliSpkup3rmYKycB1mmZ-UW3XHbPhrE_216WcOnRK2835BPMylqNzszb1UtiWR36_t0yvmwJVl4IonPCB5zLrFcu9H0SKGoIDIVBn8kbOFKym6-cnzTjoG0CfxNJN3kUyN6Qf5py60Gs8sGVjABwDQZMh2R5i99yjjxG0pM.qkaGNj1KHR_qTYWSywL2WPL9khf1qucv5aK6ZdS6KLs&amp;dib_tag=se&amp;keywords=hx6032%2F33&amp;qid=1750109635&amp;sprefix=hx6032%2F33%2Caps%2C101&amp;sr=8-4&amp;th=1</t>
        </is>
      </c>
      <c r="L332" s="14" t="inlineStr">
        <is>
          <t>B00I9U0TDQ</t>
        </is>
      </c>
      <c r="M332" s="15" t="n">
        <v>19.62</v>
      </c>
      <c r="N332" s="15" t="n"/>
      <c r="O332" s="15" t="n">
        <v>19.36</v>
      </c>
      <c r="P332" s="15">
        <f>O332/1.19</f>
        <v/>
      </c>
      <c r="Q332" s="15">
        <f>O332-P332</f>
        <v/>
      </c>
      <c r="R332" s="15">
        <f>O332*0.15</f>
        <v/>
      </c>
      <c r="S332" s="15" t="n">
        <v>10.94</v>
      </c>
      <c r="T332" s="15">
        <f>S332*0.2</f>
        <v/>
      </c>
      <c r="U332" s="15" t="n">
        <v>0.400000000000002</v>
      </c>
      <c r="V332" s="15" t="n">
        <v>2.15</v>
      </c>
      <c r="W332" s="15">
        <f>V332*0.2</f>
        <v/>
      </c>
      <c r="X332" s="21">
        <f>O332-Q332-R332-S332-U332-V332+T332+W332</f>
        <v/>
      </c>
      <c r="Y332" s="14" t="n"/>
      <c r="Z332" s="15">
        <f>O332+1.5</f>
        <v/>
      </c>
      <c r="AA332" s="15" t="n"/>
      <c r="AB332" s="15" t="n"/>
      <c r="AC332" s="14" t="n"/>
      <c r="AD332" s="14" t="n"/>
      <c r="AE332" s="13" t="inlineStr">
        <is>
          <t>NOT_UPLOADED</t>
        </is>
      </c>
    </row>
    <row r="333" ht="16" customHeight="1">
      <c r="A333" s="17" t="n">
        <v>4008600427186</v>
      </c>
      <c r="B333" s="17" t="n">
        <v>4008600427186</v>
      </c>
      <c r="C333" s="13" t="n"/>
      <c r="D333" s="18" t="inlineStr">
        <is>
          <t>FR,ES</t>
        </is>
      </c>
      <c r="E333" s="18" t="inlineStr">
        <is>
          <t>BEB-4008600427186</t>
        </is>
      </c>
      <c r="F333" s="17" t="n">
        <v>10175325</v>
      </c>
      <c r="G333" s="18" t="inlineStr">
        <is>
          <t>Bebolino</t>
        </is>
      </c>
      <c r="H333" s="18" t="inlineStr">
        <is>
          <t>Nuk</t>
        </is>
      </c>
      <c r="I333" s="18" t="inlineStr">
        <is>
          <t>NUK Signature Night Babyschnuller | 0−6 Monate | Beruhigt 95 % der Babys | BPA-freie Silikonschnuller in Herzform | Leuchtet im Dunkeln | Mit Etui | Blaue Sterne | 2 Stück</t>
        </is>
      </c>
      <c r="J333" s="18" t="inlineStr">
        <is>
          <t>No</t>
        </is>
      </c>
      <c r="K333" s="18" t="inlineStr">
        <is>
          <t>https://www.amazon.de/dp/B0C4Q69PQ9?m=A21BUQYKVNWJ4Y&amp;ref=psp_pc_a_A3LN6EJU9V26LZ&amp;th=1</t>
        </is>
      </c>
      <c r="L333" s="18" t="inlineStr">
        <is>
          <t>B0C4Q69PQ9</t>
        </is>
      </c>
      <c r="M333" s="19" t="n">
        <v>10.53</v>
      </c>
      <c r="N333" s="19" t="n"/>
      <c r="O333" s="19" t="n">
        <v>9.85</v>
      </c>
      <c r="P333" s="19">
        <f>O333/1.19</f>
        <v/>
      </c>
      <c r="Q333" s="19">
        <f>O333-P333</f>
        <v/>
      </c>
      <c r="R333" s="19">
        <f>O333*0.15</f>
        <v/>
      </c>
      <c r="S333" s="19" t="n">
        <v>4.1</v>
      </c>
      <c r="T333" s="19">
        <f>S333*0.2</f>
        <v/>
      </c>
      <c r="U333" s="19" t="n">
        <v>0.400000000000002</v>
      </c>
      <c r="V333" s="19" t="n">
        <v>2.15</v>
      </c>
      <c r="W333" s="19">
        <f>V333*0.2</f>
        <v/>
      </c>
      <c r="X333" s="16">
        <f>O333-Q333-R333-S333-U333-V333+T333+W333</f>
        <v/>
      </c>
      <c r="Y333" s="18" t="n"/>
      <c r="Z333" s="19">
        <f>O333+1.5</f>
        <v/>
      </c>
      <c r="AA333" s="19" t="n"/>
      <c r="AB333" s="19" t="n"/>
      <c r="AC333" s="18" t="n"/>
      <c r="AD333" s="18" t="n"/>
      <c r="AE333" s="13" t="inlineStr">
        <is>
          <t>NOT_UPLOADED</t>
        </is>
      </c>
    </row>
    <row r="334" ht="16" customHeight="1">
      <c r="A334" s="12" t="n">
        <v>4008600427179</v>
      </c>
      <c r="B334" s="12" t="n">
        <v>4008600427179</v>
      </c>
      <c r="C334" s="13" t="n"/>
      <c r="D334" s="14" t="inlineStr">
        <is>
          <t>FR,ES</t>
        </is>
      </c>
      <c r="E334" s="14" t="inlineStr">
        <is>
          <t>BEB-4008600427179</t>
        </is>
      </c>
      <c r="F334" s="12" t="n">
        <v>10175326</v>
      </c>
      <c r="G334" s="14" t="inlineStr">
        <is>
          <t>Bebolino</t>
        </is>
      </c>
      <c r="H334" s="14" t="inlineStr">
        <is>
          <t>Nuk</t>
        </is>
      </c>
      <c r="I334" s="14" t="inlineStr">
        <is>
          <t>NUK Signature Night Babyschnuller | 0−6 Monate | Beruhigt 95 % der Babys | BPA-freie Silikonschnuller in Herzform | Leuchtet im Dunkeln | Mit Etui | Rote Herzen | 2 Stück</t>
        </is>
      </c>
      <c r="J334" s="14" t="inlineStr">
        <is>
          <t>No</t>
        </is>
      </c>
      <c r="K334" s="14" t="inlineStr">
        <is>
          <t>https://www.amazon.de/dp/B0C4Q3DF1L?m=A21BUQYKVNWJ4Y&amp;ref=psp_pc_a_A3LN6EJU9V26LZ&amp;th=1</t>
        </is>
      </c>
      <c r="L334" s="14" t="inlineStr">
        <is>
          <t>B0C4Q3DF1L</t>
        </is>
      </c>
      <c r="M334" s="15" t="n">
        <v>10.53</v>
      </c>
      <c r="N334" s="15" t="n"/>
      <c r="O334" s="15" t="n">
        <v>11.55</v>
      </c>
      <c r="P334" s="15">
        <f>O334/1.19</f>
        <v/>
      </c>
      <c r="Q334" s="15">
        <f>O334-P334</f>
        <v/>
      </c>
      <c r="R334" s="15">
        <f>O334*0.15</f>
        <v/>
      </c>
      <c r="S334" s="15" t="n">
        <v>4.1</v>
      </c>
      <c r="T334" s="15">
        <f>S334*0.2</f>
        <v/>
      </c>
      <c r="U334" s="15" t="n">
        <v>0.400000000000002</v>
      </c>
      <c r="V334" s="15" t="n">
        <v>2.15</v>
      </c>
      <c r="W334" s="15">
        <f>V334*0.2</f>
        <v/>
      </c>
      <c r="X334" s="21">
        <f>O334-Q334-R334-S334-U334-V334+T334+W334</f>
        <v/>
      </c>
      <c r="Y334" s="14" t="n"/>
      <c r="Z334" s="15">
        <f>O334+1.5</f>
        <v/>
      </c>
      <c r="AA334" s="15" t="n"/>
      <c r="AB334" s="15" t="n"/>
      <c r="AC334" s="14" t="n"/>
      <c r="AD334" s="14" t="n"/>
      <c r="AE334" s="13" t="inlineStr">
        <is>
          <t>NOT_UPLOADED</t>
        </is>
      </c>
    </row>
    <row r="335" ht="16" customHeight="1">
      <c r="A335" s="17" t="n">
        <v>4008600421962</v>
      </c>
      <c r="B335" s="17" t="n">
        <v>4008600421962</v>
      </c>
      <c r="C335" s="13" t="n"/>
      <c r="D335" s="18" t="n"/>
      <c r="E335" s="18" t="inlineStr">
        <is>
          <t>BEB-4008600421962</t>
        </is>
      </c>
      <c r="F335" s="17" t="n">
        <v>10255679</v>
      </c>
      <c r="G335" s="18" t="inlineStr">
        <is>
          <t>Bebolino</t>
        </is>
      </c>
      <c r="H335" s="18" t="inlineStr">
        <is>
          <t>Nuk</t>
        </is>
      </c>
      <c r="I335" s="18" t="inlineStr">
        <is>
          <t>NUK Magic Cup Trinklernbecher aus Edelstahl | Hält länger warm oder kalt | 8+ Monate | 230 ml | auslaufsicherer 360°-Trinkrand | BPA-frei und auswaschbar | Blau</t>
        </is>
      </c>
      <c r="J335" s="18" t="inlineStr">
        <is>
          <t>No</t>
        </is>
      </c>
      <c r="K335" s="18" t="inlineStr">
        <is>
          <t>https://www.amazon.de/dp/B0BFX4DR8H?m=A21BUQYKVNWJ4Y&amp;ref=psp_pc_a_A3LN6EJU9V26LZ&amp;th=1</t>
        </is>
      </c>
      <c r="L335" s="18" t="inlineStr">
        <is>
          <t>B0BFX4DR8H</t>
        </is>
      </c>
      <c r="M335" s="19" t="n">
        <v>31.69</v>
      </c>
      <c r="N335" s="19" t="n"/>
      <c r="O335" s="19" t="n">
        <v>28.9</v>
      </c>
      <c r="P335" s="19">
        <f>O335/1.19</f>
        <v/>
      </c>
      <c r="Q335" s="19">
        <f>O335-P335</f>
        <v/>
      </c>
      <c r="R335" s="19">
        <f>O335*0.15</f>
        <v/>
      </c>
      <c r="S335" s="19" t="n">
        <v>16.88</v>
      </c>
      <c r="T335" s="19">
        <f>S335*0.2</f>
        <v/>
      </c>
      <c r="U335" s="19" t="n">
        <v>0.400000000000002</v>
      </c>
      <c r="V335" s="19" t="n">
        <v>4.05</v>
      </c>
      <c r="W335" s="19">
        <f>V335*0.2</f>
        <v/>
      </c>
      <c r="X335" s="21">
        <f>O335-Q335-R335-S335-U335-V335+T335+W335</f>
        <v/>
      </c>
      <c r="Y335" s="18" t="n"/>
      <c r="Z335" s="19">
        <f>O335+1.5</f>
        <v/>
      </c>
      <c r="AA335" s="19" t="n"/>
      <c r="AB335" s="19" t="n"/>
      <c r="AC335" s="18" t="n"/>
      <c r="AD335" s="18" t="n"/>
      <c r="AE335" s="13" t="inlineStr">
        <is>
          <t>NOT_UPLOADED</t>
        </is>
      </c>
    </row>
    <row r="336" ht="16" customHeight="1">
      <c r="A336" s="12" t="n">
        <v>4008600419587</v>
      </c>
      <c r="B336" s="12" t="n">
        <v>4008600419587</v>
      </c>
      <c r="C336" s="13" t="n"/>
      <c r="D336" s="14" t="n"/>
      <c r="E336" s="14" t="inlineStr">
        <is>
          <t>BEB-4008600419587</t>
        </is>
      </c>
      <c r="F336" s="12" t="n">
        <v>10215369</v>
      </c>
      <c r="G336" s="14" t="inlineStr">
        <is>
          <t>Bebolino</t>
        </is>
      </c>
      <c r="H336" s="14" t="inlineStr">
        <is>
          <t>Nuk</t>
        </is>
      </c>
      <c r="I336" s="14" t="inlineStr">
        <is>
          <t>NUK for Nature Trinklernbecher | 150ml | Haltegriffe und brustähnlicher Trinkschnabel | Auslaufsicher | 6−18 M | Anti-Colic | Temperature Control | Nachhaltige, BPA-freie Materialien | Grün</t>
        </is>
      </c>
      <c r="J336" s="14" t="inlineStr">
        <is>
          <t>No</t>
        </is>
      </c>
      <c r="K336" s="14" t="inlineStr">
        <is>
          <t>https://www.amazon.de/dp/B0BB1T1BQZ?m=A21BUQYKVNWJ4Y&amp;ref=psp_pc_a_A3LN6EJU9V26LZ&amp;th=1</t>
        </is>
      </c>
      <c r="L336" s="14" t="inlineStr">
        <is>
          <t>B0BB1T1BQZ</t>
        </is>
      </c>
      <c r="M336" s="15" t="n">
        <v>16.41</v>
      </c>
      <c r="N336" s="15" t="n"/>
      <c r="O336" s="15" t="n">
        <v>16</v>
      </c>
      <c r="P336" s="15">
        <f>O336/1.19</f>
        <v/>
      </c>
      <c r="Q336" s="15">
        <f>O336-P336</f>
        <v/>
      </c>
      <c r="R336" s="15">
        <f>O336*0.15</f>
        <v/>
      </c>
      <c r="S336" s="15" t="n">
        <v>7.16</v>
      </c>
      <c r="T336" s="15">
        <f>S336*0.2</f>
        <v/>
      </c>
      <c r="U336" s="15" t="n">
        <v>0.400000000000002</v>
      </c>
      <c r="V336" s="15" t="n">
        <v>3.5</v>
      </c>
      <c r="W336" s="15">
        <f>V336*0.2</f>
        <v/>
      </c>
      <c r="X336" s="21">
        <f>O336-Q336-R336-S336-U336-V336+T336+W336</f>
        <v/>
      </c>
      <c r="Y336" s="14" t="n"/>
      <c r="Z336" s="15">
        <f>O336+1.5</f>
        <v/>
      </c>
      <c r="AA336" s="15" t="n"/>
      <c r="AB336" s="15" t="n"/>
      <c r="AC336" s="14" t="n"/>
      <c r="AD336" s="14" t="n"/>
      <c r="AE336" s="13" t="inlineStr">
        <is>
          <t>NOT_UPLOADED</t>
        </is>
      </c>
    </row>
    <row r="337" ht="16" customHeight="1">
      <c r="A337" s="17" t="n">
        <v>4008600434641</v>
      </c>
      <c r="B337" s="17" t="n">
        <v>4008600434641</v>
      </c>
      <c r="C337" s="13" t="n"/>
      <c r="D337" s="18" t="n"/>
      <c r="E337" s="18" t="inlineStr">
        <is>
          <t>BEB-4008600434641</t>
        </is>
      </c>
      <c r="F337" s="17" t="n">
        <v>10225322</v>
      </c>
      <c r="G337" s="18" t="inlineStr">
        <is>
          <t>Bebolino</t>
        </is>
      </c>
      <c r="H337" s="18" t="inlineStr">
        <is>
          <t>Nuk</t>
        </is>
      </c>
      <c r="I337" s="18" t="inlineStr">
        <is>
          <t>NUK Mini-Me Sip für Kleinkinder | ab 9 Monate | 300 ml | Kinderwasserflasche | auslaufsichere stabile Trinköffnung | bruchsicher | Minze/Biene</t>
        </is>
      </c>
      <c r="J337" s="18" t="inlineStr">
        <is>
          <t>No</t>
        </is>
      </c>
      <c r="K337" s="18" t="inlineStr">
        <is>
          <t>https://www.amazon.de/dp/B0CNXVJQ7Z?m=A21BUQYKVNWJ4Y&amp;ref=psp_pc_a_A3LN6EJU9V26LZ&amp;th=1</t>
        </is>
      </c>
      <c r="L337" s="18" t="inlineStr">
        <is>
          <t>B0CNXVJQ7Z</t>
        </is>
      </c>
      <c r="M337" s="19" t="n">
        <v>15.08</v>
      </c>
      <c r="N337" s="19" t="n"/>
      <c r="O337" s="19" t="n">
        <v>15.05</v>
      </c>
      <c r="P337" s="19">
        <f>O337/1.19</f>
        <v/>
      </c>
      <c r="Q337" s="19">
        <f>O337-P337</f>
        <v/>
      </c>
      <c r="R337" s="19">
        <f>O337*0.15</f>
        <v/>
      </c>
      <c r="S337" s="19" t="n">
        <v>6.65</v>
      </c>
      <c r="T337" s="19">
        <f>S337*0.2</f>
        <v/>
      </c>
      <c r="U337" s="19" t="n">
        <v>0.400000000000002</v>
      </c>
      <c r="V337" s="19" t="n">
        <v>3.07</v>
      </c>
      <c r="W337" s="19">
        <f>V337*0.2</f>
        <v/>
      </c>
      <c r="X337" s="21">
        <f>O337-Q337-R337-S337-U337-V337+T337+W337</f>
        <v/>
      </c>
      <c r="Y337" s="18" t="n"/>
      <c r="Z337" s="19">
        <f>O337+1.5</f>
        <v/>
      </c>
      <c r="AA337" s="19" t="n"/>
      <c r="AB337" s="19" t="n"/>
      <c r="AC337" s="18" t="n"/>
      <c r="AD337" s="18" t="n"/>
      <c r="AE337" s="13" t="inlineStr">
        <is>
          <t>NOT_UPLOADED</t>
        </is>
      </c>
    </row>
    <row r="338" ht="16" customHeight="1">
      <c r="A338" s="12" t="n">
        <v>4008600401964</v>
      </c>
      <c r="B338" s="12" t="n">
        <v>4008600401964</v>
      </c>
      <c r="C338" s="20" t="inlineStr">
        <is>
          <t>APPROVAL</t>
        </is>
      </c>
      <c r="D338" s="14" t="n"/>
      <c r="E338" s="14" t="inlineStr">
        <is>
          <t>NA</t>
        </is>
      </c>
      <c r="F338" s="12" t="n">
        <v>10175287</v>
      </c>
      <c r="G338" s="14" t="inlineStr">
        <is>
          <t>Bebolino</t>
        </is>
      </c>
      <c r="H338" s="14" t="inlineStr">
        <is>
          <t>Nuk</t>
        </is>
      </c>
      <c r="I338" s="14" t="inlineStr">
        <is>
          <t>NUK Star Babyschnuller | 0–6 Monate | Day &amp; Night Schnuller | BPA-freies Silikon | Blue Koala | 2-teilig</t>
        </is>
      </c>
      <c r="J338" s="14" t="inlineStr">
        <is>
          <t>No</t>
        </is>
      </c>
      <c r="K338" s="14" t="inlineStr">
        <is>
          <t>https://www.amazon.de/dp/B09PGK52TJ?m=A21BUQYKVNWJ4Y&amp;ref=psp_pc_a_A3LN6EJU9V26LZ&amp;th=1</t>
        </is>
      </c>
      <c r="L338" s="14" t="inlineStr">
        <is>
          <t>B09PGK52TJ</t>
        </is>
      </c>
      <c r="M338" s="15" t="n">
        <v>10.53</v>
      </c>
      <c r="N338" s="15" t="n"/>
      <c r="O338" s="15" t="n">
        <v>10.39</v>
      </c>
      <c r="P338" s="15">
        <f>O338/1.19</f>
        <v/>
      </c>
      <c r="Q338" s="15">
        <f>O338-P338</f>
        <v/>
      </c>
      <c r="R338" s="15">
        <f>O338*0.15</f>
        <v/>
      </c>
      <c r="S338" s="15" t="n">
        <v>4.09</v>
      </c>
      <c r="T338" s="15">
        <f>S338*0.2</f>
        <v/>
      </c>
      <c r="U338" s="15" t="n">
        <v>0.400000000000002</v>
      </c>
      <c r="V338" s="15" t="n">
        <v>2.15</v>
      </c>
      <c r="W338" s="15">
        <f>V338*0.2</f>
        <v/>
      </c>
      <c r="X338" s="16">
        <f>O338-Q338-R338-S338-U338-V338+T338+W338</f>
        <v/>
      </c>
      <c r="Y338" s="14" t="n"/>
      <c r="Z338" s="15">
        <f>O338+1.5</f>
        <v/>
      </c>
      <c r="AA338" s="15" t="n"/>
      <c r="AB338" s="15" t="n"/>
      <c r="AC338" s="14" t="n"/>
      <c r="AD338" s="14" t="n"/>
      <c r="AE338" s="13" t="inlineStr">
        <is>
          <t>NOT_UPLOADED</t>
        </is>
      </c>
    </row>
    <row r="339" ht="16" customHeight="1">
      <c r="A339" s="17" t="n">
        <v>4008600434368</v>
      </c>
      <c r="B339" s="17" t="n">
        <v>4008600434368</v>
      </c>
      <c r="C339" s="20" t="inlineStr">
        <is>
          <t>APPROVAL</t>
        </is>
      </c>
      <c r="D339" s="18" t="n"/>
      <c r="E339" s="18" t="inlineStr">
        <is>
          <t>NA</t>
        </is>
      </c>
      <c r="F339" s="17" t="n">
        <v>10124028</v>
      </c>
      <c r="G339" s="18" t="inlineStr">
        <is>
          <t>Bebolino</t>
        </is>
      </c>
      <c r="H339" s="18" t="inlineStr">
        <is>
          <t>Nuk</t>
        </is>
      </c>
      <c r="I339" s="18" t="inlineStr">
        <is>
          <t>NUK Perfect Match Babyflaschentrinksauger | Ab 0 Monate | Passt sich dem Baby an | Anti-Colic | BPA-frei | Silikonsauger für Flaschen, Small | 2 Stück</t>
        </is>
      </c>
      <c r="J339" s="18" t="inlineStr">
        <is>
          <t>No</t>
        </is>
      </c>
      <c r="K339" s="18" t="inlineStr">
        <is>
          <t>https://www.amazon.de/dp/B0CLRSDM7W?m=A21BUQYKVNWJ4Y&amp;ref=psp_pc_a_A3LN6EJU9V26LZ&amp;th=1</t>
        </is>
      </c>
      <c r="L339" s="18" t="inlineStr">
        <is>
          <t>B0CLRSDM7W</t>
        </is>
      </c>
      <c r="M339" s="19" t="n">
        <v>10.56</v>
      </c>
      <c r="N339" s="19" t="n"/>
      <c r="O339" s="19" t="n">
        <v>10.49</v>
      </c>
      <c r="P339" s="19">
        <f>O339/1.19</f>
        <v/>
      </c>
      <c r="Q339" s="19">
        <f>O339-P339</f>
        <v/>
      </c>
      <c r="R339" s="19">
        <f>O339*0.15</f>
        <v/>
      </c>
      <c r="S339" s="19" t="n">
        <v>4.09</v>
      </c>
      <c r="T339" s="19">
        <f>S339*0.2</f>
        <v/>
      </c>
      <c r="U339" s="19" t="n">
        <v>0.400000000000002</v>
      </c>
      <c r="V339" s="19" t="n">
        <v>2.15</v>
      </c>
      <c r="W339" s="19">
        <f>V339*0.2</f>
        <v/>
      </c>
      <c r="X339" s="16">
        <f>O339-Q339-R339-S339-U339-V339+T339+W339</f>
        <v/>
      </c>
      <c r="Y339" s="18" t="n"/>
      <c r="Z339" s="19">
        <f>O339+1.5</f>
        <v/>
      </c>
      <c r="AA339" s="19" t="n"/>
      <c r="AB339" s="19" t="n"/>
      <c r="AC339" s="18" t="n"/>
      <c r="AD339" s="18" t="n"/>
      <c r="AE339" s="13" t="inlineStr">
        <is>
          <t>NOT_UPLOADED</t>
        </is>
      </c>
    </row>
    <row r="340" ht="16" customHeight="1">
      <c r="A340" s="12" t="n">
        <v>4008600434337</v>
      </c>
      <c r="B340" s="12" t="n">
        <v>4008600434337</v>
      </c>
      <c r="C340" s="20" t="inlineStr">
        <is>
          <t>APPROVAL</t>
        </is>
      </c>
      <c r="D340" s="14" t="n"/>
      <c r="E340" s="14" t="inlineStr">
        <is>
          <t>NA</t>
        </is>
      </c>
      <c r="F340" s="12" t="n">
        <v>10124031</v>
      </c>
      <c r="G340" s="14" t="inlineStr">
        <is>
          <t>Bebolino</t>
        </is>
      </c>
      <c r="H340" s="14" t="inlineStr">
        <is>
          <t>Nuk</t>
        </is>
      </c>
      <c r="I340" s="14" t="inlineStr">
        <is>
          <t>NUK Perfect Match Babyflaschentrinksauger | Ab 6 Monate | Passt sich dem Baby an | Anti-Colic | BPA-frei | Silikonsauger für Flaschen, Universal | 2 Stück</t>
        </is>
      </c>
      <c r="J340" s="14" t="inlineStr">
        <is>
          <t>No</t>
        </is>
      </c>
      <c r="K340" s="14" t="inlineStr">
        <is>
          <t>https://www.amazon.de/dp/B0CLRT55MC?m=A21BUQYKVNWJ4Y&amp;ref=psp_pc_a_A3LN6EJU9V26LZ&amp;th=1</t>
        </is>
      </c>
      <c r="L340" s="14" t="inlineStr">
        <is>
          <t>B0CLRT55MC</t>
        </is>
      </c>
      <c r="M340" s="15" t="n">
        <v>10.56</v>
      </c>
      <c r="N340" s="15" t="n"/>
      <c r="O340" s="15" t="n">
        <v>10.49</v>
      </c>
      <c r="P340" s="15">
        <f>O340/1.19</f>
        <v/>
      </c>
      <c r="Q340" s="15">
        <f>O340-P340</f>
        <v/>
      </c>
      <c r="R340" s="15">
        <f>O340*0.15</f>
        <v/>
      </c>
      <c r="S340" s="15" t="n">
        <v>4.09</v>
      </c>
      <c r="T340" s="15">
        <f>S340*0.2</f>
        <v/>
      </c>
      <c r="U340" s="15" t="n">
        <v>0.400000000000002</v>
      </c>
      <c r="V340" s="15" t="n">
        <v>2.15</v>
      </c>
      <c r="W340" s="15">
        <f>V340*0.2</f>
        <v/>
      </c>
      <c r="X340" s="16">
        <f>O340-Q340-R340-S340-U340-V340+T340+W340</f>
        <v/>
      </c>
      <c r="Y340" s="14" t="n"/>
      <c r="Z340" s="15">
        <f>O340+1.5</f>
        <v/>
      </c>
      <c r="AA340" s="15" t="n"/>
      <c r="AB340" s="15" t="n"/>
      <c r="AC340" s="14" t="n"/>
      <c r="AD340" s="14" t="n"/>
      <c r="AE340" s="13" t="inlineStr">
        <is>
          <t>NOT_UPLOADED</t>
        </is>
      </c>
    </row>
    <row r="341" ht="16" customHeight="1">
      <c r="A341" s="17" t="n">
        <v>4008600401995</v>
      </c>
      <c r="B341" s="17" t="n">
        <v>4008600401995</v>
      </c>
      <c r="C341" s="20" t="inlineStr">
        <is>
          <t>APPROVAL</t>
        </is>
      </c>
      <c r="D341" s="18" t="n"/>
      <c r="E341" s="18" t="inlineStr">
        <is>
          <t>NA</t>
        </is>
      </c>
      <c r="F341" s="17" t="n">
        <v>10175286</v>
      </c>
      <c r="G341" s="18" t="inlineStr">
        <is>
          <t>Bebolino</t>
        </is>
      </c>
      <c r="H341" s="18" t="inlineStr">
        <is>
          <t>Nuk</t>
        </is>
      </c>
      <c r="I341" s="18" t="inlineStr">
        <is>
          <t>NUK Star Babyschnuller | 0–6 Monate | Day &amp; Night Schnuller | BPA-freies Silikon | Pink Cat | 2-teilig</t>
        </is>
      </c>
      <c r="J341" s="18" t="inlineStr">
        <is>
          <t>No</t>
        </is>
      </c>
      <c r="K341" s="18" t="inlineStr">
        <is>
          <t>https://www.amazon.de/dp/B09PGL441L?m=A21BUQYKVNWJ4Y&amp;ref=psp_pc_a_A3LN6EJU9V26LZ&amp;th=1</t>
        </is>
      </c>
      <c r="L341" s="18" t="inlineStr">
        <is>
          <t>B09PGL441L</t>
        </is>
      </c>
      <c r="M341" s="19" t="n">
        <v>10.56</v>
      </c>
      <c r="N341" s="19" t="n"/>
      <c r="O341" s="19" t="n">
        <v>9.970000000000001</v>
      </c>
      <c r="P341" s="19">
        <f>O341/1.19</f>
        <v/>
      </c>
      <c r="Q341" s="19">
        <f>O341-P341</f>
        <v/>
      </c>
      <c r="R341" s="19">
        <f>O341*0.15</f>
        <v/>
      </c>
      <c r="S341" s="19" t="n">
        <v>4.09</v>
      </c>
      <c r="T341" s="19">
        <f>S341*0.2</f>
        <v/>
      </c>
      <c r="U341" s="19" t="n">
        <v>0.400000000000002</v>
      </c>
      <c r="V341" s="19" t="n">
        <v>2.15</v>
      </c>
      <c r="W341" s="19">
        <f>V341*0.2</f>
        <v/>
      </c>
      <c r="X341" s="16">
        <f>O341-Q341-R341-S341-U341-V341+T341+W341</f>
        <v/>
      </c>
      <c r="Y341" s="18" t="n"/>
      <c r="Z341" s="19">
        <f>O341+1.5</f>
        <v/>
      </c>
      <c r="AA341" s="19" t="n"/>
      <c r="AB341" s="19" t="n"/>
      <c r="AC341" s="18" t="n"/>
      <c r="AD341" s="18" t="n"/>
      <c r="AE341" s="13" t="inlineStr">
        <is>
          <t>NOT_UPLOADED</t>
        </is>
      </c>
    </row>
    <row r="342" ht="16" customHeight="1">
      <c r="A342" s="12" t="n">
        <v>4008600401889</v>
      </c>
      <c r="B342" s="12" t="n">
        <v>4008600401889</v>
      </c>
      <c r="C342" s="20" t="inlineStr">
        <is>
          <t>APPROVAL</t>
        </is>
      </c>
      <c r="D342" s="14" t="n"/>
      <c r="E342" s="14" t="inlineStr">
        <is>
          <t>NA</t>
        </is>
      </c>
      <c r="F342" s="12" t="n">
        <v>10175283</v>
      </c>
      <c r="G342" s="14" t="inlineStr">
        <is>
          <t>Bebolino</t>
        </is>
      </c>
      <c r="H342" s="14" t="inlineStr">
        <is>
          <t>Nuk</t>
        </is>
      </c>
      <c r="I342" s="14" t="inlineStr">
        <is>
          <t>NUK Star Schnuller für Neugeborene | 0–2 Monate | BPA-freie Silikonschnuller | blau | 2-teilig</t>
        </is>
      </c>
      <c r="J342" s="14" t="inlineStr">
        <is>
          <t>No</t>
        </is>
      </c>
      <c r="K342" s="14" t="inlineStr">
        <is>
          <t>https://www.amazon.de/dp/B09PGJ3ZZ4?m=A21BUQYKVNWJ4Y&amp;ref=psp_pc_a_A3LN6EJU9V26LZ&amp;th=1</t>
        </is>
      </c>
      <c r="L342" s="14" t="inlineStr">
        <is>
          <t>B09PGJ3ZZ4</t>
        </is>
      </c>
      <c r="M342" s="15" t="n">
        <v>10.56</v>
      </c>
      <c r="N342" s="15" t="n"/>
      <c r="O342" s="15" t="n">
        <v>9.970000000000001</v>
      </c>
      <c r="P342" s="15">
        <f>O342/1.19</f>
        <v/>
      </c>
      <c r="Q342" s="15">
        <f>O342-P342</f>
        <v/>
      </c>
      <c r="R342" s="15">
        <f>O342*0.15</f>
        <v/>
      </c>
      <c r="S342" s="15" t="n">
        <v>4.09</v>
      </c>
      <c r="T342" s="15">
        <f>S342*0.2</f>
        <v/>
      </c>
      <c r="U342" s="15" t="n">
        <v>0.400000000000002</v>
      </c>
      <c r="V342" s="15" t="n">
        <v>2.15</v>
      </c>
      <c r="W342" s="15">
        <f>V342*0.2</f>
        <v/>
      </c>
      <c r="X342" s="16">
        <f>O342-Q342-R342-S342-U342-V342+T342+W342</f>
        <v/>
      </c>
      <c r="Y342" s="14" t="n"/>
      <c r="Z342" s="15">
        <f>O342+1.5</f>
        <v/>
      </c>
      <c r="AA342" s="15" t="n"/>
      <c r="AB342" s="15" t="n"/>
      <c r="AC342" s="14" t="n"/>
      <c r="AD342" s="14" t="n"/>
      <c r="AE342" s="13" t="inlineStr">
        <is>
          <t>NOT_UPLOADED</t>
        </is>
      </c>
    </row>
    <row r="343" ht="16" customHeight="1">
      <c r="A343" s="17" t="n">
        <v>4008600426998</v>
      </c>
      <c r="B343" s="17" t="n">
        <v>4008600426998</v>
      </c>
      <c r="C343" s="13" t="n"/>
      <c r="D343" s="18" t="inlineStr">
        <is>
          <t>search surpresed</t>
        </is>
      </c>
      <c r="E343" s="18" t="inlineStr">
        <is>
          <t>BEB-4008600426998</t>
        </is>
      </c>
      <c r="F343" s="17" t="n">
        <v>10736922</v>
      </c>
      <c r="G343" s="18" t="inlineStr">
        <is>
          <t>Bebolino</t>
        </is>
      </c>
      <c r="H343" s="18" t="inlineStr">
        <is>
          <t>Nuk</t>
        </is>
      </c>
      <c r="I343" s="18" t="inlineStr">
        <is>
          <t>NUK Star Babyschnuller | 6-18 Monate | Beruhigt 99 % der Babys | BPA-freie Silikonschnuller | Winnie the Pooh | Mit Etui | 2 Stück</t>
        </is>
      </c>
      <c r="J343" s="18" t="inlineStr">
        <is>
          <t>No</t>
        </is>
      </c>
      <c r="K343" s="18" t="inlineStr">
        <is>
          <t>https://www.amazon.de/dp/B0CB6SYB9F?m=A21BUQYKVNWJ4Y&amp;ref=psp_pc_a_A3LN6EJU9V26LZ&amp;th=1</t>
        </is>
      </c>
      <c r="L343" s="18" t="inlineStr">
        <is>
          <t>B0CB6SYB9F</t>
        </is>
      </c>
      <c r="M343" s="19" t="n">
        <v>11.91</v>
      </c>
      <c r="N343" s="19" t="n"/>
      <c r="O343" s="19" t="n">
        <v>11.5</v>
      </c>
      <c r="P343" s="19">
        <f>O343/1.19</f>
        <v/>
      </c>
      <c r="Q343" s="19">
        <f>O343-P343</f>
        <v/>
      </c>
      <c r="R343" s="19">
        <f>O343*0.15</f>
        <v/>
      </c>
      <c r="S343" s="19" t="n">
        <v>4.91</v>
      </c>
      <c r="T343" s="19">
        <f>S343*0.2</f>
        <v/>
      </c>
      <c r="U343" s="19" t="n">
        <v>0.400000000000002</v>
      </c>
      <c r="V343" s="19" t="n">
        <v>2.12</v>
      </c>
      <c r="W343" s="19">
        <f>V343*0.2</f>
        <v/>
      </c>
      <c r="X343" s="16">
        <f>O343-Q343-R343-S343-U343-V343+T343+W343</f>
        <v/>
      </c>
      <c r="Y343" s="18" t="n"/>
      <c r="Z343" s="19">
        <f>O343+1.5</f>
        <v/>
      </c>
      <c r="AA343" s="19" t="n"/>
      <c r="AB343" s="19" t="n"/>
      <c r="AC343" s="18" t="n"/>
      <c r="AD343" s="18" t="n"/>
      <c r="AE343" s="13" t="inlineStr">
        <is>
          <t>NOT_UPLOADED</t>
        </is>
      </c>
    </row>
    <row r="344" ht="16" customHeight="1">
      <c r="A344" s="12" t="n">
        <v>4008600398431</v>
      </c>
      <c r="B344" s="12" t="n">
        <v>4008600398431</v>
      </c>
      <c r="C344" s="13" t="n"/>
      <c r="D344" s="14" t="n"/>
      <c r="E344" s="14" t="inlineStr">
        <is>
          <t>BEB-4008600398431</t>
        </is>
      </c>
      <c r="F344" s="12" t="n">
        <v>10255608</v>
      </c>
      <c r="G344" s="14" t="inlineStr">
        <is>
          <t>Bebolino</t>
        </is>
      </c>
      <c r="H344" s="14" t="inlineStr">
        <is>
          <t>Nuk</t>
        </is>
      </c>
      <c r="I344" s="14" t="inlineStr">
        <is>
          <t>NUK Trainer Cup Trinklernbecher | auslaufsicherer Becher mit weichem Trinkschnabel &amp; ergonomischen Griffen | 6+ Monate | 230 ml | BPA-frei | blaues Zebra, Kunststoff</t>
        </is>
      </c>
      <c r="J344" s="14" t="inlineStr">
        <is>
          <t>No</t>
        </is>
      </c>
      <c r="K344" s="14" t="inlineStr">
        <is>
          <t>https://www.amazon.de/dp/B099RWFTX3?m=A21BUQYKVNWJ4Y&amp;ref=psp_pc_a_A3LN6EJU9V26LZ&amp;th=1</t>
        </is>
      </c>
      <c r="L344" s="14" t="inlineStr">
        <is>
          <t>B099RWFTX3</t>
        </is>
      </c>
      <c r="M344" s="15" t="n">
        <v>14.65</v>
      </c>
      <c r="N344" s="15" t="n"/>
      <c r="O344" s="15" t="n">
        <v>14.61</v>
      </c>
      <c r="P344" s="15">
        <f>O344/1.19</f>
        <v/>
      </c>
      <c r="Q344" s="15">
        <f>O344-P344</f>
        <v/>
      </c>
      <c r="R344" s="15">
        <f>O344*0.15</f>
        <v/>
      </c>
      <c r="S344" s="15" t="n">
        <v>6.24</v>
      </c>
      <c r="T344" s="15">
        <f>S344*0.2</f>
        <v/>
      </c>
      <c r="U344" s="15" t="n">
        <v>0.400000000000002</v>
      </c>
      <c r="V344" s="15" t="n">
        <v>3.06</v>
      </c>
      <c r="W344" s="15">
        <f>V344*0.2</f>
        <v/>
      </c>
      <c r="X344" s="21">
        <f>O344-Q344-R344-S344-U344-V344+T344+W344</f>
        <v/>
      </c>
      <c r="Y344" s="14" t="n"/>
      <c r="Z344" s="15">
        <f>O344+1.5</f>
        <v/>
      </c>
      <c r="AA344" s="15" t="n"/>
      <c r="AB344" s="15" t="n"/>
      <c r="AC344" s="14" t="n"/>
      <c r="AD344" s="14" t="n"/>
      <c r="AE344" s="13" t="inlineStr">
        <is>
          <t>NOT_UPLOADED</t>
        </is>
      </c>
    </row>
    <row r="345" ht="16" customHeight="1">
      <c r="A345" s="17" t="n">
        <v>4008600427278</v>
      </c>
      <c r="B345" s="17" t="n">
        <v>4008600427278</v>
      </c>
      <c r="C345" s="13" t="n"/>
      <c r="D345" s="18" t="n"/>
      <c r="E345" s="18" t="inlineStr">
        <is>
          <t>BEB-4008600427278</t>
        </is>
      </c>
      <c r="F345" s="17" t="n">
        <v>10177212</v>
      </c>
      <c r="G345" s="18" t="inlineStr">
        <is>
          <t>Bebolino</t>
        </is>
      </c>
      <c r="H345" s="18" t="inlineStr">
        <is>
          <t>Nuk</t>
        </is>
      </c>
      <c r="I345" s="18" t="inlineStr">
        <is>
          <t>NUK Space Night Babyschnuller | 18-36 Monate | Im Dunkeln leuchtende Schnuller mit zusätzlichen Öffnungen für sensible Haut | BPA-freies Silikon | Löwe | 2 Stück</t>
        </is>
      </c>
      <c r="J345" s="18" t="inlineStr">
        <is>
          <t>No</t>
        </is>
      </c>
      <c r="K345" s="18" t="inlineStr">
        <is>
          <t>https://www.amazon.de/dp/B0C4Q5J4XZ?m=A21BUQYKVNWJ4Y&amp;ref=psp_pc_a_A3LN6EJU9V26LZ&amp;th=1</t>
        </is>
      </c>
      <c r="L345" s="18" t="inlineStr">
        <is>
          <t>B0C4Q5J4XZ</t>
        </is>
      </c>
      <c r="M345" s="19" t="n">
        <v>12.52</v>
      </c>
      <c r="N345" s="19" t="n"/>
      <c r="O345" s="19" t="n">
        <v>11.95</v>
      </c>
      <c r="P345" s="19">
        <f>O345/1.19</f>
        <v/>
      </c>
      <c r="Q345" s="19">
        <f>O345-P345</f>
        <v/>
      </c>
      <c r="R345" s="19">
        <f>O345*0.15</f>
        <v/>
      </c>
      <c r="S345" s="19" t="n">
        <v>5.27</v>
      </c>
      <c r="T345" s="19">
        <f>S345*0.2</f>
        <v/>
      </c>
      <c r="U345" s="19" t="n">
        <v>0.400000000000002</v>
      </c>
      <c r="V345" s="19" t="n">
        <v>2.2</v>
      </c>
      <c r="W345" s="19">
        <f>V345*0.2</f>
        <v/>
      </c>
      <c r="X345" s="16">
        <f>O345-Q345-R345-S345-U345-V345+T345+W345</f>
        <v/>
      </c>
      <c r="Y345" s="18" t="n"/>
      <c r="Z345" s="19">
        <f>O345+1.5</f>
        <v/>
      </c>
      <c r="AA345" s="19" t="n"/>
      <c r="AB345" s="19" t="n"/>
      <c r="AC345" s="18" t="n"/>
      <c r="AD345" s="18" t="n"/>
      <c r="AE345" s="13" t="inlineStr">
        <is>
          <t>NOT_UPLOADED</t>
        </is>
      </c>
    </row>
    <row r="346" ht="16" customHeight="1">
      <c r="A346" s="12" t="n">
        <v>4008600435914</v>
      </c>
      <c r="B346" s="12" t="n">
        <v>4008600434672</v>
      </c>
      <c r="C346" s="13" t="n"/>
      <c r="D346" s="14" t="n"/>
      <c r="E346" s="14" t="inlineStr">
        <is>
          <t>BEB-40086004359141</t>
        </is>
      </c>
      <c r="F346" s="12" t="n">
        <v>10216305</v>
      </c>
      <c r="G346" s="14" t="inlineStr">
        <is>
          <t>Bebolino</t>
        </is>
      </c>
      <c r="H346" s="14" t="inlineStr">
        <is>
          <t>Nuk</t>
        </is>
      </c>
      <c r="I346" s="14" t="inlineStr">
        <is>
          <t>NUK Perfect Match Babyflasche | Ab 3 Monate | Passt sich dem Baby an | Temperature Control | Anti-Colic | 260 ml | BPA-frei | Silikontrinksauger, Medium | Disneys Micky Maus [grau]</t>
        </is>
      </c>
      <c r="J346" s="14" t="inlineStr">
        <is>
          <t>No</t>
        </is>
      </c>
      <c r="K346" s="14" t="inlineStr">
        <is>
          <t>https://www.amazon.de/dp/B0CLRRJG9F?m=A21BUQYKVNWJ4Y&amp;ref=psp_pc_a_A3LN6EJU9V26LZ&amp;th=1</t>
        </is>
      </c>
      <c r="L346" s="14" t="inlineStr">
        <is>
          <t>B0CLRRJG9F</t>
        </is>
      </c>
      <c r="M346" s="15" t="n">
        <v>15.14</v>
      </c>
      <c r="N346" s="15" t="n"/>
      <c r="O346" s="15" t="n">
        <v>14.95</v>
      </c>
      <c r="P346" s="15">
        <f>O346/1.19</f>
        <v/>
      </c>
      <c r="Q346" s="15">
        <f>O346-P346</f>
        <v/>
      </c>
      <c r="R346" s="15">
        <f>O346*0.15</f>
        <v/>
      </c>
      <c r="S346" s="15" t="n">
        <v>6.65</v>
      </c>
      <c r="T346" s="15">
        <f>S346*0.2</f>
        <v/>
      </c>
      <c r="U346" s="15" t="n">
        <v>0.400000000000002</v>
      </c>
      <c r="V346" s="15" t="n">
        <v>2.42</v>
      </c>
      <c r="W346" s="15">
        <f>V346*0.2</f>
        <v/>
      </c>
      <c r="X346" s="21">
        <f>O346-Q346-R346-S346-U346-V346+T346+W346</f>
        <v/>
      </c>
      <c r="Y346" s="14" t="n"/>
      <c r="Z346" s="15">
        <f>O346+1.5</f>
        <v/>
      </c>
      <c r="AA346" s="15" t="n"/>
      <c r="AB346" s="15" t="n"/>
      <c r="AC346" s="14" t="n"/>
      <c r="AD346" s="14" t="n"/>
      <c r="AE346" s="13" t="inlineStr">
        <is>
          <t>NOT_UPLOADED</t>
        </is>
      </c>
    </row>
    <row r="347" ht="16" customHeight="1">
      <c r="A347" s="17" t="n">
        <v>4008600434245</v>
      </c>
      <c r="B347" s="17" t="n">
        <v>4008600434245</v>
      </c>
      <c r="C347" s="13" t="n"/>
      <c r="D347" s="18" t="n"/>
      <c r="E347" s="18" t="inlineStr">
        <is>
          <t>BEB-4008600434245</t>
        </is>
      </c>
      <c r="F347" s="17" t="n">
        <v>10216015</v>
      </c>
      <c r="G347" s="18" t="inlineStr">
        <is>
          <t>Bebolino</t>
        </is>
      </c>
      <c r="H347" s="18" t="inlineStr">
        <is>
          <t>Nuk</t>
        </is>
      </c>
      <c r="I347" s="18" t="inlineStr">
        <is>
          <t>NUK Perfect Match Babyflasche | Ab 3 Monate | Passt sich dem Baby an | Temperature Control | Anti-Colic | 260 ml | BPA-frei | Silikontrinksauger, Medium | Regenbogen</t>
        </is>
      </c>
      <c r="J347" s="18" t="inlineStr">
        <is>
          <t>No</t>
        </is>
      </c>
      <c r="K347" s="18" t="inlineStr">
        <is>
          <t>https://www.amazon.de/dp/B0CLRTK9NR?m=A21BUQYKVNWJ4Y&amp;ref=psp_pc_a_A3LN6EJU9V26LZ&amp;th=1</t>
        </is>
      </c>
      <c r="L347" s="18" t="inlineStr">
        <is>
          <t>B0CLRTK9NR</t>
        </is>
      </c>
      <c r="M347" s="19" t="n">
        <v>14.28</v>
      </c>
      <c r="N347" s="19" t="n"/>
      <c r="O347" s="19" t="n">
        <v>14.95</v>
      </c>
      <c r="P347" s="19">
        <f>O347/1.19</f>
        <v/>
      </c>
      <c r="Q347" s="19">
        <f>O347-P347</f>
        <v/>
      </c>
      <c r="R347" s="19">
        <f>O347*0.15</f>
        <v/>
      </c>
      <c r="S347" s="19" t="n">
        <v>6.14</v>
      </c>
      <c r="T347" s="19">
        <f>S347*0.2</f>
        <v/>
      </c>
      <c r="U347" s="19" t="n">
        <v>0.400000000000002</v>
      </c>
      <c r="V347" s="19" t="n">
        <v>2.42</v>
      </c>
      <c r="W347" s="19">
        <f>V347*0.2</f>
        <v/>
      </c>
      <c r="X347" s="21">
        <f>O347-Q347-R347-S347-U347-V347+T347+W347</f>
        <v/>
      </c>
      <c r="Y347" s="18" t="n"/>
      <c r="Z347" s="19">
        <f>O347+1.5</f>
        <v/>
      </c>
      <c r="AA347" s="19" t="n"/>
      <c r="AB347" s="19" t="n"/>
      <c r="AC347" s="18" t="n"/>
      <c r="AD347" s="18" t="n"/>
      <c r="AE347" s="13" t="inlineStr">
        <is>
          <t>NOT_UPLOADED</t>
        </is>
      </c>
    </row>
    <row r="348" ht="16" customHeight="1">
      <c r="A348" s="12" t="n">
        <v>4008600237006</v>
      </c>
      <c r="B348" s="12" t="n">
        <v>4008600237006</v>
      </c>
      <c r="C348" s="13" t="n"/>
      <c r="D348" s="14" t="n"/>
      <c r="E348" s="14" t="inlineStr">
        <is>
          <t>BEB-4008600237006</t>
        </is>
      </c>
      <c r="F348" s="12" t="n">
        <v>10256412</v>
      </c>
      <c r="G348" s="14" t="inlineStr">
        <is>
          <t>Bebolino</t>
        </is>
      </c>
      <c r="H348" s="14" t="inlineStr">
        <is>
          <t>Nuk</t>
        </is>
      </c>
      <c r="I348" s="14" t="inlineStr">
        <is>
          <t>NUK Babypflege Welcome Set | perfekte Erstausstattung für Neugeborene | 7 NUK Produkte in einer schönen Tasche | 7 Stück</t>
        </is>
      </c>
      <c r="J348" s="14" t="inlineStr">
        <is>
          <t>No</t>
        </is>
      </c>
      <c r="K348" s="14" t="inlineStr">
        <is>
          <t>https://www.amazon.de/dp/B01B1JNOW4?m=A21BUQYKVNWJ4Y&amp;ref=psp_pc_a_A3LN6EJU9V26LZ&amp;th=1</t>
        </is>
      </c>
      <c r="L348" s="14" t="inlineStr">
        <is>
          <t>B01B1JNOW4</t>
        </is>
      </c>
      <c r="M348" s="15" t="n">
        <v>34.29</v>
      </c>
      <c r="N348" s="15" t="n"/>
      <c r="O348" s="15" t="n">
        <v>33.79</v>
      </c>
      <c r="P348" s="15">
        <f>O348/1.19</f>
        <v/>
      </c>
      <c r="Q348" s="15">
        <f>O348-P348</f>
        <v/>
      </c>
      <c r="R348" s="15">
        <f>O348*0.15</f>
        <v/>
      </c>
      <c r="S348" s="15" t="n">
        <v>18.41</v>
      </c>
      <c r="T348" s="15">
        <f>S348*0.2</f>
        <v/>
      </c>
      <c r="U348" s="15" t="n">
        <v>0.400000000000002</v>
      </c>
      <c r="V348" s="15" t="n">
        <v>4.04</v>
      </c>
      <c r="W348" s="15">
        <f>V348*0.2</f>
        <v/>
      </c>
      <c r="X348" s="21">
        <f>O348-Q348-R348-S348-U348-V348+T348+W348</f>
        <v/>
      </c>
      <c r="Y348" s="14" t="n"/>
      <c r="Z348" s="15">
        <f>O348+1.5</f>
        <v/>
      </c>
      <c r="AA348" s="15" t="n"/>
      <c r="AB348" s="15" t="n"/>
      <c r="AC348" s="14" t="n"/>
      <c r="AD348" s="14" t="n"/>
      <c r="AE348" s="13" t="inlineStr">
        <is>
          <t>NOT_UPLOADED</t>
        </is>
      </c>
    </row>
    <row r="349" ht="16" customHeight="1">
      <c r="A349" s="17" t="n">
        <v>4008600406211</v>
      </c>
      <c r="B349" s="17" t="n">
        <v>4008600406211</v>
      </c>
      <c r="C349" s="13" t="n"/>
      <c r="D349" s="18" t="n"/>
      <c r="E349" s="18" t="inlineStr">
        <is>
          <t>BEB-4008600406211</t>
        </is>
      </c>
      <c r="F349" s="17" t="n">
        <v>10255636</v>
      </c>
      <c r="G349" s="18" t="inlineStr">
        <is>
          <t>Bebolino</t>
        </is>
      </c>
      <c r="H349" s="18" t="inlineStr">
        <is>
          <t>Nuk</t>
        </is>
      </c>
      <c r="I349" s="18" t="inlineStr">
        <is>
          <t>NUK 3-in-1 Trinklernset mit Trainer Cup Schnabeltasse (6+ Monate), Magic Cup 360° Trinklernbecher (8+ M) &amp; Action Cup Trinkflasche Kinder (12+ M) | 230 ml | BPA-frei | grüner Leopard</t>
        </is>
      </c>
      <c r="J349" s="18" t="inlineStr">
        <is>
          <t>No</t>
        </is>
      </c>
      <c r="K349" s="18" t="inlineStr">
        <is>
          <t>https://www.amazon.de/NUK-Trinklernset-Schnabeltasse-Trinklernbecher-Trinkflasche/dp/B099RVMJ4M/ref=sr_1_1?__mk_de_DE=%C3%85M%C3%85%C5%BD%C3%95%C3%91&amp;crid=2BZ15GT9WJD0Z&amp;dib=eyJ2IjoiMSJ9.Noq8SBeqiC5qTYILyr28MA.4pp5PXttD2f1Y_S_UtZ4gJ7IuVam6SCFV7MEGsKF3Rs&amp;dib_tag=se&amp;keywords=B099RVMJ4M&amp;qid=1750196697&amp;s=baby&amp;sprefix=b099rvmj4m%2Cbaby%2C100&amp;sr=1-1&amp;th=1</t>
        </is>
      </c>
      <c r="L349" s="18" t="inlineStr">
        <is>
          <t>B099RVMJ4M</t>
        </is>
      </c>
      <c r="M349" s="19" t="n">
        <v>28.54</v>
      </c>
      <c r="N349" s="19" t="n"/>
      <c r="O349" s="19" t="n">
        <v>27.85</v>
      </c>
      <c r="P349" s="19">
        <f>O349/1.19</f>
        <v/>
      </c>
      <c r="Q349" s="19">
        <f>O349-P349</f>
        <v/>
      </c>
      <c r="R349" s="19">
        <f>O349*0.15</f>
        <v/>
      </c>
      <c r="S349" s="19" t="n">
        <v>14.32</v>
      </c>
      <c r="T349" s="19">
        <f>S349*0.2</f>
        <v/>
      </c>
      <c r="U349" s="19" t="n">
        <v>0.400000000000002</v>
      </c>
      <c r="V349" s="19" t="n">
        <v>3.86</v>
      </c>
      <c r="W349" s="19">
        <f>V349*0.2</f>
        <v/>
      </c>
      <c r="X349" s="21">
        <f>O349-Q349-R349-S349-U349-V349+T349+W349</f>
        <v/>
      </c>
      <c r="Y349" s="18" t="n"/>
      <c r="Z349" s="19">
        <f>O349+1.5</f>
        <v/>
      </c>
      <c r="AA349" s="19" t="n"/>
      <c r="AB349" s="19" t="n"/>
      <c r="AC349" s="18" t="n"/>
      <c r="AD349" s="18" t="n"/>
      <c r="AE349" s="13" t="inlineStr">
        <is>
          <t>NOT_UPLOADED</t>
        </is>
      </c>
    </row>
    <row r="350" ht="16" customHeight="1">
      <c r="A350" s="12" t="n">
        <v>4008600434740</v>
      </c>
      <c r="B350" s="12" t="n">
        <v>4008600434740</v>
      </c>
      <c r="C350" s="20" t="inlineStr">
        <is>
          <t>APPROVAL</t>
        </is>
      </c>
      <c r="D350" s="14" t="inlineStr">
        <is>
          <t>NA</t>
        </is>
      </c>
      <c r="E350" s="14" t="n"/>
      <c r="F350" s="12" t="n">
        <v>10216308</v>
      </c>
      <c r="G350" s="14" t="inlineStr">
        <is>
          <t>Bebolino</t>
        </is>
      </c>
      <c r="H350" s="14" t="inlineStr">
        <is>
          <t>Nuk</t>
        </is>
      </c>
      <c r="I350" s="14" t="inlineStr">
        <is>
          <t>NUK Perfect Match Babyflasche | Ab 3 Monate | Passt sich dem Baby an | Temperature Control | Anti-Colic | 260 ml | BPA-frei | Silikontrinksauger, Medium | Disneys Winnie Puuh</t>
        </is>
      </c>
      <c r="J350" s="14" t="inlineStr">
        <is>
          <t>No</t>
        </is>
      </c>
      <c r="K350" s="14" t="inlineStr">
        <is>
          <t>https://www.amazon.de/NUK-Babyflasche-Temperature-Anti-Colic-Silikontrinksauger/dp/B0CLRR5FJ8/ref=sr_1_1?__mk_de_DE=%C3%85M%C3%85%C5%BD%C3%95%C3%91&amp;crid=3LMKBI696E3UM&amp;dib=eyJ2IjoiMSJ9.t47y9-YEbdJ2wF835_AL_A.A3cO5Q2FZq7bcurcooFYo0RxQki1NOcC0w1UFjWzAvU&amp;dib_tag=se&amp;keywords=B0CLRR5FJ8&amp;qid=1750196996&amp;s=baby&amp;sprefix=b0clrr5fj8%2Cbaby%2C179&amp;sr=1-1&amp;th=1</t>
        </is>
      </c>
      <c r="L350" s="14" t="inlineStr">
        <is>
          <t>B0CLRR5FJ8</t>
        </is>
      </c>
      <c r="M350" s="15" t="n">
        <v>15.14</v>
      </c>
      <c r="N350" s="15" t="n"/>
      <c r="O350" s="15" t="n">
        <v>15.1</v>
      </c>
      <c r="P350" s="15">
        <f>O350/1.19</f>
        <v/>
      </c>
      <c r="Q350" s="15">
        <f>O350-P350</f>
        <v/>
      </c>
      <c r="R350" s="15">
        <f>O350*0.15</f>
        <v/>
      </c>
      <c r="S350" s="15" t="n">
        <v>7.98</v>
      </c>
      <c r="T350" s="15">
        <f>S350*0.2</f>
        <v/>
      </c>
      <c r="U350" s="15" t="n">
        <v>0.400000000000002</v>
      </c>
      <c r="V350" s="15" t="n">
        <v>2.42</v>
      </c>
      <c r="W350" s="15">
        <f>V350*0.2</f>
        <v/>
      </c>
      <c r="X350" s="16">
        <f>O350-Q350-R350-S350-U350-V350+T350+W350</f>
        <v/>
      </c>
      <c r="Y350" s="14" t="n"/>
      <c r="Z350" s="15">
        <f>O350+1.5</f>
        <v/>
      </c>
      <c r="AA350" s="15" t="n"/>
      <c r="AB350" s="15" t="n"/>
      <c r="AC350" s="14" t="n"/>
      <c r="AD350" s="14" t="n"/>
      <c r="AE350" s="13" t="inlineStr">
        <is>
          <t>NOT_UPLOADED</t>
        </is>
      </c>
    </row>
    <row r="351" ht="16" customHeight="1">
      <c r="A351" s="17" t="n">
        <v>4008600435914</v>
      </c>
      <c r="B351" s="17" t="n">
        <v>4008600434689</v>
      </c>
      <c r="C351" s="13" t="n"/>
      <c r="D351" s="18" t="n"/>
      <c r="E351" s="18" t="inlineStr">
        <is>
          <t>BEB-4008600435914</t>
        </is>
      </c>
      <c r="F351" s="17" t="n">
        <v>10216306</v>
      </c>
      <c r="G351" s="18" t="inlineStr">
        <is>
          <t>Bebolino</t>
        </is>
      </c>
      <c r="H351" s="18" t="inlineStr">
        <is>
          <t>Nuk</t>
        </is>
      </c>
      <c r="I351" s="18" t="inlineStr">
        <is>
          <t>NUK Perfect Match Babyflasche | Ab 3 Monate | Passt sich dem Baby an | Temperature Control | Anti-Colic | 260 ml | BPA-frei | Silikontrinksauger, Medium | Disneys Micky Maus [rot]</t>
        </is>
      </c>
      <c r="J351" s="18" t="inlineStr">
        <is>
          <t>No</t>
        </is>
      </c>
      <c r="K351" s="18" t="inlineStr">
        <is>
          <t>https://www.amazon.de/NUK-Babyflasche-Temperature-Anti-Colic-Silikontrinksauger/dp/B0CLRS1M2D/ref=sr_1_1?__mk_de_DE=%C3%85M%C3%85%C5%BD%C3%95%C3%91&amp;crid=18D9VCF1DHZKJ&amp;dib=eyJ2IjoiMSJ9.SDU57ae030df5Div5PDDVg.N9PnzVe4qVboPiMu8JZhtT6eW7GCyuo6TwW5YPM71eQ&amp;dib_tag=se&amp;keywords=B0CLRS1M2D&amp;qid=1750197219&amp;s=baby&amp;sprefix=b0clrs1m2d%2Cbaby%2C145&amp;sr=1-1&amp;th=1</t>
        </is>
      </c>
      <c r="L351" s="18" t="inlineStr">
        <is>
          <t>B0CLRS1M2D</t>
        </is>
      </c>
      <c r="M351" s="19" t="n">
        <v>15.14</v>
      </c>
      <c r="N351" s="19" t="n"/>
      <c r="O351" s="19" t="n">
        <v>15.5</v>
      </c>
      <c r="P351" s="19">
        <f>O351/1.19</f>
        <v/>
      </c>
      <c r="Q351" s="19">
        <f>O351-P351</f>
        <v/>
      </c>
      <c r="R351" s="19">
        <f>O351*0.15</f>
        <v/>
      </c>
      <c r="S351" s="19" t="n">
        <v>6.65</v>
      </c>
      <c r="T351" s="19">
        <f>S351*0.2</f>
        <v/>
      </c>
      <c r="U351" s="19" t="n">
        <v>0.400000000000002</v>
      </c>
      <c r="V351" s="19" t="n">
        <v>2.42</v>
      </c>
      <c r="W351" s="19">
        <f>V351*0.2</f>
        <v/>
      </c>
      <c r="X351" s="21">
        <f>O351-Q351-R351-S351-U351-V351+T351+W351</f>
        <v/>
      </c>
      <c r="Y351" s="18" t="n"/>
      <c r="Z351" s="19">
        <f>O351+1.5</f>
        <v/>
      </c>
      <c r="AA351" s="19" t="n"/>
      <c r="AB351" s="19" t="n"/>
      <c r="AC351" s="18" t="n"/>
      <c r="AD351" s="18" t="n"/>
      <c r="AE351" s="13" t="inlineStr">
        <is>
          <t>NOT_UPLOADED</t>
        </is>
      </c>
    </row>
    <row r="352" ht="16" customHeight="1">
      <c r="A352" s="12" t="n">
        <v>5052197028614</v>
      </c>
      <c r="B352" s="12" t="n">
        <v>5038483193709</v>
      </c>
      <c r="C352" s="13" t="n"/>
      <c r="D352" s="14" t="n"/>
      <c r="E352" s="14" t="inlineStr">
        <is>
          <t>AMP-5052197028614</t>
        </is>
      </c>
      <c r="F352" s="12" t="n">
        <v>4803001</v>
      </c>
      <c r="G352" s="14" t="inlineStr">
        <is>
          <t>Amperel</t>
        </is>
      </c>
      <c r="H352" s="14" t="inlineStr">
        <is>
          <t>Scholl</t>
        </is>
      </c>
      <c r="I352" s="14" t="inlineStr">
        <is>
          <t>Scholl 2in1 Hühneraugen Set - Mit 6 Druckschutzpflaster, 6 Hühneraugenpflastern und 9 Druckschutz Schaum-Pflastern - 1 Set</t>
        </is>
      </c>
      <c r="J352" s="14" t="inlineStr">
        <is>
          <t>No</t>
        </is>
      </c>
      <c r="K352" s="14" t="inlineStr">
        <is>
          <t>https://www.amazon.de/Scholl-H%C3%BChneraugen-Druckschutzpflaster-H%C3%BChneraugenpflastern-Schaum-Pflastern/dp/B00IOF4SHE/ref=sr_1_1?__mk_de_DE=%C3%85M%C3%85%C5%BD%C3%95%C3%91&amp;crid=25ZKJBECEVZRC&amp;dib=eyJ2IjoiMSJ9.kOwG6KrWsvY4HXXVqtiD7g.Vl62h3g3LIAmQE85DqJv4097OyEkQLGtBMro4Ax-qRo&amp;dib_tag=se&amp;keywords=B00IOF4SHE&amp;qid=1754080673&amp;s=beauty&amp;sprefix=b00iof4she%2Cbeauty%2C155&amp;sr=1-1</t>
        </is>
      </c>
      <c r="L352" s="14" t="inlineStr">
        <is>
          <t>B00IOF4SHE</t>
        </is>
      </c>
      <c r="M352" s="15" t="n"/>
      <c r="N352" s="15" t="n"/>
      <c r="O352" s="15" t="n">
        <v>8.699999999999999</v>
      </c>
      <c r="P352" s="15">
        <f>O352/1.19</f>
        <v/>
      </c>
      <c r="Q352" s="15">
        <f>O352-P352</f>
        <v/>
      </c>
      <c r="R352" s="15">
        <f>O352*0.15</f>
        <v/>
      </c>
      <c r="S352" s="15" t="n">
        <v>2.41</v>
      </c>
      <c r="T352" s="15">
        <f>S352*0.2</f>
        <v/>
      </c>
      <c r="U352" s="15" t="n">
        <v>0.400000000000002</v>
      </c>
      <c r="V352" s="15" t="n">
        <v>1.75</v>
      </c>
      <c r="W352" s="15">
        <f>V352*0.2</f>
        <v/>
      </c>
      <c r="X352" s="21">
        <f>O352-Q352-R352-S352-U352-V352+T352+W352</f>
        <v/>
      </c>
      <c r="Y352" s="14" t="n"/>
      <c r="Z352" s="15">
        <f>O352+1.5</f>
        <v/>
      </c>
      <c r="AA352" s="15" t="n"/>
      <c r="AB352" s="15" t="n"/>
      <c r="AC352" s="14" t="n"/>
      <c r="AD352" s="14" t="n"/>
      <c r="AE352" s="13" t="inlineStr">
        <is>
          <t>NOT_UPLOADED</t>
        </is>
      </c>
    </row>
    <row r="353" ht="16" customHeight="1">
      <c r="A353" s="17" t="n">
        <v>5053163849226</v>
      </c>
      <c r="B353" s="17" t="n">
        <v>5038483193709</v>
      </c>
      <c r="C353" s="13" t="n"/>
      <c r="D353" s="18" t="n"/>
      <c r="E353" s="18" t="inlineStr">
        <is>
          <t>AMP-5053163849226</t>
        </is>
      </c>
      <c r="F353" s="17" t="n">
        <v>4803001</v>
      </c>
      <c r="G353" s="18" t="inlineStr">
        <is>
          <t>Amperel</t>
        </is>
      </c>
      <c r="H353" s="18" t="inlineStr">
        <is>
          <t>Scholl</t>
        </is>
      </c>
      <c r="I353" s="18" t="inlineStr">
        <is>
          <t>Scholl Druckschutz Schaum-Pflaster, 1 Stück - Extra weiche schützende Polsterung - schützt vor Reibung und lindert Druckschmerzen sofort – dermatologisch getestet</t>
        </is>
      </c>
      <c r="J353" s="18" t="inlineStr">
        <is>
          <t>No</t>
        </is>
      </c>
      <c r="K353" s="18" t="inlineStr">
        <is>
          <t>https://www.amazon.de/Scholl-10002118-Druckschutz-Schaum-Pflaster/dp/B008M690IW/ref=sr_1_1?__mk_de_DE=%C3%85M%C3%85%C5%BD%C3%95%C3%91&amp;crid=1O6X610K2GEJM&amp;dib=eyJ2IjoiMSJ9.9YU46Uffsn2buGcuuybpjA.c3quSRrXfBpdLxX2ibeElofm1bS8W-Hb4ha1B9WhiNQ&amp;dib_tag=se&amp;keywords=B008M690IW&amp;qid=1754081038&amp;s=beauty&amp;sprefix=b008m690iw%2Cbeauty%2C133&amp;sr=1-1</t>
        </is>
      </c>
      <c r="L353" s="18" t="inlineStr">
        <is>
          <t>B008M690IW</t>
        </is>
      </c>
      <c r="M353" s="19" t="n"/>
      <c r="N353" s="19" t="n"/>
      <c r="O353" s="19" t="n">
        <v>9.25</v>
      </c>
      <c r="P353" s="19">
        <f>O353/1.19</f>
        <v/>
      </c>
      <c r="Q353" s="19">
        <f>O353-P353</f>
        <v/>
      </c>
      <c r="R353" s="19">
        <f>O353*0.15</f>
        <v/>
      </c>
      <c r="S353" s="19" t="n">
        <v>2.41</v>
      </c>
      <c r="T353" s="19">
        <f>S353*0.2</f>
        <v/>
      </c>
      <c r="U353" s="19" t="n">
        <v>0.400000000000002</v>
      </c>
      <c r="V353" s="19" t="n">
        <v>1.85</v>
      </c>
      <c r="W353" s="19">
        <f>V353*0.2</f>
        <v/>
      </c>
      <c r="X353" s="21">
        <f>O353-Q353-R353-S353-U353-V353+T353+W353</f>
        <v/>
      </c>
      <c r="Y353" s="18" t="n"/>
      <c r="Z353" s="19">
        <f>O353+1.5</f>
        <v/>
      </c>
      <c r="AA353" s="19" t="n"/>
      <c r="AB353" s="19" t="n"/>
      <c r="AC353" s="18" t="n"/>
      <c r="AD353" s="18" t="n"/>
      <c r="AE353" s="13" t="inlineStr">
        <is>
          <t>NOT_UPLOADED</t>
        </is>
      </c>
    </row>
    <row r="354" ht="16" customHeight="1">
      <c r="A354" s="12" t="n">
        <v>5052197025897</v>
      </c>
      <c r="B354" s="12" t="n">
        <v>5052197025897</v>
      </c>
      <c r="C354" s="13" t="n"/>
      <c r="D354" s="14" t="n"/>
      <c r="E354" s="14" t="inlineStr">
        <is>
          <t>AMP-5052197025897</t>
        </is>
      </c>
      <c r="F354" s="12" t="n">
        <v>4803002</v>
      </c>
      <c r="G354" s="14" t="inlineStr">
        <is>
          <t>Amperel</t>
        </is>
      </c>
      <c r="H354" s="14" t="inlineStr">
        <is>
          <t>Scholl</t>
        </is>
      </c>
      <c r="I354" s="14" t="inlineStr">
        <is>
          <t>SCHOLL CER CALLIF TRATT R/PROT</t>
        </is>
      </c>
      <c r="J354" s="14" t="inlineStr">
        <is>
          <t>No</t>
        </is>
      </c>
      <c r="K354" s="14" t="inlineStr">
        <is>
          <t>https://www.amazon.de/SCHOLL-CER-CALLIF-TRATT-PROT/dp/B00LPOU65E/ref=sr_1_1?__mk_de_DE=%C3%85M%C3%85%C5%BD%C3%95%C3%91&amp;crid=2TBDFY2YU7EWT&amp;dib=eyJ2IjoiMSJ9.CB_7bDNoLWfKqov4ZgI-Ww.Dfxq7jZxejRjhFvWqRW8XpWMYJiMIpvVt9tdeo1loeA&amp;dib_tag=se&amp;keywords=5052197025897&amp;qid=1750239688&amp;sprefix=5052197025897%2Caps%2C73&amp;sr=8-1</t>
        </is>
      </c>
      <c r="L354" s="14" t="inlineStr">
        <is>
          <t>B00LPOU65E</t>
        </is>
      </c>
      <c r="M354" s="15" t="n">
        <v>10.26</v>
      </c>
      <c r="N354" s="15" t="n"/>
      <c r="O354" s="15" t="n">
        <v>9.970000000000001</v>
      </c>
      <c r="P354" s="15">
        <f>O354/1.19</f>
        <v/>
      </c>
      <c r="Q354" s="15">
        <f>O354-P354</f>
        <v/>
      </c>
      <c r="R354" s="15">
        <f>O354*0.15</f>
        <v/>
      </c>
      <c r="S354" s="15" t="n">
        <v>2.65</v>
      </c>
      <c r="T354" s="15">
        <f>S354*0.2</f>
        <v/>
      </c>
      <c r="U354" s="15" t="n">
        <v>0.400000000000002</v>
      </c>
      <c r="V354" s="15" t="n">
        <v>2</v>
      </c>
      <c r="W354" s="15">
        <f>V354*0.2</f>
        <v/>
      </c>
      <c r="X354" s="21">
        <f>O354-Q354-R354-S354-U354-V354+T354+W354</f>
        <v/>
      </c>
      <c r="Y354" s="14" t="n"/>
      <c r="Z354" s="15">
        <f>O354+1.5</f>
        <v/>
      </c>
      <c r="AA354" s="15" t="n"/>
      <c r="AB354" s="15" t="n"/>
      <c r="AC354" s="14" t="n"/>
      <c r="AD354" s="14" t="n"/>
      <c r="AE354" s="13" t="inlineStr">
        <is>
          <t>NOT_UPLOADED</t>
        </is>
      </c>
    </row>
    <row r="355" ht="16" customHeight="1">
      <c r="A355" s="17" t="n">
        <v>5000288301160</v>
      </c>
      <c r="B355" s="17" t="n">
        <v>5052197025897</v>
      </c>
      <c r="C355" s="13" t="n"/>
      <c r="D355" s="18" t="n"/>
      <c r="E355" s="18" t="inlineStr">
        <is>
          <t>AMP-5000288301160</t>
        </is>
      </c>
      <c r="F355" s="17" t="n">
        <v>4803002</v>
      </c>
      <c r="G355" s="18" t="inlineStr">
        <is>
          <t>Amperel</t>
        </is>
      </c>
      <c r="H355" s="18" t="inlineStr">
        <is>
          <t>Scholl</t>
        </is>
      </c>
      <c r="I355" s="18" t="inlineStr">
        <is>
          <t>Scholl Medicated Corn Removal Kit, 4 Plasters and 4 Medicated Discs</t>
        </is>
      </c>
      <c r="J355" s="18" t="inlineStr">
        <is>
          <t>No</t>
        </is>
      </c>
      <c r="K355" s="18" t="inlineStr">
        <is>
          <t>https://www.amazon.co.uk/Scholl-Medicated-Removal-Plasters-Discs/dp/B07RKKJJ2L/ref=sr_1_1?crid=G0RETGH45DKE&amp;dib=eyJ2IjoiMSJ9.XJAYYRtO7Meat1UlGmwo2A.Dh7gJpDDY-R4FwxqV1Kec_NxRPdUGy5oI5uiuPDq5lQ&amp;dib_tag=se&amp;keywords=B07RKKJJ2L&amp;qid=1772447273&amp;s=drugstore&amp;sprefix=b07rkkjj2l%2Cdrugstore%2C400&amp;sr=1-1&amp;th=1</t>
        </is>
      </c>
      <c r="L355" s="18" t="inlineStr">
        <is>
          <t>B07RKKJJ2L</t>
        </is>
      </c>
      <c r="M355" s="19" t="n"/>
      <c r="N355" s="19" t="n"/>
      <c r="O355" s="19" t="n">
        <v>8.199999999999999</v>
      </c>
      <c r="P355" s="19">
        <f>O355/1.19</f>
        <v/>
      </c>
      <c r="Q355" s="19">
        <f>O355-P355</f>
        <v/>
      </c>
      <c r="R355" s="19">
        <f>O355*0.15</f>
        <v/>
      </c>
      <c r="S355" s="19" t="n">
        <v>2.65</v>
      </c>
      <c r="T355" s="19">
        <f>S355*0.2</f>
        <v/>
      </c>
      <c r="U355" s="19" t="n">
        <v>0.400000000000002</v>
      </c>
      <c r="V355" s="19" t="n">
        <v>2</v>
      </c>
      <c r="W355" s="19">
        <f>V355*0.2</f>
        <v/>
      </c>
      <c r="X355" s="16">
        <f>O355-Q355-R355-S355-U355-V355+T355+W355</f>
        <v/>
      </c>
      <c r="Y355" s="18" t="n"/>
      <c r="Z355" s="19">
        <f>O355+1.5</f>
        <v/>
      </c>
      <c r="AA355" s="19" t="n"/>
      <c r="AB355" s="19" t="n"/>
      <c r="AC355" s="18" t="n"/>
      <c r="AD355" s="18" t="n"/>
      <c r="AE355" s="13" t="inlineStr">
        <is>
          <t>NOT_UPLOADED</t>
        </is>
      </c>
    </row>
    <row r="356" ht="16" customHeight="1">
      <c r="A356" s="12" t="n">
        <v>5038483588710</v>
      </c>
      <c r="B356" s="12" t="n">
        <v>5038483588710</v>
      </c>
      <c r="C356" s="20" t="inlineStr">
        <is>
          <t>PACK X 2</t>
        </is>
      </c>
      <c r="D356" s="14" t="n"/>
      <c r="E356" s="14" t="inlineStr">
        <is>
          <t>AMP-5038483588710</t>
        </is>
      </c>
      <c r="F356" s="12" t="n">
        <v>4803003</v>
      </c>
      <c r="G356" s="14" t="inlineStr">
        <is>
          <t>Amperel</t>
        </is>
      </c>
      <c r="H356" s="14" t="inlineStr">
        <is>
          <t>Scholl</t>
        </is>
      </c>
      <c r="I356" s="14" t="inlineStr">
        <is>
          <t>Scholl Cracked Heel Repair Cream Klinisch Schnelle Skin Repair Creme Aktiv 2x60ml Flaschen bewährt</t>
        </is>
      </c>
      <c r="J356" s="14" t="inlineStr">
        <is>
          <t>No</t>
        </is>
      </c>
      <c r="K356" s="14" t="inlineStr">
        <is>
          <t>https://www.amazon.de/Scholl-Cracked-Klinisch-Schnelle-Flaschen/dp/B005EC0OO6/ref=sr_1_4?__mk_de_DE=%C3%85M%C3%85%C5%BD%C3%95%C3%91&amp;crid=GTBM4ROBOJWN&amp;dib=eyJ2IjoiMSJ9.pgYFMHdd4SZwliJVMIloiOSql0fyod3EsVGCbD02R3YmX7qT70EHcFPJ9z70iOe5nNd-h1fvb5oC4npCaQZyW8XBl-LVg8wJV8iXrunzVfXCq2shNsfhDwxOjBKAwsXTGPvIh0wUuiU_ROSBJiTcajJpdQLuhgMode5HA5VPexmsk2wEZOBy1x3IiE1mj5O7QyGrOD0GGb4fbWUff9-YXYBM_DZA1pw82VdsFKLmKOdkGEA8bFY51MYJoXcWM28RvS5WYiOZoNd2hPrCdvJZz7zXbiI0EcaUbEBSbD48Jsc.UNBiSEUah1hyG9esJeWbptEvP7iYgcohnEJQg1F2EWg&amp;dib_tag=se&amp;keywords=scholl+Active+Repair+K%2B+Pharma&amp;qid=1750279725&amp;sprefix=scholl+active+repair+k%2B+pharma%2Caps%2C105&amp;sr=8-4</t>
        </is>
      </c>
      <c r="L356" s="14" t="inlineStr">
        <is>
          <t>B005EC0OO6</t>
        </is>
      </c>
      <c r="M356" s="15" t="n">
        <v>28.62</v>
      </c>
      <c r="N356" s="15" t="n"/>
      <c r="O356" s="15" t="n">
        <v>25.97</v>
      </c>
      <c r="P356" s="15">
        <f>O356/1.19</f>
        <v/>
      </c>
      <c r="Q356" s="15">
        <f>O356-P356</f>
        <v/>
      </c>
      <c r="R356" s="15">
        <f>O356*0.15</f>
        <v/>
      </c>
      <c r="S356" s="15" t="n">
        <v>14</v>
      </c>
      <c r="T356" s="15">
        <f>S356*0.2</f>
        <v/>
      </c>
      <c r="U356" s="15" t="n">
        <v>0.400000000000002</v>
      </c>
      <c r="V356" s="15" t="n">
        <v>3.23</v>
      </c>
      <c r="W356" s="15">
        <f>V356*0.2</f>
        <v/>
      </c>
      <c r="X356" s="21">
        <f>O356-Q356-R356-S356-U356-V356+T356+W356</f>
        <v/>
      </c>
      <c r="Y356" s="14" t="n"/>
      <c r="Z356" s="15">
        <f>O356+1.5</f>
        <v/>
      </c>
      <c r="AA356" s="15" t="n"/>
      <c r="AB356" s="15" t="n"/>
      <c r="AC356" s="14" t="n"/>
      <c r="AD356" s="14" t="n"/>
      <c r="AE356" s="13" t="inlineStr">
        <is>
          <t>NOT_UPLOADED</t>
        </is>
      </c>
    </row>
    <row r="357" ht="16" customHeight="1">
      <c r="A357" s="17" t="n">
        <v>5038483253915</v>
      </c>
      <c r="B357" s="17" t="n">
        <v>5038483253915</v>
      </c>
      <c r="C357" s="13" t="n"/>
      <c r="D357" s="18" t="n"/>
      <c r="E357" s="18" t="inlineStr">
        <is>
          <t>AMP-5038483253915</t>
        </is>
      </c>
      <c r="F357" s="17" t="n">
        <v>4803003</v>
      </c>
      <c r="G357" s="18" t="inlineStr">
        <is>
          <t>Amperel</t>
        </is>
      </c>
      <c r="H357" s="18" t="inlineStr">
        <is>
          <t>Scholl</t>
        </is>
      </c>
      <c r="I357" s="18" t="inlineStr">
        <is>
          <t>Scholl Schrundensalbe Active Repair K+ gegen Hautschäden an rauen, trockenen &amp; rissigen Fersen - mit 25% Urea &amp; Keratin – wirkt ab dem ersten Tag - 1 x 60 ml Fußcreme</t>
        </is>
      </c>
      <c r="J357" s="18" t="inlineStr">
        <is>
          <t>No</t>
        </is>
      </c>
      <c r="K357" s="18" t="inlineStr">
        <is>
          <t>https://www.amazon.de/Scholl-Schrundensalbe-Active-Schrunden-rissige/dp/B002OL2OY8/ref=sr_1_1?__mk_de_DE=%C3%85M%C3%85%C5%BD%C3%95%C3%91&amp;crid=GTBM4ROBOJWN&amp;dib=eyJ2IjoiMSJ9.pgYFMHdd4SZwliJVMIloiOSql0fyod3EsVGCbD02R3YmX7qT70EHcFPJ9z70iOe5nNd-h1fvb5oC4npCaQZyW8XBl-LVg8wJV8iXrunzVfXCq2shNsfhDwxOjBKAwsXTGPvIh0wUuiU_ROSBJiTcajJpdQLuhgMode5HA5VPexmsk2wEZOBy1x3IiE1mj5O7QyGrOD0GGb4fbWUff9-YXYBM_DZA1pw82VdsFKLmKOdkGEA8bFY51MYJoXcWM28RvS5WYiOZoNd2hPrCdvJZz7zXbiI0EcaUbEBSbD48Jsc.UNBiSEUah1hyG9esJeWbptEvP7iYgcohnEJQg1F2EWg&amp;dib_tag=se&amp;keywords=scholl%2BActive%2BRepair%2BK%2B%2BPharma&amp;qid=1750279725&amp;sprefix=scholl%2Bactive%2Brepair%2Bk%2B%2Bpharma%2Caps%2C105&amp;sr=8-1&amp;th=1</t>
        </is>
      </c>
      <c r="L357" s="18" t="inlineStr">
        <is>
          <t>B002OL2OY8</t>
        </is>
      </c>
      <c r="M357" s="19" t="n"/>
      <c r="N357" s="19" t="n"/>
      <c r="O357" s="19" t="n">
        <v>13.9</v>
      </c>
      <c r="P357" s="19">
        <f>O357/1.19</f>
        <v/>
      </c>
      <c r="Q357" s="19">
        <f>O357-P357</f>
        <v/>
      </c>
      <c r="R357" s="19">
        <f>O357*0.15</f>
        <v/>
      </c>
      <c r="S357" s="19" t="n">
        <v>7</v>
      </c>
      <c r="T357" s="19">
        <f>S357*0.2</f>
        <v/>
      </c>
      <c r="U357" s="19" t="n">
        <v>0.400000000000002</v>
      </c>
      <c r="V357" s="19" t="n">
        <v>2.48</v>
      </c>
      <c r="W357" s="19">
        <f>V357*0.2</f>
        <v/>
      </c>
      <c r="X357" s="16">
        <f>O357-Q357-R357-S357-U357-V357+T357+W357</f>
        <v/>
      </c>
      <c r="Y357" s="18" t="n"/>
      <c r="Z357" s="19">
        <f>O357+1.5</f>
        <v/>
      </c>
      <c r="AA357" s="19" t="n"/>
      <c r="AB357" s="19" t="n"/>
      <c r="AC357" s="18" t="n"/>
      <c r="AD357" s="18" t="n"/>
      <c r="AE357" s="13" t="inlineStr">
        <is>
          <t>NOT_UPLOADED</t>
        </is>
      </c>
    </row>
    <row r="358" ht="16" customHeight="1">
      <c r="A358" s="12" t="n">
        <v>5052197019780</v>
      </c>
      <c r="B358" s="12" t="n">
        <v>5038483193884</v>
      </c>
      <c r="C358" s="13" t="n"/>
      <c r="D358" s="14" t="n"/>
      <c r="E358" s="14" t="inlineStr">
        <is>
          <t>AMP-5052197019780</t>
        </is>
      </c>
      <c r="F358" s="12" t="n">
        <v>4803005</v>
      </c>
      <c r="G358" s="14" t="inlineStr">
        <is>
          <t>Amperel</t>
        </is>
      </c>
      <c r="H358" s="14" t="inlineStr">
        <is>
          <t>Scholl</t>
        </is>
      </c>
      <c r="I358" s="14" t="inlineStr">
        <is>
          <t>Scholl Nagel-Clip - für gepflegte Füße - mit Hebelsystem um den Kraftaufwand zu reduzieren - ideal auch für harte oder dicke Nägel - stabil - 1 Stück</t>
        </is>
      </c>
      <c r="J358" s="14" t="inlineStr">
        <is>
          <t>No</t>
        </is>
      </c>
      <c r="K358" s="14" t="inlineStr">
        <is>
          <t>https://www.amazon.de/Scholl-Fu%C3%9Fnagel-Clip-1er-Pack-St%C3%BCck/dp/B00BQVRPHS/ref=sr_1_1?__mk_de_DE=%C3%85M%C3%85%C5%BD%C3%95%C3%91&amp;crid=28IPR53ZBU1FL&amp;dib=eyJ2IjoiMSJ9.FcD9JxJKdmTXnzu0WTkYWw.bPCyxMp3OyiaJjdkC37Brts36DoTIy1byh3IbzfPiUE&amp;dib_tag=se&amp;keywords=B00BQVRPHS&amp;qid=1754079104&amp;s=beauty&amp;sprefix=b00bqvrphs%2Cbeauty%2C130&amp;sr=1-1&amp;th=1</t>
        </is>
      </c>
      <c r="L358" s="14" t="inlineStr">
        <is>
          <t>B00BQVRPHS</t>
        </is>
      </c>
      <c r="M358" s="15" t="n"/>
      <c r="N358" s="15" t="n"/>
      <c r="O358" s="15" t="n">
        <v>8.699999999999999</v>
      </c>
      <c r="P358" s="15">
        <f>O358/1.19</f>
        <v/>
      </c>
      <c r="Q358" s="15">
        <f>O358-P358</f>
        <v/>
      </c>
      <c r="R358" s="15">
        <f>O358*0.15</f>
        <v/>
      </c>
      <c r="S358" s="15" t="n">
        <v>2.41</v>
      </c>
      <c r="T358" s="15">
        <f>S358*0.2</f>
        <v/>
      </c>
      <c r="U358" s="15" t="n">
        <v>0.400000000000002</v>
      </c>
      <c r="V358" s="15" t="n">
        <v>2.2</v>
      </c>
      <c r="W358" s="15">
        <f>V358*0.2</f>
        <v/>
      </c>
      <c r="X358" s="16">
        <f>O358-Q358-R358-S358-U358-V358+T358+W358</f>
        <v/>
      </c>
      <c r="Y358" s="14" t="n"/>
      <c r="Z358" s="15">
        <f>O358+1.5</f>
        <v/>
      </c>
      <c r="AA358" s="15" t="n"/>
      <c r="AB358" s="15" t="n"/>
      <c r="AC358" s="14" t="n"/>
      <c r="AD358" s="14" t="n"/>
      <c r="AE358" s="13" t="inlineStr">
        <is>
          <t>NOT_UPLOADED</t>
        </is>
      </c>
    </row>
    <row r="359" ht="16" customHeight="1">
      <c r="A359" s="17" t="n">
        <v>5052197001327</v>
      </c>
      <c r="B359" s="17" t="n">
        <v>5052197037692</v>
      </c>
      <c r="C359" s="13" t="n"/>
      <c r="D359" s="18" t="n"/>
      <c r="E359" s="18" t="inlineStr">
        <is>
          <t>AMP-5052197001327</t>
        </is>
      </c>
      <c r="F359" s="17" t="n">
        <v>4803004</v>
      </c>
      <c r="G359" s="18" t="inlineStr">
        <is>
          <t>Amperel</t>
        </is>
      </c>
      <c r="H359" s="18" t="inlineStr">
        <is>
          <t>Scholl</t>
        </is>
      </c>
      <c r="I359" s="18" t="inlineStr">
        <is>
          <t>Scholl 2 in 1 Lösung für Nagelpilz</t>
        </is>
      </c>
      <c r="J359" s="18" t="inlineStr">
        <is>
          <t>No</t>
        </is>
      </c>
      <c r="K359" s="18" t="inlineStr">
        <is>
          <t>https://www.amazon.de/1-L%C3%B6sung-Nagelpilz-Vorbeugung-Behandlung-gesch%C3%A4digten/dp/B00NNTDAS4/ref=sr_1_1?crid=1BVUPQ2H9BFO7&amp;dib=eyJ2IjoiMSJ9.L_EYeDFtwz1Omfc5q60H1lRrFI5UsPc7qiedWWqSg2ChzZ4CbNBsr35_hASynT1Z36lCOnYE0Kb1SnZyjlk6j0VpPCvBlra3FDsplCWfmGuSXvYBa8P55g8NdXPe81P8LhseeB2654xkBGvZp17hTJE2jWivHOViJv7ZGIAmzCAzWaTLpyG6jimmU6_aaxvpYTodJmQRoMtbD8NttiUjS-mjjLTY8KOs_nqGOumNwUaPJX6ufQyBzc-CbhSDcSmPYB63_ZpODyvWTpvHHn3w6Hqz1GlmC-3NdrMByDWg83k.SphVf_E0W0hkoas7KuVEQFAZ_2tMa_JYKt4i97rfSTI&amp;dib_tag=se&amp;keywords=scholl+fungal+nail&amp;qid=1750280885&amp;sprefix=SCHOLL+FUN%2Caps%2C114&amp;sr=8-1</t>
        </is>
      </c>
      <c r="L359" s="18" t="inlineStr">
        <is>
          <t>B00NNTDAS4</t>
        </is>
      </c>
      <c r="M359" s="19" t="n"/>
      <c r="N359" s="19" t="n">
        <v>14.76</v>
      </c>
      <c r="O359" s="19" t="n">
        <v>16.99</v>
      </c>
      <c r="P359" s="19">
        <f>O359/1.19</f>
        <v/>
      </c>
      <c r="Q359" s="19">
        <f>O359-P359</f>
        <v/>
      </c>
      <c r="R359" s="19">
        <f>O359*0.15</f>
        <v/>
      </c>
      <c r="S359" s="19" t="n">
        <v>8.529999999999999</v>
      </c>
      <c r="T359" s="19">
        <f>S359*0.2</f>
        <v/>
      </c>
      <c r="U359" s="19" t="n">
        <v>0.400000000000002</v>
      </c>
      <c r="V359" s="19" t="n">
        <v>2.16</v>
      </c>
      <c r="W359" s="19">
        <f>V359*0.2</f>
        <v/>
      </c>
      <c r="X359" s="21">
        <f>O359-Q359-R359-S359-U359-V359+T359+W359</f>
        <v/>
      </c>
      <c r="Y359" s="18" t="n"/>
      <c r="Z359" s="19">
        <f>O359+1.5</f>
        <v/>
      </c>
      <c r="AA359" s="19" t="n"/>
      <c r="AB359" s="19" t="n"/>
      <c r="AC359" s="18" t="n"/>
      <c r="AD359" s="18" t="n"/>
      <c r="AE359" s="13" t="inlineStr">
        <is>
          <t>NOT_UPLOADED</t>
        </is>
      </c>
    </row>
    <row r="360" ht="16" customHeight="1">
      <c r="A360" s="12" t="n">
        <v>5052197006308</v>
      </c>
      <c r="B360" s="12" t="n">
        <v>5052197037692</v>
      </c>
      <c r="C360" s="13" t="n"/>
      <c r="D360" s="14" t="n"/>
      <c r="E360" s="14" t="inlineStr">
        <is>
          <t>AMP-5052197006308</t>
        </is>
      </c>
      <c r="F360" s="12" t="n">
        <v>4803004</v>
      </c>
      <c r="G360" s="14" t="inlineStr">
        <is>
          <t>Amperel</t>
        </is>
      </c>
      <c r="H360" s="14" t="inlineStr">
        <is>
          <t>Scholl</t>
        </is>
      </c>
      <c r="I360" s="14" t="inlineStr">
        <is>
          <t>Scholl 2-in-1 Stift bei Nagelpilz - Neuartig entwickeltes System zur Behandlung von Nagelpilz und Pilzinfektionen - Wirkt direkt an der Quelle</t>
        </is>
      </c>
      <c r="J360" s="14" t="inlineStr">
        <is>
          <t>No</t>
        </is>
      </c>
      <c r="K360" s="14" t="inlineStr">
        <is>
          <t>https://www.amazon.de/dp/B00CJKMQN8</t>
        </is>
      </c>
      <c r="L360" s="14" t="inlineStr">
        <is>
          <t>B00CJKMQN8</t>
        </is>
      </c>
      <c r="M360" s="15" t="n"/>
      <c r="N360" s="15" t="n"/>
      <c r="O360" s="15" t="n">
        <v>16.9</v>
      </c>
      <c r="P360" s="15">
        <f>O360/1.19</f>
        <v/>
      </c>
      <c r="Q360" s="15">
        <f>O360-P360</f>
        <v/>
      </c>
      <c r="R360" s="15">
        <f>O360*0.15</f>
        <v/>
      </c>
      <c r="S360" s="15" t="n">
        <v>8.529999999999999</v>
      </c>
      <c r="T360" s="15">
        <f>S360*0.2</f>
        <v/>
      </c>
      <c r="U360" s="15" t="n">
        <v>0.400000000000002</v>
      </c>
      <c r="V360" s="15" t="n">
        <v>2.16</v>
      </c>
      <c r="W360" s="15">
        <f>V360*0.2</f>
        <v/>
      </c>
      <c r="X360" s="21">
        <f>O360-Q360-R360-S360-U360-V360+T360+W360</f>
        <v/>
      </c>
      <c r="Y360" s="14" t="n"/>
      <c r="Z360" s="15">
        <f>O360+1.5</f>
        <v/>
      </c>
      <c r="AA360" s="15" t="n"/>
      <c r="AB360" s="15" t="n"/>
      <c r="AC360" s="14" t="n"/>
      <c r="AD360" s="14" t="n"/>
      <c r="AE360" s="13" t="inlineStr">
        <is>
          <t>NOT_UPLOADED</t>
        </is>
      </c>
    </row>
    <row r="361" ht="16" customHeight="1">
      <c r="A361" s="17" t="n">
        <v>5038483863367</v>
      </c>
      <c r="B361" s="17" t="n">
        <v>5038483863367</v>
      </c>
      <c r="C361" s="13" t="n"/>
      <c r="D361" s="18" t="n"/>
      <c r="E361" s="18" t="inlineStr">
        <is>
          <t>AMP-5038483863367</t>
        </is>
      </c>
      <c r="F361" s="17" t="n">
        <v>4803008</v>
      </c>
      <c r="G361" s="18" t="inlineStr">
        <is>
          <t>Amperel</t>
        </is>
      </c>
      <c r="H361" s="18" t="inlineStr">
        <is>
          <t>Scholl</t>
        </is>
      </c>
      <c r="I361" s="18" t="inlineStr">
        <is>
          <t>Scholl s Intens A-Callosite 44784</t>
        </is>
      </c>
      <c r="J361" s="18" t="inlineStr">
        <is>
          <t>No</t>
        </is>
      </c>
      <c r="K361" s="18" t="inlineStr">
        <is>
          <t>https://www.amazon.de/Scholl-s-Intens-A-Callosite-44784/dp/B00D3HXLVW/ref=sr_1_1?__mk_de_DE=%C3%85M%C3%85%C5%BD%C3%95%C3%91&amp;crid=356X08KBU6HRK&amp;dib=eyJ2IjoiMSJ9.lAYL73Ix1M3UPWUuq4nlvg.btE7HOyuYFJxSGS7fIi4Dh2LFYe2ZP0wEY2PYNdIBzQ&amp;dib_tag=se&amp;keywords=B00D3HXLVW&amp;qid=1759908153&amp;sprefix=b00d3hxlvw%2Caps%2C81&amp;sr=8-1</t>
        </is>
      </c>
      <c r="L361" s="18" t="inlineStr">
        <is>
          <t>B00D3HXLVW</t>
        </is>
      </c>
      <c r="M361" s="19" t="n">
        <v>14.27</v>
      </c>
      <c r="N361" s="19" t="n"/>
      <c r="O361" s="19" t="n">
        <v>13.99</v>
      </c>
      <c r="P361" s="19">
        <f>O361/1.19</f>
        <v/>
      </c>
      <c r="Q361" s="19">
        <f>O361-P361</f>
        <v/>
      </c>
      <c r="R361" s="19">
        <f>O361*0.15</f>
        <v/>
      </c>
      <c r="S361" s="19" t="n">
        <v>4.13</v>
      </c>
      <c r="T361" s="19">
        <f>S361*0.2</f>
        <v/>
      </c>
      <c r="U361" s="19" t="n">
        <v>0.400000000000002</v>
      </c>
      <c r="V361" s="19" t="n">
        <v>2.81</v>
      </c>
      <c r="W361" s="19">
        <f>V361*0.2</f>
        <v/>
      </c>
      <c r="X361" s="21">
        <f>O361-Q361-R361-S361-U361-V361+T361+W361</f>
        <v/>
      </c>
      <c r="Y361" s="18" t="n"/>
      <c r="Z361" s="19">
        <f>O361+1.5</f>
        <v/>
      </c>
      <c r="AA361" s="19" t="n"/>
      <c r="AB361" s="19" t="n"/>
      <c r="AC361" s="18" t="n"/>
      <c r="AD361" s="18" t="n"/>
      <c r="AE361" s="13" t="inlineStr">
        <is>
          <t>NOT_UPLOADED</t>
        </is>
      </c>
    </row>
    <row r="362" ht="16" customHeight="1">
      <c r="A362" s="12" t="n">
        <v>5038483501092</v>
      </c>
      <c r="B362" s="12" t="n">
        <v>5038483863367</v>
      </c>
      <c r="C362" s="13" t="n"/>
      <c r="D362" s="14" t="n"/>
      <c r="E362" s="14" t="inlineStr">
        <is>
          <t>AMP-5038483501092</t>
        </is>
      </c>
      <c r="F362" s="12" t="n">
        <v>4803008</v>
      </c>
      <c r="G362" s="14" t="inlineStr">
        <is>
          <t>Amperel</t>
        </is>
      </c>
      <c r="H362" s="14" t="inlineStr">
        <is>
          <t>Scholl</t>
        </is>
      </c>
      <c r="I362" s="14" t="inlineStr">
        <is>
          <t>Scholl Anti-Hornhaut Creme Intensiv Fußpflege 60ml - Wirksame Fußcreme gegen harte Haut und zur tiefen Hornhautentfernung, weiche Füße in 7 Tagen, Hornhautentferner Fußcreme, Wirksame Fußpflege</t>
        </is>
      </c>
      <c r="J362" s="14" t="inlineStr">
        <is>
          <t>No</t>
        </is>
      </c>
      <c r="K362" s="14" t="inlineStr">
        <is>
          <t>https://www.amazon.de/dp/B0028O1IKM</t>
        </is>
      </c>
      <c r="L362" s="14" t="inlineStr">
        <is>
          <t>B0028O1IKM</t>
        </is>
      </c>
      <c r="M362" s="15" t="n"/>
      <c r="N362" s="15" t="n"/>
      <c r="O362" s="15" t="n">
        <v>13.55</v>
      </c>
      <c r="P362" s="15">
        <f>O362/1.19</f>
        <v/>
      </c>
      <c r="Q362" s="15">
        <f>O362-P362</f>
        <v/>
      </c>
      <c r="R362" s="15">
        <f>O362*0.15</f>
        <v/>
      </c>
      <c r="S362" s="15" t="n">
        <v>4.13</v>
      </c>
      <c r="T362" s="15">
        <f>S362*0.2</f>
        <v/>
      </c>
      <c r="U362" s="15" t="n">
        <v>0.400000000000002</v>
      </c>
      <c r="V362" s="15" t="n">
        <v>2.81</v>
      </c>
      <c r="W362" s="15">
        <f>V362*0.2</f>
        <v/>
      </c>
      <c r="X362" s="21">
        <f>O362-Q362-R362-S362-U362-V362+T362+W362</f>
        <v/>
      </c>
      <c r="Y362" s="14" t="n"/>
      <c r="Z362" s="15">
        <f>O362+1.5</f>
        <v/>
      </c>
      <c r="AA362" s="15" t="n"/>
      <c r="AB362" s="15" t="n"/>
      <c r="AC362" s="14" t="n"/>
      <c r="AD362" s="14" t="n"/>
      <c r="AE362" s="13" t="inlineStr">
        <is>
          <t>NOT_UPLOADED</t>
        </is>
      </c>
    </row>
    <row r="363" ht="16" customHeight="1">
      <c r="A363" s="17" t="n">
        <v>4002448153184</v>
      </c>
      <c r="B363" s="17" t="n">
        <v>4002448153184</v>
      </c>
      <c r="C363" s="13" t="n"/>
      <c r="D363" s="18" t="n"/>
      <c r="E363" s="18" t="inlineStr">
        <is>
          <t>AMP-4002448153184</t>
        </is>
      </c>
      <c r="F363" s="17" t="n">
        <v>4803010</v>
      </c>
      <c r="G363" s="18" t="inlineStr">
        <is>
          <t>Amperel</t>
        </is>
      </c>
      <c r="H363" s="18" t="inlineStr">
        <is>
          <t>Scholl</t>
        </is>
      </c>
      <c r="I363" s="18" t="inlineStr">
        <is>
          <t>Scholl EXPERTCARE intensiv pflegende Fußmaske mit Aloe Vera – Feuchtigkeitsspendende Pflege – 1 Paar Einwegsocken</t>
        </is>
      </c>
      <c r="J363" s="18" t="inlineStr">
        <is>
          <t>No</t>
        </is>
      </c>
      <c r="K363" s="18" t="inlineStr">
        <is>
          <t>https://www.amazon.de/Scholl-EXPERTCARE-intensiv-pflegende-Fu%C3%9Fmaske/dp/B08WJ6QDTG/ref=sr_1_4?crid=2305K83RCV1R4&amp;dib=eyJ2IjoiMSJ9.klIU-QBjvP3Il8P96iNoTofm1KYOTm719fIm9QyZjuRSJEHLUOAhBs7CcHnMfvW_MV3_BZ1dCoL1pIrQ2KoDIJntzWEIgo_viVhcV6lV_9luIsGDMLmypEwMMFZ8fC9isBl_cEF1ZoF47IZGBPr90_sjv3PoYHd_aJRYtQtqIpffUpwP3e-imK8kRzEJRAjatue6GEO3cyllDYmJA4I4SsdKgRPNB03SOmR2IjrC3qYcnwsHNZmw-K0OkykL2iUUxQLSahIDg96HBl5FBrgtznQPRKpMfPZqhoADFmVYHcA.CSYOUhmTC6YwNHy5e8Xa-t73F2nP2-kzH4xUUO__MBY&amp;dib_tag=se&amp;keywords=scholl%2Bfoot%2Bmask&amp;qid=1750282160&amp;sprefix=SCHOLL%2BFOOT%2Caps%2C103&amp;sr=8-4&amp;th=1</t>
        </is>
      </c>
      <c r="L363" s="18" t="inlineStr">
        <is>
          <t>B08WJ6QDTG</t>
        </is>
      </c>
      <c r="M363" s="19" t="n"/>
      <c r="N363" s="19" t="n"/>
      <c r="O363" s="19" t="n">
        <v>9.970000000000001</v>
      </c>
      <c r="P363" s="19">
        <f>O363/1.19</f>
        <v/>
      </c>
      <c r="Q363" s="19">
        <f>O363-P363</f>
        <v/>
      </c>
      <c r="R363" s="19">
        <f>O363*0.15</f>
        <v/>
      </c>
      <c r="S363" s="19" t="n">
        <v>3.63</v>
      </c>
      <c r="T363" s="19">
        <f>S363*0.2</f>
        <v/>
      </c>
      <c r="U363" s="19" t="n">
        <v>0.400000000000002</v>
      </c>
      <c r="V363" s="19" t="n">
        <v>2</v>
      </c>
      <c r="W363" s="19">
        <f>V363*0.2</f>
        <v/>
      </c>
      <c r="X363" s="16">
        <f>O363-Q363-R363-S363-U363-V363+T363+W363</f>
        <v/>
      </c>
      <c r="Y363" s="18" t="n"/>
      <c r="Z363" s="19">
        <f>O363+1.5</f>
        <v/>
      </c>
      <c r="AA363" s="19" t="n"/>
      <c r="AB363" s="19" t="n"/>
      <c r="AC363" s="18" t="n"/>
      <c r="AD363" s="18" t="n"/>
      <c r="AE363" s="13" t="inlineStr">
        <is>
          <t>NOT_UPLOADED</t>
        </is>
      </c>
    </row>
    <row r="364" ht="16" customHeight="1">
      <c r="A364" s="12" t="n">
        <v>4002448116288</v>
      </c>
      <c r="B364" s="12" t="n">
        <v>8002910048471</v>
      </c>
      <c r="C364" s="13" t="n"/>
      <c r="D364" s="14" t="n"/>
      <c r="E364" s="14" t="inlineStr">
        <is>
          <t>AMP-4002448116288</t>
        </is>
      </c>
      <c r="F364" s="12" t="n">
        <v>4803014</v>
      </c>
      <c r="G364" s="14" t="inlineStr">
        <is>
          <t>Amperel</t>
        </is>
      </c>
      <c r="H364" s="14" t="inlineStr">
        <is>
          <t>Scholl</t>
        </is>
      </c>
      <c r="I364" s="14" t="inlineStr">
        <is>
          <t>Scholl Party Feet Ballenpolster – Rutschfeste Einlegesohlen mit GelActiv Technologie für fast alle Damenschuhe – 1 Paar selbstklebende Gelsohlen</t>
        </is>
      </c>
      <c r="J364" s="14" t="inlineStr">
        <is>
          <t>No</t>
        </is>
      </c>
      <c r="K364" s="14" t="inlineStr">
        <is>
          <t>https://www.amazon.de/Scholl-Party-Ballenpolster-Activ-Technologie/dp/B078HHQ5TK/ref=sr_1_1?__mk_de_DE=%C3%85M%C3%85%C5%BD%C3%95%C3%91&amp;crid=2A3OP8B11RGBW&amp;dib=eyJ2IjoiMSJ9.JO7cY6RxCH408gTy5wV2YA.smkhI5Rcl3-1b_VbqnVdFom682NHZrc1mWhI7ebN2IU&amp;dib_tag=se&amp;keywords=B078HHQ5TK&amp;qid=1754073240&amp;s=drugstore&amp;sprefix=b078hhq5tk%2Cdrugstore%2C159&amp;sr=1-1&amp;th=1</t>
        </is>
      </c>
      <c r="L364" s="14" t="inlineStr">
        <is>
          <t>B078HHQ5TK</t>
        </is>
      </c>
      <c r="M364" s="15" t="n">
        <v>14.84</v>
      </c>
      <c r="N364" s="15" t="n">
        <v>6.97</v>
      </c>
      <c r="O364" s="15" t="n">
        <v>12.99</v>
      </c>
      <c r="P364" s="15">
        <f>O364/1.19</f>
        <v/>
      </c>
      <c r="Q364" s="15">
        <f>O364-P364</f>
        <v/>
      </c>
      <c r="R364" s="15">
        <f>O364*0.15</f>
        <v/>
      </c>
      <c r="S364" s="15" t="n">
        <v>3.33</v>
      </c>
      <c r="T364" s="15">
        <f>S364*0.2</f>
        <v/>
      </c>
      <c r="U364" s="15" t="n">
        <v>0.400000000000002</v>
      </c>
      <c r="V364" s="15" t="n">
        <v>2.34</v>
      </c>
      <c r="W364" s="15">
        <f>V364*0.2</f>
        <v/>
      </c>
      <c r="X364" s="21">
        <f>O364-Q364-R364-S364-U364-V364+T364+W364</f>
        <v/>
      </c>
      <c r="Y364" s="14" t="n"/>
      <c r="Z364" s="15">
        <f>O364+1.5</f>
        <v/>
      </c>
      <c r="AA364" s="15" t="n"/>
      <c r="AB364" s="15" t="n"/>
      <c r="AC364" s="14" t="n"/>
      <c r="AD364" s="14" t="n"/>
      <c r="AE364" s="13" t="inlineStr">
        <is>
          <t>NOT_UPLOADED</t>
        </is>
      </c>
    </row>
    <row r="365" ht="16" customHeight="1">
      <c r="A365" s="17" t="n">
        <v>5011417570319</v>
      </c>
      <c r="B365" s="17" t="n">
        <v>8002910048471</v>
      </c>
      <c r="C365" s="13" t="n"/>
      <c r="D365" s="18" t="n"/>
      <c r="E365" s="18" t="inlineStr">
        <is>
          <t>AMP-5011417570319</t>
        </is>
      </c>
      <c r="F365" s="17" t="n">
        <v>4803014</v>
      </c>
      <c r="G365" s="18" t="inlineStr">
        <is>
          <t>Amperel</t>
        </is>
      </c>
      <c r="H365" s="18" t="inlineStr">
        <is>
          <t>Scholl</t>
        </is>
      </c>
      <c r="I365" s="18" t="inlineStr">
        <is>
          <t>Scholl Partyfüße – Fußballen, 2 Packungen</t>
        </is>
      </c>
      <c r="J365" s="18" t="inlineStr">
        <is>
          <t>No</t>
        </is>
      </c>
      <c r="K365" s="18" t="inlineStr">
        <is>
          <t>https://www.amazon.de/Scholl-Partyf%C3%BC%C3%9Fe-Fu%C3%9Fballen-2-Packungen/dp/B079P67YTB/ref=sr_1_8?__mk_de_DE=%C3%85M%C3%85%C5%BD%C3%95%C3%91&amp;crid=3PZ0XDR6FO3VF&amp;dib=eyJ2IjoiMSJ9.iOOKrwA-YrTe531lOVl3nJovVY120WrrhgGp4KnWBrypBB0csPYCYGtLZePEDLoPhnYXcNMwTRFdI8RSOY1XWHzorwK81BHCwrjijoZqoKIPR7PqFM7x7zg5tXg8bidzJOV1GKqNlU2L4j4IEfRvo0wwVEURjX4KzNEVA29VIgmun1F8H2JVENYfh9qCxGCv7xqgzPKYoxXIVzlsOHNHjTOd9OW65XFz-DrZu9jaOPTBMY6m7t1dUr6e_xpcthUKT6byEsVarc1j_xzGaN4cnJmC8HvX7iTcmf3G4e7TIVk.JOnMugrz37deX3RrVs6M-Nzi4VdpcS_B9qs5nsXncKs&amp;dib_tag=se&amp;keywords=scholl+party+feet&amp;qid=1770754437&amp;s=drugstore&amp;sprefix=scholl+party+feet%2Cdrugstore%2C114&amp;sr=1-8</t>
        </is>
      </c>
      <c r="L365" s="18" t="inlineStr">
        <is>
          <t>B079P67YTB</t>
        </is>
      </c>
      <c r="M365" s="19" t="n">
        <v>11.44</v>
      </c>
      <c r="N365" s="19" t="n"/>
      <c r="O365" s="19" t="n">
        <v>11.35</v>
      </c>
      <c r="P365" s="19">
        <f>O365/1.19</f>
        <v/>
      </c>
      <c r="Q365" s="19">
        <f>O365-P365</f>
        <v/>
      </c>
      <c r="R365" s="19">
        <f>O365*0.15</f>
        <v/>
      </c>
      <c r="S365" s="19" t="n">
        <v>3.24</v>
      </c>
      <c r="T365" s="19">
        <f>S365*0.2</f>
        <v/>
      </c>
      <c r="U365" s="19" t="n">
        <v>0.400000000000002</v>
      </c>
      <c r="V365" s="19" t="n">
        <v>2.34</v>
      </c>
      <c r="W365" s="19">
        <f>V365*0.2</f>
        <v/>
      </c>
      <c r="X365" s="21">
        <f>O365-Q365-R365-S365-U365-V365+T365+W365</f>
        <v/>
      </c>
      <c r="Y365" s="18" t="n"/>
      <c r="Z365" s="19">
        <f>O365+1.5</f>
        <v/>
      </c>
      <c r="AA365" s="19" t="n"/>
      <c r="AB365" s="19" t="n"/>
      <c r="AC365" s="18" t="n"/>
      <c r="AD365" s="18" t="n"/>
      <c r="AE365" s="13" t="inlineStr">
        <is>
          <t>NOT_UPLOADED</t>
        </is>
      </c>
    </row>
    <row r="366" ht="16" customHeight="1">
      <c r="A366" s="12" t="n">
        <v>5038483956403</v>
      </c>
      <c r="B366" s="12" t="n">
        <v>5052197037692</v>
      </c>
      <c r="C366" s="20" t="inlineStr">
        <is>
          <t xml:space="preserve">UK </t>
        </is>
      </c>
      <c r="D366" s="14" t="n"/>
      <c r="E366" s="14" t="inlineStr">
        <is>
          <t>AMP-5038483956403</t>
        </is>
      </c>
      <c r="F366" s="12" t="n">
        <v>4803004</v>
      </c>
      <c r="G366" s="14" t="inlineStr">
        <is>
          <t>Amperel</t>
        </is>
      </c>
      <c r="H366" s="14" t="inlineStr">
        <is>
          <t>Scholl</t>
        </is>
      </c>
      <c r="I366" s="14" t="inlineStr">
        <is>
          <t>Scholl Fungal Nail Treatment 3.8ml,packaging may vary</t>
        </is>
      </c>
      <c r="J366" s="14" t="inlineStr">
        <is>
          <t>No</t>
        </is>
      </c>
      <c r="K366" s="14" t="inlineStr">
        <is>
          <t>https://www.amazon.co.uk/dp/B00478LF78</t>
        </is>
      </c>
      <c r="L366" s="14" t="inlineStr">
        <is>
          <t>B00478LF78</t>
        </is>
      </c>
      <c r="M366" s="15" t="n"/>
      <c r="N366" s="15" t="n"/>
      <c r="O366" s="15" t="n">
        <v>18</v>
      </c>
      <c r="P366" s="15">
        <f>O366/1.19</f>
        <v/>
      </c>
      <c r="Q366" s="15">
        <f>O366-P366</f>
        <v/>
      </c>
      <c r="R366" s="15">
        <f>O366*0.15</f>
        <v/>
      </c>
      <c r="S366" s="15" t="n">
        <v>8.529999999999999</v>
      </c>
      <c r="T366" s="15">
        <f>S366*0.2</f>
        <v/>
      </c>
      <c r="U366" s="15" t="n">
        <v>0.400000000000002</v>
      </c>
      <c r="V366" s="15" t="n">
        <v>2.16</v>
      </c>
      <c r="W366" s="15">
        <f>V366*0.2</f>
        <v/>
      </c>
      <c r="X366" s="21">
        <f>O366-Q366-R366-S366-U366-V366+T366+W366</f>
        <v/>
      </c>
      <c r="Y366" s="14" t="n"/>
      <c r="Z366" s="15">
        <f>O366+1.5</f>
        <v/>
      </c>
      <c r="AA366" s="15" t="n"/>
      <c r="AB366" s="15" t="n"/>
      <c r="AC366" s="14" t="n"/>
      <c r="AD366" s="14" t="n"/>
      <c r="AE366" s="13" t="inlineStr">
        <is>
          <t>NOT_UPLOADED</t>
        </is>
      </c>
    </row>
    <row r="367" ht="16" customHeight="1">
      <c r="A367" s="17" t="n">
        <v>8002910048471</v>
      </c>
      <c r="B367" s="17" t="n">
        <v>8002910048471</v>
      </c>
      <c r="C367" s="13" t="n"/>
      <c r="D367" s="18" t="n"/>
      <c r="E367" s="18" t="inlineStr">
        <is>
          <t>AMP-8002910048471</t>
        </is>
      </c>
      <c r="F367" s="17" t="n">
        <v>4803014</v>
      </c>
      <c r="G367" s="18" t="inlineStr">
        <is>
          <t>Amperel</t>
        </is>
      </c>
      <c r="H367" s="18" t="inlineStr">
        <is>
          <t>Scholl</t>
        </is>
      </c>
      <c r="I367" s="18" t="inlineStr">
        <is>
          <t>Scholl Party Feet Ultra Slim Gel-Polster zum Schutz des vorderen Teils der Fußsohlen, transparentes Polster für High Heels, Anti-Rutsch-Technologie, 1 Paar</t>
        </is>
      </c>
      <c r="J367" s="18" t="inlineStr">
        <is>
          <t>No</t>
        </is>
      </c>
      <c r="K367" s="18" t="inlineStr">
        <is>
          <t>https://www.amazon.de/dp/B07YSGHKLH</t>
        </is>
      </c>
      <c r="L367" s="18" t="inlineStr">
        <is>
          <t>B07YSGHKLH</t>
        </is>
      </c>
      <c r="M367" s="19" t="n">
        <v>10.2</v>
      </c>
      <c r="N367" s="19" t="n"/>
      <c r="O367" s="19" t="n">
        <v>10.09</v>
      </c>
      <c r="P367" s="19">
        <f>O367/1.19</f>
        <v/>
      </c>
      <c r="Q367" s="19">
        <f>O367-P367</f>
        <v/>
      </c>
      <c r="R367" s="19">
        <f>O367*0.15</f>
        <v/>
      </c>
      <c r="S367" s="19" t="n">
        <v>3.33</v>
      </c>
      <c r="T367" s="19">
        <f>S367*0.2</f>
        <v/>
      </c>
      <c r="U367" s="19" t="n">
        <v>0.400000000000002</v>
      </c>
      <c r="V367" s="19" t="n">
        <v>2.34</v>
      </c>
      <c r="W367" s="19">
        <f>V367*0.2</f>
        <v/>
      </c>
      <c r="X367" s="21">
        <f>O367-Q367-R367-S367-U367-V367+T367+W367</f>
        <v/>
      </c>
      <c r="Y367" s="18" t="n"/>
      <c r="Z367" s="19">
        <f>O367+1.5</f>
        <v/>
      </c>
      <c r="AA367" s="19" t="n"/>
      <c r="AB367" s="19" t="n"/>
      <c r="AC367" s="18" t="n"/>
      <c r="AD367" s="18" t="n"/>
      <c r="AE367" s="13" t="inlineStr">
        <is>
          <t>NOT_UPLOADED</t>
        </is>
      </c>
    </row>
    <row r="368" ht="16" customHeight="1">
      <c r="A368" s="12" t="n">
        <v>4002448095231</v>
      </c>
      <c r="B368" s="12" t="n">
        <v>4002448095231</v>
      </c>
      <c r="C368" s="13" t="n"/>
      <c r="D368" s="14" t="n"/>
      <c r="E368" s="14" t="inlineStr">
        <is>
          <t>AMP-4002448095231</t>
        </is>
      </c>
      <c r="F368" s="12" t="n">
        <v>4803015</v>
      </c>
      <c r="G368" s="14" t="inlineStr">
        <is>
          <t>Amperel</t>
        </is>
      </c>
      <c r="H368" s="14" t="inlineStr">
        <is>
          <t>Scholl</t>
        </is>
      </c>
      <c r="I368" s="14" t="inlineStr">
        <is>
          <t>Scholl Gel Activ Einlegesohlen für High Heels und Schuhen mit Absätzen über 5,5 cm - Ultraweiche Gel Einlegesohle für extremen Komfort - 1 Paar, passend für Schuhgröße 35-40,5</t>
        </is>
      </c>
      <c r="J368" s="14" t="inlineStr">
        <is>
          <t>No</t>
        </is>
      </c>
      <c r="K368" s="14" t="inlineStr">
        <is>
          <t>https://www.amazon.de/Scholl-Einlegesohlen-HighHeels-Schuhe-Abs%C3%A4tzen/dp/B019I3O8SO/ref=sr_1_1?__mk_de_DE=%C3%85M%C3%85%C5%BD%C3%95%C3%91&amp;crid=3E8QAJ0TM4OIN&amp;dib=eyJ2IjoiMSJ9.vreP5ZxGq4PMMRPvqe_bE_d-Zu8mZ__5U7-TlYMpzk4.BNVaeX8rbg3ea01qgig6PkIPKO34qOgcEasHwUVLXCc&amp;dib_tag=se&amp;keywords=4002448095231&amp;qid=1750283130&amp;sprefix=4002448095231%2Caps%2C142&amp;sr=8-1&amp;th=1</t>
        </is>
      </c>
      <c r="L368" s="14" t="inlineStr">
        <is>
          <t>B019I3O8SO</t>
        </is>
      </c>
      <c r="M368" s="15" t="n">
        <v>18.57</v>
      </c>
      <c r="N368" s="15" t="n"/>
      <c r="O368" s="15" t="n">
        <v>19.66</v>
      </c>
      <c r="P368" s="15">
        <f>O368/1.19</f>
        <v/>
      </c>
      <c r="Q368" s="15">
        <f>O368-P368</f>
        <v/>
      </c>
      <c r="R368" s="15">
        <f>O368*0.15</f>
        <v/>
      </c>
      <c r="S368" s="15" t="n">
        <v>9.19</v>
      </c>
      <c r="T368" s="15">
        <f>S368*0.2</f>
        <v/>
      </c>
      <c r="U368" s="15" t="n">
        <v>0.400000000000002</v>
      </c>
      <c r="V368" s="15" t="n">
        <v>2.7</v>
      </c>
      <c r="W368" s="15">
        <f>V368*0.2</f>
        <v/>
      </c>
      <c r="X368" s="21">
        <f>O368-Q368-R368-S368-U368-V368+T368+W368</f>
        <v/>
      </c>
      <c r="Y368" s="14" t="n"/>
      <c r="Z368" s="15">
        <f>O368+1.5</f>
        <v/>
      </c>
      <c r="AA368" s="15" t="n"/>
      <c r="AB368" s="15" t="n"/>
      <c r="AC368" s="14" t="n"/>
      <c r="AD368" s="14" t="n"/>
      <c r="AE368" s="13" t="inlineStr">
        <is>
          <t>NOT_UPLOADED</t>
        </is>
      </c>
    </row>
    <row r="369" ht="16" customHeight="1">
      <c r="A369" s="17" t="n">
        <v>5056585802282</v>
      </c>
      <c r="B369" s="17" t="n">
        <v>5056585802282</v>
      </c>
      <c r="C369" s="13" t="n"/>
      <c r="D369" s="18" t="n"/>
      <c r="E369" s="18" t="inlineStr">
        <is>
          <t>AMP-5056585802282</t>
        </is>
      </c>
      <c r="F369" s="17" t="n">
        <v>4803016</v>
      </c>
      <c r="G369" s="18" t="inlineStr">
        <is>
          <t>Amperel</t>
        </is>
      </c>
      <c r="H369" s="18" t="inlineStr">
        <is>
          <t>Scholl</t>
        </is>
      </c>
      <c r="I369" s="18" t="inlineStr">
        <is>
          <t>Scholl GelActiv Sportschuhe, Einlegesohlen mit GelWave Dämpfungstechnologie, ganztägiger Komfort für aktive und bewegliche Menschen, Größe S</t>
        </is>
      </c>
      <c r="J369" s="18" t="inlineStr">
        <is>
          <t>No</t>
        </is>
      </c>
      <c r="K369" s="18" t="inlineStr">
        <is>
          <t>https://www.amazon.de/Scholl-Sportschuhe-Einlegesohlen-D%C3%A4mpfungstechnologie-ganzt%C3%A4giger/dp/B0CT3F73F8/ref=sr_1_1?__mk_de_DE=%C3%85M%C3%85%C5%BD%C3%95%C3%91&amp;crid=180JWD30BHPVR&amp;dib=eyJ2IjoiMSJ9.QHyeiegCKBQJfnB-Z0Vzjg.O5G0NT24hED6Cnj7NvBA9L_PhK6u2V5z0nMopaIcJcs&amp;dib_tag=se&amp;keywords=5056585802282&amp;qid=1750283420&amp;sprefix=5056585802282%2Caps%2C137&amp;sr=8-1</t>
        </is>
      </c>
      <c r="L369" s="18" t="inlineStr">
        <is>
          <t>B0CT3F73F8</t>
        </is>
      </c>
      <c r="M369" s="19" t="n">
        <v>23.07</v>
      </c>
      <c r="N369" s="19" t="n"/>
      <c r="O369" s="19" t="n">
        <v>21.79</v>
      </c>
      <c r="P369" s="19">
        <f>O369/1.19</f>
        <v/>
      </c>
      <c r="Q369" s="19">
        <f>O369-P369</f>
        <v/>
      </c>
      <c r="R369" s="19">
        <f>O369*0.15</f>
        <v/>
      </c>
      <c r="S369" s="19" t="n">
        <v>9.84</v>
      </c>
      <c r="T369" s="19">
        <f>S369*0.2</f>
        <v/>
      </c>
      <c r="U369" s="19" t="n">
        <v>0.400000000000002</v>
      </c>
      <c r="V369" s="19" t="n">
        <v>3.25</v>
      </c>
      <c r="W369" s="19">
        <f>V369*0.2</f>
        <v/>
      </c>
      <c r="X369" s="21">
        <f>O369-Q369-R369-S369-U369-V369+T369+W369</f>
        <v/>
      </c>
      <c r="Y369" s="18" t="n"/>
      <c r="Z369" s="19">
        <f>O369+1.5</f>
        <v/>
      </c>
      <c r="AA369" s="19" t="n"/>
      <c r="AB369" s="19" t="n"/>
      <c r="AC369" s="18" t="n"/>
      <c r="AD369" s="18" t="n"/>
      <c r="AE369" s="13" t="inlineStr">
        <is>
          <t>NOT_UPLOADED</t>
        </is>
      </c>
    </row>
    <row r="370" ht="16" customHeight="1">
      <c r="A370" s="12" t="n">
        <v>5056585802367</v>
      </c>
      <c r="B370" s="12" t="n">
        <v>5056585802367</v>
      </c>
      <c r="C370" s="13" t="n"/>
      <c r="D370" s="14" t="n"/>
      <c r="E370" s="14" t="inlineStr">
        <is>
          <t>AMP-5056585802367</t>
        </is>
      </c>
      <c r="F370" s="12" t="n">
        <v>4803017</v>
      </c>
      <c r="G370" s="14" t="inlineStr">
        <is>
          <t>Amperel</t>
        </is>
      </c>
      <c r="H370" s="14" t="inlineStr">
        <is>
          <t>Scholl</t>
        </is>
      </c>
      <c r="I370" s="14" t="inlineStr">
        <is>
          <t>Scholl GelActiv Einlegesohlen Sportschuhe, Einlegesohlen mit dämpfender GelWave-Technologie, ganztägiger Komfort für aktive und bewegende Menschen, Größe 40-46,5</t>
        </is>
      </c>
      <c r="J370" s="14" t="inlineStr">
        <is>
          <t>No</t>
        </is>
      </c>
      <c r="K370" s="14" t="inlineStr">
        <is>
          <t>https://www.amazon.de/Scholl-Sportschuhe-Einlegesohlen-D%C3%A4mpfungstechnologie-ganzt%C3%A4giger/dp/B0CT3RJQPM/ref=sr_1_1?__mk_de_DE=%C3%85M%C3%85%C5%BD%C3%95%C3%91&amp;crid=2SL67ZELKVCJV&amp;dib=eyJ2IjoiMSJ9.yJLXS8ddBAeCCqhrlge8NA.CWCfGf4QgaWJPOc4XBFPa1JdBB7pPtOhudQ3Qhreusc&amp;dib_tag=se&amp;keywords=5056585802367&amp;qid=1750283840&amp;sprefix=5056585802367%2Caps%2C142&amp;sr=8-1</t>
        </is>
      </c>
      <c r="L370" s="14" t="inlineStr">
        <is>
          <t>B0CT3RJQPM</t>
        </is>
      </c>
      <c r="M370" s="15" t="n">
        <v>23.27</v>
      </c>
      <c r="N370" s="15" t="n"/>
      <c r="O370" s="15" t="n">
        <v>21.5</v>
      </c>
      <c r="P370" s="15">
        <f>O370/1.19</f>
        <v/>
      </c>
      <c r="Q370" s="15">
        <f>O370-P370</f>
        <v/>
      </c>
      <c r="R370" s="15">
        <f>O370*0.15</f>
        <v/>
      </c>
      <c r="S370" s="15" t="n">
        <v>9.84</v>
      </c>
      <c r="T370" s="15">
        <f>S370*0.2</f>
        <v/>
      </c>
      <c r="U370" s="15" t="n">
        <v>0.400000000000002</v>
      </c>
      <c r="V370" s="15" t="n">
        <v>3.96</v>
      </c>
      <c r="W370" s="15">
        <f>V370*0.2</f>
        <v/>
      </c>
      <c r="X370" s="21">
        <f>O370-Q370-R370-S370-U370-V370+T370+W370</f>
        <v/>
      </c>
      <c r="Y370" s="14" t="n"/>
      <c r="Z370" s="15">
        <f>O370+1.5</f>
        <v/>
      </c>
      <c r="AA370" s="15" t="n"/>
      <c r="AB370" s="15" t="n"/>
      <c r="AC370" s="14" t="n"/>
      <c r="AD370" s="14" t="n"/>
      <c r="AE370" s="13" t="inlineStr">
        <is>
          <t>NOT_UPLOADED</t>
        </is>
      </c>
    </row>
    <row r="371" ht="16" customHeight="1">
      <c r="A371" s="17" t="n">
        <v>5056585802336</v>
      </c>
      <c r="B371" s="17" t="n">
        <v>5056585802367</v>
      </c>
      <c r="C371" s="13" t="n"/>
      <c r="D371" s="18" t="n"/>
      <c r="E371" s="18" t="inlineStr">
        <is>
          <t>AMP-5056585802336</t>
        </is>
      </c>
      <c r="F371" s="17" t="n">
        <v>4803017</v>
      </c>
      <c r="G371" s="18" t="inlineStr">
        <is>
          <t>Amperel</t>
        </is>
      </c>
      <c r="H371" s="18" t="inlineStr">
        <is>
          <t>Scholl</t>
        </is>
      </c>
      <c r="I371" s="18" t="inlineStr">
        <is>
          <t>Scholl GelActiv Sport Einlegesohlen für Herren – ganztägiger Komfort für Sportschuhe – Super Stoßdämpfung mit GelWave-Technologie – Größe 40 bis 46,5</t>
        </is>
      </c>
      <c r="J371" s="18" t="inlineStr">
        <is>
          <t>No</t>
        </is>
      </c>
      <c r="K371" s="18" t="inlineStr">
        <is>
          <t>https://www.amazon.de/Scholl-GelActiv-Sport-Einlegesohlen-Herren/dp/B0CV4HDYJR/ref=sr_1_1?__mk_de_DE=%C3%85M%C3%85%C5%BD%C3%95%C3%91&amp;crid=AKJGHIP6KIA0&amp;dib=eyJ2IjoiMSJ9.AhhRLHnJAVBjcIz9r47qJQ.VrMcnDbJKXXOTh6z1AKGxeUw9qdTBtGkmVj3UiV4ak4&amp;dib_tag=se&amp;keywords=B0CV4HDYJR&amp;qid=1754075866&amp;sprefix=b0cv4hdyjr%2Caps%2C126&amp;sr=8-1</t>
        </is>
      </c>
      <c r="L371" s="18" t="inlineStr">
        <is>
          <t>B0CV4HDYJR</t>
        </is>
      </c>
      <c r="M371" s="19" t="n"/>
      <c r="N371" s="19" t="n"/>
      <c r="O371" s="19" t="n">
        <v>21.5</v>
      </c>
      <c r="P371" s="19">
        <f>O371/1.19</f>
        <v/>
      </c>
      <c r="Q371" s="19">
        <f>O371-P371</f>
        <v/>
      </c>
      <c r="R371" s="19">
        <f>O371*0.15</f>
        <v/>
      </c>
      <c r="S371" s="19" t="n">
        <v>9.84</v>
      </c>
      <c r="T371" s="19">
        <f>S371*0.2</f>
        <v/>
      </c>
      <c r="U371" s="19" t="n">
        <v>0.400000000000002</v>
      </c>
      <c r="V371" s="19" t="n">
        <v>4.04</v>
      </c>
      <c r="W371" s="19">
        <f>V371*0.2</f>
        <v/>
      </c>
      <c r="X371" s="21">
        <f>O371-Q371-R371-S371-U371-V371+T371+W371</f>
        <v/>
      </c>
      <c r="Y371" s="18" t="n"/>
      <c r="Z371" s="19">
        <f>O371+1.5</f>
        <v/>
      </c>
      <c r="AA371" s="19" t="n"/>
      <c r="AB371" s="19" t="n"/>
      <c r="AC371" s="18" t="n"/>
      <c r="AD371" s="18" t="n"/>
      <c r="AE371" s="13" t="inlineStr">
        <is>
          <t>NOT_UPLOADED</t>
        </is>
      </c>
    </row>
    <row r="372" ht="16" customHeight="1">
      <c r="A372" s="12" t="n">
        <v>5056585802329</v>
      </c>
      <c r="B372" s="12" t="n">
        <v>5056585802367</v>
      </c>
      <c r="C372" s="20" t="inlineStr">
        <is>
          <t xml:space="preserve">UK </t>
        </is>
      </c>
      <c r="D372" s="14" t="n"/>
      <c r="E372" s="14" t="inlineStr">
        <is>
          <t>AMP-5056585802329</t>
        </is>
      </c>
      <c r="F372" s="12" t="n">
        <v>4803017</v>
      </c>
      <c r="G372" s="14" t="inlineStr">
        <is>
          <t>Amperel</t>
        </is>
      </c>
      <c r="H372" s="14" t="inlineStr">
        <is>
          <t>Scholl</t>
        </is>
      </c>
      <c r="I372" s="14" t="inlineStr">
        <is>
          <t>Scholl GelActiv Trainer Insoles for Men, All Day Comfort Running Shoe Insoles, Super Shock Absorption and Springiness with GelWave Technology, UK Size 7-12</t>
        </is>
      </c>
      <c r="J372" s="14" t="inlineStr">
        <is>
          <t>No</t>
        </is>
      </c>
      <c r="K372" s="14" t="inlineStr">
        <is>
          <t>https://www.amazon.co.uk/dp/B0CXPV1TWY?th=1</t>
        </is>
      </c>
      <c r="L372" s="14" t="inlineStr">
        <is>
          <t>B0CXPV1TWY</t>
        </is>
      </c>
      <c r="M372" s="15" t="n"/>
      <c r="N372" s="15" t="n"/>
      <c r="O372" s="15" t="n">
        <v>22.32</v>
      </c>
      <c r="P372" s="15">
        <f>O372/1.19</f>
        <v/>
      </c>
      <c r="Q372" s="15">
        <f>O372-P372</f>
        <v/>
      </c>
      <c r="R372" s="15">
        <f>O372*0.15</f>
        <v/>
      </c>
      <c r="S372" s="15" t="n">
        <v>9.84</v>
      </c>
      <c r="T372" s="15">
        <f>S372*0.2</f>
        <v/>
      </c>
      <c r="U372" s="15" t="n">
        <v>0.400000000000002</v>
      </c>
      <c r="V372" s="15" t="n">
        <v>4.04</v>
      </c>
      <c r="W372" s="15">
        <f>V372*0.2</f>
        <v/>
      </c>
      <c r="X372" s="21">
        <f>O372-Q372-R372-S372-U372-V372+T372+W372</f>
        <v/>
      </c>
      <c r="Y372" s="14" t="n"/>
      <c r="Z372" s="15">
        <f>O372+1.5</f>
        <v/>
      </c>
      <c r="AA372" s="15" t="n"/>
      <c r="AB372" s="15" t="n"/>
      <c r="AC372" s="14" t="n"/>
      <c r="AD372" s="14" t="n"/>
      <c r="AE372" s="13" t="inlineStr">
        <is>
          <t>NOT_UPLOADED</t>
        </is>
      </c>
    </row>
    <row r="373" ht="16" customHeight="1">
      <c r="A373" s="17" t="n">
        <v>4002448116882</v>
      </c>
      <c r="B373" s="17" t="n">
        <v>5056585802442</v>
      </c>
      <c r="C373" s="13" t="n"/>
      <c r="D373" s="18" t="n"/>
      <c r="E373" s="18" t="inlineStr">
        <is>
          <t>AMP- 4002448116882</t>
        </is>
      </c>
      <c r="F373" s="17" t="n">
        <v>4803018</v>
      </c>
      <c r="G373" s="18" t="inlineStr">
        <is>
          <t>Amperel</t>
        </is>
      </c>
      <c r="H373" s="18" t="inlineStr">
        <is>
          <t>Scholl</t>
        </is>
      </c>
      <c r="I373" s="18" t="inlineStr">
        <is>
          <t>Scholl GelActiv Einlegesohlen für Freizeitschuhe und Sneaker, Einlegesohlen aus Memory-Schaum mit GelWave Dämpfungstechnologie, Komfort für Menschen, die immer unterwegs sind, Größe S</t>
        </is>
      </c>
      <c r="J373" s="18" t="inlineStr">
        <is>
          <t>No</t>
        </is>
      </c>
      <c r="K373" s="18" t="inlineStr">
        <is>
          <t>https://www.amazon.de/Scholl-Einlegesohlen-Freizeitschuhe-Memory-Schaum-D%C3%A4mpfungstechnologie/dp/B0CT3RZR1C/ref=sr_1_1?__mk_de_DE=%C3%85M%C3%85%C5%BD%C3%95%C3%91&amp;crid=3Q7XGTPC45XU8&amp;dib=eyJ2IjoiMSJ9.mu57wQKtLCriph3iUmYGew.OJat7izXDtzwseXhDbogpF2gx3sAgWyUcgwI8HDgDJ4&amp;dib_tag=se&amp;keywords=5056585802442&amp;qid=1750284128&amp;sprefix=5056585802442%2Caps%2C176&amp;sr=8-1</t>
        </is>
      </c>
      <c r="L373" s="18" t="inlineStr">
        <is>
          <t>B0CT3RZR1C</t>
        </is>
      </c>
      <c r="M373" s="19" t="n"/>
      <c r="N373" s="19" t="n"/>
      <c r="O373" s="19" t="n">
        <v>21.5</v>
      </c>
      <c r="P373" s="19">
        <f>O373/1.19</f>
        <v/>
      </c>
      <c r="Q373" s="19">
        <f>O373-P373</f>
        <v/>
      </c>
      <c r="R373" s="19">
        <f>O373*0.15</f>
        <v/>
      </c>
      <c r="S373" s="19" t="n">
        <v>9.84</v>
      </c>
      <c r="T373" s="19">
        <f>S373*0.2</f>
        <v/>
      </c>
      <c r="U373" s="19" t="n">
        <v>0.400000000000002</v>
      </c>
      <c r="V373" s="19" t="n">
        <v>3.69</v>
      </c>
      <c r="W373" s="19">
        <f>V373*0.2</f>
        <v/>
      </c>
      <c r="X373" s="21">
        <f>O373-Q373-R373-S373-U373-V373+T373+W373</f>
        <v/>
      </c>
      <c r="Y373" s="18" t="n"/>
      <c r="Z373" s="19">
        <f>O373+1.5</f>
        <v/>
      </c>
      <c r="AA373" s="19" t="n"/>
      <c r="AB373" s="19" t="n"/>
      <c r="AC373" s="18" t="n"/>
      <c r="AD373" s="18" t="n"/>
      <c r="AE373" s="13" t="inlineStr">
        <is>
          <t>NOT_UPLOADED</t>
        </is>
      </c>
    </row>
    <row r="374" ht="16" customHeight="1">
      <c r="A374" s="12" t="n">
        <v>4002448116882</v>
      </c>
      <c r="B374" s="12" t="n">
        <v>5056585802442</v>
      </c>
      <c r="C374" s="13" t="n"/>
      <c r="D374" s="14" t="n"/>
      <c r="E374" s="14" t="inlineStr">
        <is>
          <t>AMP- 4002448116882</t>
        </is>
      </c>
      <c r="F374" s="12" t="n">
        <v>4803018</v>
      </c>
      <c r="G374" s="14" t="inlineStr">
        <is>
          <t>Amperel</t>
        </is>
      </c>
      <c r="H374" s="14" t="inlineStr">
        <is>
          <t>Scholl</t>
        </is>
      </c>
      <c r="I374" s="14" t="inlineStr">
        <is>
          <t>Scholl GelActiv Einlegesohlen Everyday für Freizeitschuhe von 35,5-40,5 – Verbesserter Komfort durch doppelte Polsterung – 1 Paar Gelsohlen</t>
        </is>
      </c>
      <c r="J374" s="14" t="inlineStr">
        <is>
          <t>No</t>
        </is>
      </c>
      <c r="K374" s="14" t="inlineStr">
        <is>
          <t>https://www.amazon.de/Scholl-GelActiv-Einlegesohlen-Everyday-Gr%C3%B6%C3%9Fe/dp/B07FCDCJST/ref=sr_1_1?__mk_de_DE=%C3%85M%C3%85%C5%BD%C3%95%C3%91&amp;crid=3GDGOKML62RA8&amp;dib=eyJ2IjoiMSJ9.xcvhVbPk4W3KaUQPEtB-gg.TDbvp3pEsBdjKxdbcECCocLN2k0IDvjn3nbz9jCVF9Q&amp;dib_tag=se&amp;keywords=B07FCDCJST&amp;qid=1752958672&amp;sprefix=b07fcdcjst%2Caps%2C146&amp;sr=8-1&amp;th=1</t>
        </is>
      </c>
      <c r="L374" s="14" t="inlineStr">
        <is>
          <t>B07FCDCJST</t>
        </is>
      </c>
      <c r="M374" s="15" t="n"/>
      <c r="N374" s="15" t="n"/>
      <c r="O374" s="15" t="n">
        <v>19.2</v>
      </c>
      <c r="P374" s="15">
        <f>O374/1.19</f>
        <v/>
      </c>
      <c r="Q374" s="15">
        <f>O374-P374</f>
        <v/>
      </c>
      <c r="R374" s="15">
        <f>O374*0.15</f>
        <v/>
      </c>
      <c r="S374" s="15" t="n">
        <v>9.84</v>
      </c>
      <c r="T374" s="15">
        <f>S374*0.2</f>
        <v/>
      </c>
      <c r="U374" s="15" t="n">
        <v>0.400000000000002</v>
      </c>
      <c r="V374" s="15" t="n">
        <v>3.39</v>
      </c>
      <c r="W374" s="15">
        <f>V374*0.2</f>
        <v/>
      </c>
      <c r="X374" s="21">
        <f>O374-Q374-R374-S374-U374-V374+T374+W374</f>
        <v/>
      </c>
      <c r="Y374" s="14" t="n"/>
      <c r="Z374" s="15">
        <f>O374+1.5</f>
        <v/>
      </c>
      <c r="AA374" s="15" t="n"/>
      <c r="AB374" s="15" t="n"/>
      <c r="AC374" s="14" t="n"/>
      <c r="AD374" s="14" t="n"/>
      <c r="AE374" s="13" t="inlineStr">
        <is>
          <t>NOT_UPLOADED</t>
        </is>
      </c>
    </row>
    <row r="375" ht="16" customHeight="1">
      <c r="A375" s="17" t="n">
        <v>5056585802428</v>
      </c>
      <c r="B375" s="17" t="n">
        <v>5056585802442</v>
      </c>
      <c r="C375" s="13" t="n"/>
      <c r="D375" s="18" t="n"/>
      <c r="E375" s="18" t="inlineStr">
        <is>
          <t>AMP-5056585802428</t>
        </is>
      </c>
      <c r="F375" s="17" t="n">
        <v>4803018</v>
      </c>
      <c r="G375" s="18" t="inlineStr">
        <is>
          <t>Amperel</t>
        </is>
      </c>
      <c r="H375" s="18" t="inlineStr">
        <is>
          <t>Scholl</t>
        </is>
      </c>
      <c r="I375" s="18" t="inlineStr">
        <is>
          <t>Scholl GelActiv Everyday Einlegesohlen für Frauen, Den ganzen Tag komfortable Füße, Memory Foam-Dämpfung und GelWave-Technologie passen sich den Füßen an und bietet höchsten Komfort, Größe 35.5-40.5</t>
        </is>
      </c>
      <c r="J375" s="18" t="inlineStr">
        <is>
          <t>No</t>
        </is>
      </c>
      <c r="K375" s="18" t="inlineStr">
        <is>
          <t>https://www.amazon.de/Scholl-Einlegesohlen-komfortable-Foam-D%C3%A4mpfung-GelWave-Technologie/dp/B0CVHD3RKQ/ref=sr_1_1?__mk_de_DE=%C3%85M%C3%85%C5%BD%C3%95%C3%91&amp;crid=1X97V0DBUQZGD&amp;dib=eyJ2IjoiMSJ9.MQubQl754o0xbdQROlBeKA.XtmM2u7WycGboMwjP-SBYTf8JVX1VhijFvqCj-h6Amw&amp;dib_tag=se&amp;keywords=B0CVHD3RKQ&amp;qid=1754074752&amp;s=drugstore&amp;sprefix=b0cvhd3rkq%2Cdrugstore%2C121&amp;sr=1-1&amp;th=1</t>
        </is>
      </c>
      <c r="L375" s="18" t="inlineStr">
        <is>
          <t>B0CVHD3RKQ</t>
        </is>
      </c>
      <c r="M375" s="19" t="n"/>
      <c r="N375" s="19" t="n"/>
      <c r="O375" s="19" t="n">
        <v>19</v>
      </c>
      <c r="P375" s="19">
        <f>O375/1.19</f>
        <v/>
      </c>
      <c r="Q375" s="19">
        <f>O375-P375</f>
        <v/>
      </c>
      <c r="R375" s="19">
        <f>O375*0.15</f>
        <v/>
      </c>
      <c r="S375" s="19" t="n">
        <v>9.84</v>
      </c>
      <c r="T375" s="19">
        <f>S375*0.2</f>
        <v/>
      </c>
      <c r="U375" s="19" t="n">
        <v>0.400000000000002</v>
      </c>
      <c r="V375" s="19" t="n">
        <v>3.39</v>
      </c>
      <c r="W375" s="19">
        <f>V375*0.2</f>
        <v/>
      </c>
      <c r="X375" s="21">
        <f>O375-Q375-R375-S375-U375-V375+T375+W375</f>
        <v/>
      </c>
      <c r="Y375" s="18" t="n"/>
      <c r="Z375" s="19">
        <f>O375+1.5</f>
        <v/>
      </c>
      <c r="AA375" s="19" t="n"/>
      <c r="AB375" s="19" t="n"/>
      <c r="AC375" s="18" t="n"/>
      <c r="AD375" s="18" t="n"/>
      <c r="AE375" s="13" t="inlineStr">
        <is>
          <t>NOT_UPLOADED</t>
        </is>
      </c>
    </row>
    <row r="376" ht="16" customHeight="1">
      <c r="A376" s="12" t="n">
        <v>5056585802404</v>
      </c>
      <c r="B376" s="12" t="n">
        <v>5056585802442</v>
      </c>
      <c r="C376" s="13" t="n"/>
      <c r="D376" s="14" t="n"/>
      <c r="E376" s="14" t="inlineStr">
        <is>
          <t>AMP-5056585802404</t>
        </is>
      </c>
      <c r="F376" s="12" t="n">
        <v>4803018</v>
      </c>
      <c r="G376" s="14" t="inlineStr">
        <is>
          <t>Amperel</t>
        </is>
      </c>
      <c r="H376" s="14" t="inlineStr">
        <is>
          <t>Scholl</t>
        </is>
      </c>
      <c r="I376" s="14" t="inlineStr">
        <is>
          <t>choll GelActiv Casual Insoles for Women, All Day Comfortable Feet, Memory Foam Cushioning and GelWave Technology, UK Size 3.5-7.5</t>
        </is>
      </c>
      <c r="J376" s="14" t="inlineStr">
        <is>
          <t>No</t>
        </is>
      </c>
      <c r="K376" s="14" t="inlineStr">
        <is>
          <t>https://www.amazon.co.uk/Scholl-GelActiv-Comfortable-Cushioning-Technology/dp/B0CXPV2MZ3/ref=sr_1_1?crid=1ZWFJWAV8J8LC&amp;dib=eyJ2IjoiMSJ9.cw15wyM2z3DlpkLjaiwdoQ.8e1DOkYw8LcIbV3yjP8jXoSaJiswmH0jMSnq0GrAtz8&amp;dib_tag=se&amp;keywords=B0CXPV3YS2&amp;qid=1772443157&amp;s=drugstore&amp;sprefix=b0cxpv3ys2%2Cdrugstore%2C325&amp;sr=1-1&amp;th=1</t>
        </is>
      </c>
      <c r="L376" s="14" t="inlineStr">
        <is>
          <t>B0CXPV2MZ3</t>
        </is>
      </c>
      <c r="M376" s="15" t="n"/>
      <c r="N376" s="15" t="n"/>
      <c r="O376" s="15" t="n"/>
      <c r="P376" s="15" t="n"/>
      <c r="Q376" s="15" t="n"/>
      <c r="R376" s="15" t="n"/>
      <c r="S376" s="15" t="n">
        <v>9.84</v>
      </c>
      <c r="T376" s="15">
        <f>S376*0.2</f>
        <v/>
      </c>
      <c r="U376" s="15" t="n">
        <v>0.400000000000002</v>
      </c>
      <c r="V376" s="15" t="n">
        <v>3.39</v>
      </c>
      <c r="W376" s="15">
        <f>V376*0.2</f>
        <v/>
      </c>
      <c r="X376" s="22" t="n"/>
      <c r="Y376" s="14" t="n"/>
      <c r="Z376" s="15" t="n"/>
      <c r="AA376" s="15" t="n"/>
      <c r="AB376" s="15" t="n"/>
      <c r="AC376" s="14" t="n"/>
      <c r="AD376" s="14" t="n"/>
      <c r="AE376" s="13" t="inlineStr">
        <is>
          <t>NOT_UPLOADED</t>
        </is>
      </c>
    </row>
    <row r="377" ht="16" customHeight="1">
      <c r="A377" s="17" t="n">
        <v>4002448126713</v>
      </c>
      <c r="B377" s="17" t="n">
        <v>5056585802527</v>
      </c>
      <c r="C377" s="13" t="n"/>
      <c r="D377" s="18" t="n"/>
      <c r="E377" s="18" t="inlineStr">
        <is>
          <t>AMP-4002448126713</t>
        </is>
      </c>
      <c r="F377" s="17" t="n">
        <v>4803019</v>
      </c>
      <c r="G377" s="18" t="inlineStr">
        <is>
          <t>Amperel</t>
        </is>
      </c>
      <c r="H377" s="18" t="inlineStr">
        <is>
          <t>Scholl</t>
        </is>
      </c>
      <c r="I377" s="18" t="inlineStr">
        <is>
          <t>Scholl GelActiv Einlegesohlen, Freizeitschuhe und Sneakers, Einlegesohlen aus Memory-Schaum mit dämpfender GelWave-Technologie, Komfort für Menschen, die immer in Bewegung sind, bequeme Füße den</t>
        </is>
      </c>
      <c r="J377" s="18" t="inlineStr">
        <is>
          <t>No</t>
        </is>
      </c>
      <c r="K377" s="18" t="inlineStr">
        <is>
          <t>https://www.amazon.de/Scholl-GelActiv-Einlegesohlen-Everyday-Gr%C3%B6%C3%9Fe/dp/B07FCGXQK3/ref=sr_1_1?__mk_de_DE=%C3%85M%C3%85%C5%BD%C3%95%C3%91&amp;crid=3G8GDWTFHSW3U&amp;dib=eyJ2IjoiMSJ9.WfxIEqbeDPeOCMu7Sz32CA.fjbIwgYkbNVCCCAghF3vvXe9SNxK-BdW3iruArqMYwc&amp;dib_tag=se&amp;keywords=B07FCGXQK3&amp;qid=1752957971&amp;s=drugstore&amp;sprefix=b07fcgxqk3%2Cdrugstore%2C156&amp;sr=1-1&amp;th=1</t>
        </is>
      </c>
      <c r="L377" s="18" t="inlineStr">
        <is>
          <t>B07FCGXQK3</t>
        </is>
      </c>
      <c r="M377" s="19" t="n">
        <v>23.13</v>
      </c>
      <c r="N377" s="19" t="n"/>
      <c r="O377" s="19" t="n">
        <v>21.9</v>
      </c>
      <c r="P377" s="19">
        <f>O377/1.19</f>
        <v/>
      </c>
      <c r="Q377" s="19">
        <f>O377-P377</f>
        <v/>
      </c>
      <c r="R377" s="19">
        <f>O377*0.15</f>
        <v/>
      </c>
      <c r="S377" s="19" t="n">
        <v>9.84</v>
      </c>
      <c r="T377" s="19">
        <f>S377*0.2</f>
        <v/>
      </c>
      <c r="U377" s="19" t="n">
        <v>0.400000000000002</v>
      </c>
      <c r="V377" s="19" t="n">
        <v>3.88</v>
      </c>
      <c r="W377" s="19">
        <f>V377*0.2</f>
        <v/>
      </c>
      <c r="X377" s="21">
        <f>O377-Q377-R377-S377-U377-V377+T377+W377</f>
        <v/>
      </c>
      <c r="Y377" s="18" t="n"/>
      <c r="Z377" s="19">
        <f>O377+1.5</f>
        <v/>
      </c>
      <c r="AA377" s="19" t="n"/>
      <c r="AB377" s="19" t="n"/>
      <c r="AC377" s="18" t="n"/>
      <c r="AD377" s="18" t="n"/>
      <c r="AE377" s="13" t="inlineStr">
        <is>
          <t>NOT_UPLOADED</t>
        </is>
      </c>
    </row>
    <row r="378" ht="16" customHeight="1">
      <c r="A378" s="12" t="n">
        <v>5056585802503</v>
      </c>
      <c r="B378" s="12" t="n">
        <v>5056585802527</v>
      </c>
      <c r="C378" s="13" t="n"/>
      <c r="D378" s="14" t="n"/>
      <c r="E378" s="14" t="inlineStr">
        <is>
          <t>AMP-5056585802527</t>
        </is>
      </c>
      <c r="F378" s="12" t="n">
        <v>4803019</v>
      </c>
      <c r="G378" s="14" t="inlineStr">
        <is>
          <t>Amperel</t>
        </is>
      </c>
      <c r="H378" s="14" t="inlineStr">
        <is>
          <t>Scholl</t>
        </is>
      </c>
      <c r="I378" s="14" t="inlineStr">
        <is>
          <t>Scholl GelActiv Everyday Einlegesohlen für Männer, Den ganzen Tag komfortable Füße, Memory Foam-Dämpfung und GelWave-Technologie passen sich den Füßen an und bietet höchsten Komfort, Größe 40-46.5</t>
        </is>
      </c>
      <c r="J378" s="14" t="inlineStr">
        <is>
          <t>No</t>
        </is>
      </c>
      <c r="K378" s="14" t="inlineStr">
        <is>
          <t>https://www.amazon.de/Scholl-Einlegesohlen-komfortable-Foam-D%C3%A4mpfung-GelWave-Technologie/dp/B0CVHBTWQM/ref=sr_1_1?crid=3CMT3OIL8Z16R&amp;dib=eyJ2IjoiMSJ9.tZiMhnrTCk_umZWweXtkf6pmXYBgIVgljqaQgzOcSQtupVwMtbugkGEj5sFCvu9Eax32YM-HsDcaMCPAztfgHIrYUD0kj6MRTyndbyIn46Q6Zys0XSz195CDrTRMqh33jlQfE9q0X8-YMXtxNit8NheXkZLCGswXth4LUMjIlVkan_KeDMKc5trhCYEl8QgwIB9dtlWnURKZcm1pd9J_NqXRXTUvRme6Z-ChaV1VSYT2GNuWPhxPofHCkB_qUcSg5WGsRTICnFml49r4aWqzNBXe2j6kkz6y0Xb-HxYlgSM.T7NghXolzuzndQVvU50_R6aoY5ViDIgqfxdgk2mAxfI&amp;dib_tag=se&amp;keywords=scholl%2Bgel%2Bactive%2Beveryday&amp;qid=1753523673&amp;sprefix=scholl%2Bgel%2Bactive%2Bev%2Caps%2C78&amp;sr=8-1&amp;th=1</t>
        </is>
      </c>
      <c r="L378" s="14" t="inlineStr">
        <is>
          <t>B0CVHBTWQM</t>
        </is>
      </c>
      <c r="M378" s="15" t="n">
        <v>23.13</v>
      </c>
      <c r="N378" s="15" t="n"/>
      <c r="O378" s="15" t="n">
        <v>20.5</v>
      </c>
      <c r="P378" s="15">
        <f>O378/1.19</f>
        <v/>
      </c>
      <c r="Q378" s="15">
        <f>O378-P378</f>
        <v/>
      </c>
      <c r="R378" s="15">
        <f>O378*0.15</f>
        <v/>
      </c>
      <c r="S378" s="15" t="n">
        <v>9.84</v>
      </c>
      <c r="T378" s="15">
        <f>S378*0.2</f>
        <v/>
      </c>
      <c r="U378" s="15" t="n">
        <v>0.400000000000002</v>
      </c>
      <c r="V378" s="15" t="n">
        <v>3.88</v>
      </c>
      <c r="W378" s="15">
        <f>V378*0.2</f>
        <v/>
      </c>
      <c r="X378" s="21">
        <f>O378-Q378-R378-S378-U378-V378+T378+W378</f>
        <v/>
      </c>
      <c r="Y378" s="14" t="n"/>
      <c r="Z378" s="15">
        <f>O378+1.5</f>
        <v/>
      </c>
      <c r="AA378" s="15" t="n"/>
      <c r="AB378" s="15" t="n"/>
      <c r="AC378" s="14" t="n"/>
      <c r="AD378" s="14" t="n"/>
      <c r="AE378" s="13" t="inlineStr">
        <is>
          <t>NOT_UPLOADED</t>
        </is>
      </c>
    </row>
    <row r="379" ht="16" customHeight="1">
      <c r="A379" s="17" t="n">
        <v>5056585802480</v>
      </c>
      <c r="B379" s="17" t="n">
        <v>5056585802527</v>
      </c>
      <c r="C379" s="20" t="inlineStr">
        <is>
          <t xml:space="preserve">UK </t>
        </is>
      </c>
      <c r="D379" s="18" t="n"/>
      <c r="E379" s="18" t="inlineStr">
        <is>
          <t>AMP-5056585802480</t>
        </is>
      </c>
      <c r="F379" s="17" t="n">
        <v>4803019</v>
      </c>
      <c r="G379" s="18" t="inlineStr">
        <is>
          <t>Amperel</t>
        </is>
      </c>
      <c r="H379" s="18" t="inlineStr">
        <is>
          <t>Scholl</t>
        </is>
      </c>
      <c r="I379" s="18" t="inlineStr">
        <is>
          <t>Scholl GelActiv Casual Insoles for Men, All Day Comfortable Feet, Memory Foam Cushioning and GelWave Technology, UK Size 7-12</t>
        </is>
      </c>
      <c r="J379" s="18" t="inlineStr">
        <is>
          <t>No</t>
        </is>
      </c>
      <c r="K379" s="18" t="inlineStr">
        <is>
          <t>https://www.amazon.co.uk/Scholl-GelActiv-Comfortable-Cushioning-Technology/dp/B0CXPV3YS2/ref=sxin_21_pa_sp_search_thematic_sspa?content-id=amzn1.sym.688bc696-0417-471d-a84a-8bde5ea78cf5%3Aamzn1.sym.688bc696-0417-471d-a84a-8bde5ea78cf5&amp;crid=24UV9Y37ND1A8&amp;cv_ct_cx=SCHOLL&amp;keywords=SCHOLL&amp;pd_rd_i=B0CXPV3YS2&amp;pd_rd_r=78472783-5dbc-49af-bef3-05aa05377edc&amp;pd_rd_w=1TWmd&amp;pd_rd_wg=psgg9&amp;pf_rd_p=688bc696-0417-471d-a84a-8bde5ea78cf5&amp;pf_rd_r=X4Z3YHRV3D2JBBECTSTT&amp;qid=1772306468&amp;sbo=RZvfv%2F%2FHxDF%2BO5021pAnSA%3D%3D&amp;sprefix=sc%2Caps%2C750&amp;sr=1-4-983ac604-ad7e-48dd-9724-cef95b312f95-spons&amp;aref=MTdZRihlS7&amp;sp_csd=d2lkZ2V0TmFtZT1zcF9zZWFyY2hfdGhlbWF0aWM&amp;th=1</t>
        </is>
      </c>
      <c r="L379" s="18" t="inlineStr">
        <is>
          <t>B0CXPV3YS2</t>
        </is>
      </c>
      <c r="M379" s="19" t="n"/>
      <c r="N379" s="19" t="n"/>
      <c r="O379" s="19" t="n">
        <v>21.07</v>
      </c>
      <c r="P379" s="19">
        <f>O379/1.19</f>
        <v/>
      </c>
      <c r="Q379" s="19">
        <f>O379-P379</f>
        <v/>
      </c>
      <c r="R379" s="19">
        <f>O379*0.15</f>
        <v/>
      </c>
      <c r="S379" s="19" t="n">
        <v>9.84</v>
      </c>
      <c r="T379" s="19">
        <f>S379*0.2</f>
        <v/>
      </c>
      <c r="U379" s="19" t="n">
        <v>0.400000000000002</v>
      </c>
      <c r="V379" s="19" t="n">
        <v>3.88</v>
      </c>
      <c r="W379" s="19">
        <f>V379*0.2</f>
        <v/>
      </c>
      <c r="X379" s="21">
        <f>O379-Q379-R379-S379-U379-V379+T379+W379</f>
        <v/>
      </c>
      <c r="Y379" s="18" t="n"/>
      <c r="Z379" s="19">
        <f>O379+1.5</f>
        <v/>
      </c>
      <c r="AA379" s="19" t="n"/>
      <c r="AB379" s="19" t="n"/>
      <c r="AC379" s="18" t="n"/>
      <c r="AD379" s="18" t="n"/>
      <c r="AE379" s="13" t="inlineStr">
        <is>
          <t>NOT_UPLOADED</t>
        </is>
      </c>
    </row>
    <row r="380" ht="16" customHeight="1">
      <c r="A380" s="12" t="n">
        <v>5052197038002</v>
      </c>
      <c r="B380" s="12" t="n">
        <v>5056585802527</v>
      </c>
      <c r="C380" s="20" t="inlineStr">
        <is>
          <t xml:space="preserve">UK </t>
        </is>
      </c>
      <c r="D380" s="14" t="n"/>
      <c r="E380" s="14" t="inlineStr">
        <is>
          <t>AMP-5052197038002</t>
        </is>
      </c>
      <c r="F380" s="12" t="n">
        <v>4803019</v>
      </c>
      <c r="G380" s="14" t="inlineStr">
        <is>
          <t>Amperel</t>
        </is>
      </c>
      <c r="H380" s="14" t="inlineStr">
        <is>
          <t>Scholl</t>
        </is>
      </c>
      <c r="I380" s="14" t="inlineStr">
        <is>
          <t>Scholl GelActiv Every Day Insoles for Men - Anti Foot Fatigue Comfort Insoles - Insoles for Walking/Hiking - Trim to Fit Your Walking Boot/Shoes - UK Size 7-12, 1 Pair</t>
        </is>
      </c>
      <c r="J380" s="14" t="inlineStr">
        <is>
          <t>No</t>
        </is>
      </c>
      <c r="K380" s="14" t="inlineStr">
        <is>
          <t>https://www.amazon.co.uk/Scholl-Mens-Activ-Everyday-Insoles/dp/B00R6AEAT4/ref=sr_1_1?crid=12VLT5SDVPV5R&amp;dib=eyJ2IjoiMSJ9.Qh0nQ0HWeblo9wYCZtIMXA.leJ1hQ11xGlnTMLtf5zvhn9vxbI9SoVH-YI09DsgRa0&amp;dib_tag=se&amp;keywords=B00R6AEAT4&amp;qid=1772444108&amp;s=drugstore&amp;sprefix=b00r6aeat4%2Cdrugstore%2C350&amp;sr=1-1</t>
        </is>
      </c>
      <c r="L380" s="14" t="inlineStr">
        <is>
          <t>B00R6AEAT4</t>
        </is>
      </c>
      <c r="M380" s="15" t="n"/>
      <c r="N380" s="15" t="n"/>
      <c r="O380" s="15" t="n">
        <v>21.07</v>
      </c>
      <c r="P380" s="15">
        <f>O380/1.19</f>
        <v/>
      </c>
      <c r="Q380" s="15">
        <f>O380-P380</f>
        <v/>
      </c>
      <c r="R380" s="15">
        <f>O380*0.15</f>
        <v/>
      </c>
      <c r="S380" s="15" t="n">
        <v>9.84</v>
      </c>
      <c r="T380" s="15">
        <f>S380*0.2</f>
        <v/>
      </c>
      <c r="U380" s="15" t="n">
        <v>0.400000000000002</v>
      </c>
      <c r="V380" s="15" t="n">
        <v>3.88</v>
      </c>
      <c r="W380" s="15">
        <f>V380*0.2</f>
        <v/>
      </c>
      <c r="X380" s="21">
        <f>O380-Q380-R380-S380-U380-V380+T380+W380</f>
        <v/>
      </c>
      <c r="Y380" s="14" t="n"/>
      <c r="Z380" s="15">
        <f>O380+1.5</f>
        <v/>
      </c>
      <c r="AA380" s="15" t="n"/>
      <c r="AB380" s="15" t="n"/>
      <c r="AC380" s="14" t="n"/>
      <c r="AD380" s="14" t="n"/>
      <c r="AE380" s="13" t="inlineStr">
        <is>
          <t>NOT_UPLOADED</t>
        </is>
      </c>
    </row>
    <row r="381" ht="16" customHeight="1">
      <c r="A381" s="17" t="n">
        <v>5056585802602</v>
      </c>
      <c r="B381" s="17" t="n">
        <v>5056585802602</v>
      </c>
      <c r="C381" s="13" t="n"/>
      <c r="D381" s="18" t="n"/>
      <c r="E381" s="18" t="inlineStr">
        <is>
          <t>AMP-5056585802602</t>
        </is>
      </c>
      <c r="F381" s="17" t="n">
        <v>4803020</v>
      </c>
      <c r="G381" s="18" t="inlineStr">
        <is>
          <t>Amperel</t>
        </is>
      </c>
      <c r="H381" s="18" t="inlineStr">
        <is>
          <t>Scholl</t>
        </is>
      </c>
      <c r="I381" s="18" t="inlineStr">
        <is>
          <t>Scholl GelActiv Einlegesohlen, formelle und elegante Schuhe, dünne Einlegesohlen mit stoßdämpfender GelWave-Technologie, Komfort "Easy Fit" für die Füße, ohne die engen Schuhe zu spüren, Größe</t>
        </is>
      </c>
      <c r="J381" s="18" t="inlineStr">
        <is>
          <t>No</t>
        </is>
      </c>
      <c r="K381" s="18" t="inlineStr">
        <is>
          <t>https://www.amazon.de/Scholl-GelActiv-Einlegesohlen-formelle-D%C3%A4mpfungstechnologie/dp/B0CT3V7DLM/ref=sr_1_1?__mk_de_DE=%C3%85M%C3%85%C5%BD%C3%95%C3%91&amp;crid=2C3B2S4YC6GXX&amp;dib=eyJ2IjoiMSJ9.ys7_AId7fQ6jrmXwMLN7Xg.CMTiNUAULtOaFHnACKVS59Uj-mxoZtXn3ggQLajtRHg&amp;dib_tag=se&amp;keywords=5056585802602&amp;qid=1750284964&amp;sprefix=5056585802602%2Caps%2C140&amp;sr=8-1</t>
        </is>
      </c>
      <c r="L381" s="18" t="inlineStr">
        <is>
          <t>B0CT3V7DLM</t>
        </is>
      </c>
      <c r="M381" s="19" t="n">
        <v>21.91</v>
      </c>
      <c r="N381" s="19" t="n"/>
      <c r="O381" s="19" t="n">
        <v>21.5</v>
      </c>
      <c r="P381" s="19">
        <f>O381/1.19</f>
        <v/>
      </c>
      <c r="Q381" s="19">
        <f>O381-P381</f>
        <v/>
      </c>
      <c r="R381" s="19">
        <f>O381*0.15</f>
        <v/>
      </c>
      <c r="S381" s="19" t="n">
        <v>9.84</v>
      </c>
      <c r="T381" s="19">
        <f>S381*0.2</f>
        <v/>
      </c>
      <c r="U381" s="19" t="n">
        <v>0.400000000000002</v>
      </c>
      <c r="V381" s="19" t="n">
        <v>3.39</v>
      </c>
      <c r="W381" s="19">
        <f>V381*0.2</f>
        <v/>
      </c>
      <c r="X381" s="21">
        <f>O381-Q381-R381-S381-U381-V381+T381+W381</f>
        <v/>
      </c>
      <c r="Y381" s="18" t="n"/>
      <c r="Z381" s="19">
        <f>O381+1.5</f>
        <v/>
      </c>
      <c r="AA381" s="19" t="n"/>
      <c r="AB381" s="19" t="n"/>
      <c r="AC381" s="18" t="n"/>
      <c r="AD381" s="18" t="n"/>
      <c r="AE381" s="13" t="inlineStr">
        <is>
          <t>NOT_UPLOADED</t>
        </is>
      </c>
    </row>
    <row r="382" ht="16" customHeight="1">
      <c r="A382" s="12" t="n">
        <v>5056585802688</v>
      </c>
      <c r="B382" s="12" t="n">
        <v>5056585802688</v>
      </c>
      <c r="C382" s="13" t="n"/>
      <c r="D382" s="14" t="n"/>
      <c r="E382" s="14" t="inlineStr">
        <is>
          <t>AMP-5056585802688</t>
        </is>
      </c>
      <c r="F382" s="12" t="n">
        <v>4803021</v>
      </c>
      <c r="G382" s="14" t="inlineStr">
        <is>
          <t>Amperel</t>
        </is>
      </c>
      <c r="H382" s="14" t="inlineStr">
        <is>
          <t>Scholl</t>
        </is>
      </c>
      <c r="I382" s="14" t="inlineStr">
        <is>
          <t>Scholl GelActiv Einlegesohlen, formelle und elegante Schuhe, dünne Einlegesohlen mit GelWave Dämpfungstechnologie, Komfort "Easy Fit" für die Füße, ohne enge Schuhe zu spüren, Größe L</t>
        </is>
      </c>
      <c r="J382" s="14" t="inlineStr">
        <is>
          <t>No</t>
        </is>
      </c>
      <c r="K382" s="14" t="inlineStr">
        <is>
          <t>https://www.amazon.de/Scholl-GelActiv-Einlegesohlen-formelle-D%C3%A4mpfungstechnologie/dp/B0CT3RD7CG/ref=sr_1_1_mod_primary_new?__mk_de_DE=%C3%85M%C3%85%C5%BD%C3%95%C3%91&amp;crid=GDNBFNP3OLXH&amp;dib=eyJ2IjoiMSJ9.GoK3LNXyFWKU7zagMifEfQ.GShXnBZl5TkRqtzLnjDnp9CkYA5KtxFRfq_CaaMWGns&amp;dib_tag=se&amp;keywords=5056585802688&amp;qid=1750285307&amp;sbo=RZvfv%2F%2FHxDF%2BO5021pAnSA%3D%3D&amp;sprefix=5056585802688%2Caps%2C177&amp;sr=8-1</t>
        </is>
      </c>
      <c r="L382" s="14" t="inlineStr">
        <is>
          <t>B0CT3RD7CG</t>
        </is>
      </c>
      <c r="M382" s="15" t="n">
        <v>23.13</v>
      </c>
      <c r="N382" s="15" t="n"/>
      <c r="O382" s="15" t="n">
        <v>23.08</v>
      </c>
      <c r="P382" s="15">
        <f>O382/1.19</f>
        <v/>
      </c>
      <c r="Q382" s="15">
        <f>O382-P382</f>
        <v/>
      </c>
      <c r="R382" s="15">
        <f>O382*0.15</f>
        <v/>
      </c>
      <c r="S382" s="15" t="n">
        <v>9.84</v>
      </c>
      <c r="T382" s="15">
        <f>S382*0.2</f>
        <v/>
      </c>
      <c r="U382" s="15" t="n">
        <v>0.400000000000002</v>
      </c>
      <c r="V382" s="15" t="n">
        <v>4.04</v>
      </c>
      <c r="W382" s="15">
        <f>V382*0.2</f>
        <v/>
      </c>
      <c r="X382" s="21">
        <f>O382-Q382-R382-S382-U382-V382+T382+W382</f>
        <v/>
      </c>
      <c r="Y382" s="14" t="n"/>
      <c r="Z382" s="15">
        <f>O382+1.5</f>
        <v/>
      </c>
      <c r="AA382" s="15" t="n"/>
      <c r="AB382" s="15" t="n"/>
      <c r="AC382" s="14" t="n"/>
      <c r="AD382" s="14" t="n"/>
      <c r="AE382" s="13" t="inlineStr">
        <is>
          <t>NOT_UPLOADED</t>
        </is>
      </c>
    </row>
    <row r="383" ht="16" customHeight="1">
      <c r="A383" s="17" t="n">
        <v>8001443353311</v>
      </c>
      <c r="B383" s="17" t="n">
        <v>8001443353311</v>
      </c>
      <c r="C383" s="13" t="n"/>
      <c r="D383" s="18" t="n"/>
      <c r="E383" s="18" t="inlineStr">
        <is>
          <t>AMP-8001443353311</t>
        </is>
      </c>
      <c r="F383" s="17" t="n">
        <v>4803027</v>
      </c>
      <c r="G383" s="18" t="inlineStr">
        <is>
          <t>Amperel</t>
        </is>
      </c>
      <c r="H383" s="18" t="inlineStr">
        <is>
          <t>Scholl</t>
        </is>
      </c>
      <c r="I383" s="18" t="inlineStr">
        <is>
          <t>Scholl Hornhautfeile, mit doppelter Schleifoberfläche, 1 Stück (1er Pack)</t>
        </is>
      </c>
      <c r="J383" s="18" t="inlineStr">
        <is>
          <t>No</t>
        </is>
      </c>
      <c r="K383" s="18" t="inlineStr">
        <is>
          <t>https://www.amazon.de/Scholl-8053274-Scholl-Hornhautfeile-doppelter-Schleifoberfl%C3%A4che/dp/B00XIF5FYU/ref=sr_1_1?__mk_de_DE=%C3%85M%C3%85%C5%BD%C3%95%C3%91&amp;crid=2TM1W6KE4U15I&amp;dib=eyJ2IjoiMSJ9.uaNOV5KnAIZy-lDAcp23Uw.gBCa21x_6koRAFriMeHnTwALfJ1Rhfc2E7nWjLs_-Ho&amp;dib_tag=se&amp;keywords=B00XIF5FYU&amp;qid=1756186041&amp;sprefix=b00xif5fyu%2Caps%2C120&amp;sr=8-1</t>
        </is>
      </c>
      <c r="L383" s="18" t="inlineStr">
        <is>
          <t>B00XIF5FYU</t>
        </is>
      </c>
      <c r="M383" s="19" t="n">
        <v>7</v>
      </c>
      <c r="N383" s="19" t="n"/>
      <c r="O383" s="19" t="n">
        <v>12.79</v>
      </c>
      <c r="P383" s="19">
        <f>O383/1.19</f>
        <v/>
      </c>
      <c r="Q383" s="19">
        <f>O383-P383</f>
        <v/>
      </c>
      <c r="R383" s="19">
        <f>O383*0.15</f>
        <v/>
      </c>
      <c r="S383" s="19" t="n">
        <v>6.57</v>
      </c>
      <c r="T383" s="19">
        <f>S383*0.2</f>
        <v/>
      </c>
      <c r="U383" s="19" t="n">
        <v>0.400000000000002</v>
      </c>
      <c r="V383" s="19" t="n">
        <v>2.1</v>
      </c>
      <c r="W383" s="19">
        <f>V383*0.2</f>
        <v/>
      </c>
      <c r="X383" s="16">
        <f>O383-Q383-R383-S383-U383-V383+T383+W383</f>
        <v/>
      </c>
      <c r="Y383" s="18" t="n"/>
      <c r="Z383" s="19">
        <f>O383+1.5</f>
        <v/>
      </c>
      <c r="AA383" s="19" t="n"/>
      <c r="AB383" s="19" t="n"/>
      <c r="AC383" s="18" t="n"/>
      <c r="AD383" s="18" t="n"/>
      <c r="AE383" s="13" t="inlineStr">
        <is>
          <t>NOT_UPLOADED</t>
        </is>
      </c>
    </row>
    <row r="384" ht="16" customHeight="1">
      <c r="A384" s="12" t="n">
        <v>4006671299008</v>
      </c>
      <c r="B384" s="12" t="n">
        <v>8001443353311</v>
      </c>
      <c r="C384" s="13" t="n"/>
      <c r="D384" s="14" t="n"/>
      <c r="E384" s="14" t="inlineStr">
        <is>
          <t>AMP-4006671299008</t>
        </is>
      </c>
      <c r="F384" s="12" t="n">
        <v>4803027</v>
      </c>
      <c r="G384" s="14" t="inlineStr">
        <is>
          <t>Amperel</t>
        </is>
      </c>
      <c r="H384" s="14" t="inlineStr">
        <is>
          <t>Scholl</t>
        </is>
      </c>
      <c r="I384" s="14" t="inlineStr">
        <is>
          <t>Scholl 10004035 Foot File 30 cm</t>
        </is>
      </c>
      <c r="J384" s="14" t="inlineStr">
        <is>
          <t>No</t>
        </is>
      </c>
      <c r="K384" s="14" t="inlineStr">
        <is>
          <t>https://www.amazon.co.uk/Scholl-10004035-Foot-File-30/dp/B000ORY6WC/ref=sr_1_1?crid=13AN56KDTVR56&amp;dib=eyJ2IjoiMSJ9.6n92kC0Mq12EuqMZcnsIdQ.eF8vLjW7nKEHTOJdYjWTA4Stakk015mnNmV3AqAeyl0&amp;dib_tag=se&amp;keywords=B000ORY6WC&amp;qid=1772449449&amp;s=drugstore&amp;sprefix=b000ory6wc%2Cdrugstore%2C298&amp;sr=1-1</t>
        </is>
      </c>
      <c r="L384" s="14" t="inlineStr">
        <is>
          <t>B000ORY6WC</t>
        </is>
      </c>
      <c r="M384" s="15" t="n"/>
      <c r="N384" s="15" t="n"/>
      <c r="O384" s="15" t="n">
        <v>12.8</v>
      </c>
      <c r="P384" s="15">
        <f>O384/1.19</f>
        <v/>
      </c>
      <c r="Q384" s="15">
        <f>O384-P384</f>
        <v/>
      </c>
      <c r="R384" s="15">
        <f>O384*0.15</f>
        <v/>
      </c>
      <c r="S384" s="15" t="n">
        <v>6.57</v>
      </c>
      <c r="T384" s="15">
        <f>S384*0.2</f>
        <v/>
      </c>
      <c r="U384" s="15" t="n">
        <v>0.400000000000002</v>
      </c>
      <c r="V384" s="15" t="n">
        <v>2.1</v>
      </c>
      <c r="W384" s="15">
        <f>V384*0.2</f>
        <v/>
      </c>
      <c r="X384" s="16">
        <f>O384-Q384-R384-S384-U384-V384+T384+W384</f>
        <v/>
      </c>
      <c r="Y384" s="14" t="n"/>
      <c r="Z384" s="15">
        <f>O384+1.5</f>
        <v/>
      </c>
      <c r="AA384" s="15" t="n"/>
      <c r="AB384" s="15" t="n"/>
      <c r="AC384" s="14" t="n"/>
      <c r="AD384" s="14" t="n"/>
      <c r="AE384" s="13" t="inlineStr">
        <is>
          <t>NOT_UPLOADED</t>
        </is>
      </c>
    </row>
    <row r="385" ht="16" customHeight="1">
      <c r="A385" s="17" t="n">
        <v>5000288358089</v>
      </c>
      <c r="B385" s="17" t="n">
        <v>8001443353311</v>
      </c>
      <c r="C385" s="13" t="n"/>
      <c r="D385" s="18" t="n"/>
      <c r="E385" s="18" t="inlineStr">
        <is>
          <t>AMP-5000288358089</t>
        </is>
      </c>
      <c r="F385" s="17" t="n">
        <v>4803027</v>
      </c>
      <c r="G385" s="18" t="inlineStr">
        <is>
          <t>Amperel</t>
        </is>
      </c>
      <c r="H385" s="18" t="inlineStr">
        <is>
          <t>Scholl</t>
        </is>
      </c>
      <c r="I385" s="18" t="inlineStr">
        <is>
          <t>Scholl Footcare Appliances Dual Action Foot File</t>
        </is>
      </c>
      <c r="J385" s="18" t="inlineStr">
        <is>
          <t>No</t>
        </is>
      </c>
      <c r="K385" s="18" t="inlineStr">
        <is>
          <t>https://www.amazon.co.uk/Scholl-Footcare-Appliances-Dual-Action/dp/B001DZVESI/ref=sr_1_1?crid=22HVXEXPJ4Y2F&amp;dib=eyJ2IjoiMSJ9.T1Sv1SmIJ-laa6tOiZxO9g.Da6UcLLaImkjY1RGtvRLOBGrW5BdzOF766bgb0ACkTo&amp;dib_tag=se&amp;keywords=B001DZVESI&amp;qid=1772449923&amp;s=drugstore&amp;sprefix=b001dzvesi%2Cdrugstore%2C312&amp;sr=1-1</t>
        </is>
      </c>
      <c r="L385" s="18" t="inlineStr">
        <is>
          <t>B001DZVESI</t>
        </is>
      </c>
      <c r="M385" s="19" t="n"/>
      <c r="N385" s="19" t="n"/>
      <c r="O385" s="19" t="n">
        <v>12.8</v>
      </c>
      <c r="P385" s="19">
        <f>O385/1.19</f>
        <v/>
      </c>
      <c r="Q385" s="19">
        <f>O385-P385</f>
        <v/>
      </c>
      <c r="R385" s="19">
        <f>O385*0.15</f>
        <v/>
      </c>
      <c r="S385" s="19" t="n">
        <v>6.57</v>
      </c>
      <c r="T385" s="19">
        <f>S385*0.2</f>
        <v/>
      </c>
      <c r="U385" s="19" t="n">
        <v>0.400000000000002</v>
      </c>
      <c r="V385" s="19" t="n">
        <v>2.1</v>
      </c>
      <c r="W385" s="19">
        <f>V385*0.2</f>
        <v/>
      </c>
      <c r="X385" s="16">
        <f>O385-Q385-R385-S385-U385-V385+T385+W385</f>
        <v/>
      </c>
      <c r="Y385" s="18" t="n"/>
      <c r="Z385" s="19">
        <f>O385+1.5</f>
        <v/>
      </c>
      <c r="AA385" s="19" t="n"/>
      <c r="AB385" s="19" t="n"/>
      <c r="AC385" s="18" t="n"/>
      <c r="AD385" s="18" t="n"/>
      <c r="AE385" s="13" t="inlineStr">
        <is>
          <t>NOT_UPLOADED</t>
        </is>
      </c>
    </row>
    <row r="386" ht="16" customHeight="1">
      <c r="A386" s="12" t="n">
        <v>3600551068749</v>
      </c>
      <c r="B386" s="12" t="n">
        <v>3600551068749</v>
      </c>
      <c r="C386" s="13" t="n"/>
      <c r="D386" s="14" t="n"/>
      <c r="E386" s="14" t="inlineStr">
        <is>
          <t>FOR-3600551068749</t>
        </is>
      </c>
      <c r="F386" s="12" t="inlineStr">
        <is>
          <t>MX5020</t>
        </is>
      </c>
      <c r="G386" s="14" t="inlineStr">
        <is>
          <t>Fortuna</t>
        </is>
      </c>
      <c r="H386" s="14" t="inlineStr">
        <is>
          <t>Mixa</t>
        </is>
      </c>
      <c r="I386" s="14" t="inlineStr">
        <is>
          <t>Mixa Urea Crema rejuvenecedora de la piel con urea y niacinamida para piel seca, áspera y desigual, repara y alisa, hidratante para el cuerpo, manos y cara, Urea Cica Repair+, 400 ml</t>
        </is>
      </c>
      <c r="J386" s="14" t="inlineStr">
        <is>
          <t>No</t>
        </is>
      </c>
      <c r="K386" s="14" t="inlineStr">
        <is>
          <t>https://www.amazon.de/dp/B09V8JNGD4?th=1</t>
        </is>
      </c>
      <c r="L386" s="14" t="inlineStr">
        <is>
          <t>B09V8JNGD4</t>
        </is>
      </c>
      <c r="M386" s="15" t="n">
        <v>14.99</v>
      </c>
      <c r="N386" s="15" t="n"/>
      <c r="O386" s="15" t="n">
        <v>14.97</v>
      </c>
      <c r="P386" s="15">
        <f>O386/1.19</f>
        <v/>
      </c>
      <c r="Q386" s="15">
        <f>O386-P386</f>
        <v/>
      </c>
      <c r="R386" s="15">
        <f>O386*0.15</f>
        <v/>
      </c>
      <c r="S386" s="15" t="n">
        <v>4.81</v>
      </c>
      <c r="T386" s="15">
        <f>S386*0.2</f>
        <v/>
      </c>
      <c r="U386" s="15" t="n">
        <v>0.400000000000002</v>
      </c>
      <c r="V386" s="15" t="n">
        <v>5.85</v>
      </c>
      <c r="W386" s="15">
        <f>V386*0.2</f>
        <v/>
      </c>
      <c r="X386" s="16">
        <f>O386-Q386-R386-S386-U386-V386+T386+W386</f>
        <v/>
      </c>
      <c r="Y386" s="14" t="n"/>
      <c r="Z386" s="15">
        <f>O386+1.5</f>
        <v/>
      </c>
      <c r="AA386" s="15" t="n"/>
      <c r="AB386" s="15" t="n"/>
      <c r="AC386" s="14" t="n"/>
      <c r="AD386" s="14" t="n"/>
      <c r="AE386" s="13" t="inlineStr">
        <is>
          <t>NOT_UPLOADED</t>
        </is>
      </c>
    </row>
    <row r="387" ht="16" customHeight="1">
      <c r="A387" s="17" t="n">
        <v>3600551164410</v>
      </c>
      <c r="B387" s="17" t="n">
        <v>3600551164601</v>
      </c>
      <c r="C387" s="13" t="n"/>
      <c r="D387" s="18" t="n"/>
      <c r="E387" s="18" t="inlineStr">
        <is>
          <t>FOR-3600551164601</t>
        </is>
      </c>
      <c r="F387" s="17" t="inlineStr">
        <is>
          <t>MX4005</t>
        </is>
      </c>
      <c r="G387" s="18" t="inlineStr">
        <is>
          <t>Fortuna</t>
        </is>
      </c>
      <c r="H387" s="18" t="inlineStr">
        <is>
          <t>Mixa</t>
        </is>
      </c>
      <c r="I387" s="18" t="inlineStr">
        <is>
          <t>Mixa schützende &amp; Pigmentflecken vorbeugende Creme LSF 50, Anti-Pigmentflecken Creme, Für trockene Haut, Niacinamide Bright, Hypoallergen, 50 ml</t>
        </is>
      </c>
      <c r="J387" s="18" t="inlineStr">
        <is>
          <t>No</t>
        </is>
      </c>
      <c r="K387" s="18" t="inlineStr">
        <is>
          <t>https://www.amazon.de/Mixa-Pigmentflecken-vorbeugende-Anti-Pigmentflecken-Hypoallergen/dp/B0DKTX31VP/ref=sr_1_6?__mk_de_DE=%C3%85M%C3%85%C5%BD%C3%95%C3%91&amp;crid=2HDR2E4H5HX7V&amp;dib=eyJ2IjoiMSJ9.BZYrdwoqhhzyrF8jrQFtjumOdMKy6F9NYVTmak2l1dHgo4Eg8ZkzDzKY5NBMJmcWtqTDio-pn2hRA49icsmAdhIVcA5A_gt65XpAJIc_9vp52TXnhcfpUjl4bQbK7UQuvj8S7YxwHQPL8-I8OSWbrnB5do8Ayv26zMqytcDKIb8R0rCGeNx7eRF9WdKOubb255x8_KYVv9yE616ycOhP1zXkteNmr1gVBmHh7J_wOmSXDTjJTUXtWV6LZooKhRLyGAOMGk1ZomN_w5-KpSqD0dNaYDQWrWfLs40312vl7hU.yzo9w2BequQuhpKATWm4I3Q820SLiUmXqUYHiLBG9jk&amp;dib_tag=se&amp;keywords=mixa%2BNiacinamide%2Bspf%2B50&amp;qid=1752491771&amp;s=beauty&amp;sprefix=mixa%2Bniacinamide%2Bspf%2B50%2Cbeauty%2C99&amp;sr=1-6&amp;th=1</t>
        </is>
      </c>
      <c r="L387" s="18" t="inlineStr">
        <is>
          <t>B0DKTX31VP</t>
        </is>
      </c>
      <c r="M387" s="19" t="n">
        <v>15.3</v>
      </c>
      <c r="N387" s="19" t="n"/>
      <c r="O387" s="19" t="n">
        <v>14.95</v>
      </c>
      <c r="P387" s="19">
        <f>O387/1.19</f>
        <v/>
      </c>
      <c r="Q387" s="19">
        <f>O387-P387</f>
        <v/>
      </c>
      <c r="R387" s="19">
        <f>O387*0.15</f>
        <v/>
      </c>
      <c r="S387" s="19" t="n">
        <v>8.140000000000001</v>
      </c>
      <c r="T387" s="19">
        <f>S387*0.2</f>
        <v/>
      </c>
      <c r="U387" s="19" t="n">
        <v>0.400000000000002</v>
      </c>
      <c r="V387" s="19" t="n">
        <v>2.6</v>
      </c>
      <c r="W387" s="19">
        <f>V387*0.2</f>
        <v/>
      </c>
      <c r="X387" s="16">
        <f>O387-Q387-R387-S387-U387-V387+T387+W387</f>
        <v/>
      </c>
      <c r="Y387" s="18" t="n"/>
      <c r="Z387" s="19">
        <f>O387+1.5</f>
        <v/>
      </c>
      <c r="AA387" s="19" t="n">
        <v>9.369999999999999</v>
      </c>
      <c r="AB387" s="19" t="n"/>
      <c r="AC387" s="18" t="n">
        <v>3049651</v>
      </c>
      <c r="AD387" s="18" t="n"/>
      <c r="AE387" s="13" t="inlineStr">
        <is>
          <t>NOT_UPLOADED</t>
        </is>
      </c>
    </row>
    <row r="388" ht="16" customHeight="1">
      <c r="A388" s="12" t="n">
        <v>3600550932768</v>
      </c>
      <c r="B388" s="12" t="n">
        <v>3600550932768</v>
      </c>
      <c r="C388" s="20" t="inlineStr">
        <is>
          <t>DM shop</t>
        </is>
      </c>
      <c r="D388" s="14" t="n"/>
      <c r="E388" s="14" t="inlineStr">
        <is>
          <t>FOR-3600550932768</t>
        </is>
      </c>
      <c r="F388" s="12" t="inlineStr">
        <is>
          <t>MX4008</t>
        </is>
      </c>
      <c r="G388" s="14" t="inlineStr">
        <is>
          <t>Fortuna</t>
        </is>
      </c>
      <c r="H388" s="14" t="inlineStr">
        <is>
          <t>Mixa</t>
        </is>
      </c>
      <c r="I388" s="14" t="inlineStr">
        <is>
          <t>MIXA Richhaltige Creme auf Ölbasis, 50 ml</t>
        </is>
      </c>
      <c r="J388" s="14" t="inlineStr">
        <is>
          <t>No</t>
        </is>
      </c>
      <c r="K388" s="14" t="inlineStr">
        <is>
          <t>https://www.amazon.de/MIXA-Richhaltige-Creme-auf-%C3%96lbasis/dp/B07JNDJM2T/ref=sr_1_14?__mk_de_DE=%C3%85M%C3%85%C5%BD%C3%95%C3%91&amp;crid=26KOIYJAK4OC0&amp;dib=eyJ2IjoiMSJ9.SXK4QdibhodsFclEp_QTngvyi2s-JKfaLm1720lvx6hHYD3AhISmpQwv1QIdbFsmEeRx87Oz_miqCCeHerCi3cER6AULMFGGAccwAeEnNsLAl4AbF2hP2oSBlKDQJxSPjD0eXF5WbY6bJD9znCQQCQ454oNowz1mhviMfuJvrpaxwjR8_0n5iAA0eH-jrU_VsJ-wS2mptrIHDU4IKeQ4jEzaHdHKrHB6f8rYlAJBwMi9Ieu-DHHYCXg1E-InM-FaC9ayoevVlh-i6-fXu6955vAS_Od6LikXSGZxgy05SAE.NqAxrf59Ny4bnoQCDH--JEGDHzRPEbwHK4-KRDMzUJs&amp;dib_tag=se&amp;keywords=MIXA+50ML&amp;qid=1752492796&amp;s=beauty&amp;sprefix=mixa+50ml%2Cbeauty%2C83&amp;sr=1-14</t>
        </is>
      </c>
      <c r="L388" s="14" t="inlineStr">
        <is>
          <t>B07JNDJM2T</t>
        </is>
      </c>
      <c r="M388" s="15" t="n">
        <v>15.49</v>
      </c>
      <c r="N388" s="15" t="n"/>
      <c r="O388" s="15" t="n">
        <v>15.2</v>
      </c>
      <c r="P388" s="15">
        <f>O388/1.19</f>
        <v/>
      </c>
      <c r="Q388" s="15">
        <f>O388-P388</f>
        <v/>
      </c>
      <c r="R388" s="15">
        <f>O388*0.15</f>
        <v/>
      </c>
      <c r="S388" s="15" t="n">
        <v>5.48</v>
      </c>
      <c r="T388" s="15">
        <f>S388*0.2</f>
        <v/>
      </c>
      <c r="U388" s="15" t="n">
        <v>0.400000000000002</v>
      </c>
      <c r="V388" s="15" t="n">
        <v>2.73</v>
      </c>
      <c r="W388" s="15">
        <f>V388*0.2</f>
        <v/>
      </c>
      <c r="X388" s="21">
        <f>O388-Q388-R388-S388-U388-V388+T388+W388</f>
        <v/>
      </c>
      <c r="Y388" s="14" t="n"/>
      <c r="Z388" s="15">
        <f>O388+1.5</f>
        <v/>
      </c>
      <c r="AA388" s="15" t="n"/>
      <c r="AB388" s="15" t="n"/>
      <c r="AC388" s="14" t="n"/>
      <c r="AD388" s="14" t="n"/>
      <c r="AE388" s="13" t="inlineStr">
        <is>
          <t>NOT_UPLOADED</t>
        </is>
      </c>
    </row>
    <row r="389" ht="16" customHeight="1">
      <c r="A389" s="17" t="n">
        <v>3600550816587</v>
      </c>
      <c r="B389" s="17" t="n">
        <v>3600551156200</v>
      </c>
      <c r="C389" s="13" t="n"/>
      <c r="D389" s="18" t="n"/>
      <c r="E389" s="18" t="inlineStr">
        <is>
          <t>FOR-3600550816587</t>
        </is>
      </c>
      <c r="F389" s="17" t="inlineStr">
        <is>
          <t>MX4011</t>
        </is>
      </c>
      <c r="G389" s="18" t="inlineStr">
        <is>
          <t>Fortuna</t>
        </is>
      </c>
      <c r="H389" s="18" t="inlineStr">
        <is>
          <t>Mixa</t>
        </is>
      </c>
      <c r="I389" s="18" t="inlineStr">
        <is>
          <t>Mixa For Women 50 Ml</t>
        </is>
      </c>
      <c r="J389" s="18" t="inlineStr">
        <is>
          <t>No</t>
        </is>
      </c>
      <c r="K389" s="18" t="inlineStr">
        <is>
          <t>https://www.amazon.de/Mixa-For-Women-50-Ml/dp/B08HH14HSJ/ref=sr_1_107_mod_primary_new?__mk_de_DE=%C3%85M%C3%85%C5%BD%C3%95%C3%91&amp;crid=192PP1IB49MND&amp;dib=eyJ2IjoiMSJ9.fz7fEObonQiJa3R0V5RTVl5qSKGMZT7ccSg77hu6aSltaeNxYi4KIVkVKNIoosE0hgKqCxCaEMSCNPoM6IOzhTQVFJhw4LJ-jaJx5eJQUJuW_Tl63WyZatbTOmq-wWC4hA50VkHafcZKpQTTSQFpQeC5SIGPIcHiCCheG_sJZwiz-shA0k_QfNNRHjZOs6QTsaOuW5KtX7ImQOedDq7zW4ExfQH7b9zeLOP-gxz-_VjnzTlKWPpVR656TxPtCB2doEUUX3AeOWy99Ry4cbnmdjaqvmZimQiwnTYxNuwB4lc.vUGPCJAu0D53mmrMb4-16sZWTDZgg2SF1rJpISbMGiE&amp;dib_tag=se&amp;keywords=MIXA&amp;qid=1752493517&amp;refinements=p_123%3A1509271&amp;rnid=91049101031&amp;s=beauty&amp;sbo=RZvfv%2F%2FHxDF%2BO5021pAnSA%3D%3D&amp;sprefix=mixa%2Cbeauty%2C84&amp;sr=1-107&amp;xpid=pjdoWSp0PkWJH</t>
        </is>
      </c>
      <c r="L389" s="18" t="inlineStr">
        <is>
          <t>B08HH14HSJ</t>
        </is>
      </c>
      <c r="M389" s="19" t="n">
        <v>12.54</v>
      </c>
      <c r="N389" s="19" t="n"/>
      <c r="O389" s="19" t="n">
        <v>12.5</v>
      </c>
      <c r="P389" s="19">
        <f>O389/1.19</f>
        <v/>
      </c>
      <c r="Q389" s="19">
        <f>O389-P389</f>
        <v/>
      </c>
      <c r="R389" s="19">
        <f>O389*0.15</f>
        <v/>
      </c>
      <c r="S389" s="19" t="n">
        <v>4.25</v>
      </c>
      <c r="T389" s="19">
        <f>S389*0.2</f>
        <v/>
      </c>
      <c r="U389" s="19" t="n">
        <v>0.400000000000002</v>
      </c>
      <c r="V389" s="19" t="n">
        <v>2.56</v>
      </c>
      <c r="W389" s="19">
        <f>V389*0.2</f>
        <v/>
      </c>
      <c r="X389" s="21">
        <f>O389-Q389-R389-S389-U389-V389+T389+W389</f>
        <v/>
      </c>
      <c r="Y389" s="18" t="n"/>
      <c r="Z389" s="19">
        <f>O389+1.5</f>
        <v/>
      </c>
      <c r="AA389" s="19" t="n"/>
      <c r="AB389" s="19" t="n"/>
      <c r="AC389" s="18" t="n"/>
      <c r="AD389" s="18" t="n"/>
      <c r="AE389" s="13" t="inlineStr">
        <is>
          <t>NOT_UPLOADED</t>
        </is>
      </c>
    </row>
    <row r="390" ht="16" customHeight="1">
      <c r="A390" s="12" t="n">
        <v>3600550826272</v>
      </c>
      <c r="B390" s="12" t="n">
        <v>3600550932836</v>
      </c>
      <c r="C390" s="13" t="n"/>
      <c r="D390" s="14" t="n"/>
      <c r="E390" s="14" t="inlineStr">
        <is>
          <t>FOR-3600550826272</t>
        </is>
      </c>
      <c r="F390" s="12" t="inlineStr">
        <is>
          <t>MX4012</t>
        </is>
      </c>
      <c r="G390" s="14" t="inlineStr">
        <is>
          <t>Fortuna</t>
        </is>
      </c>
      <c r="H390" s="14" t="inlineStr">
        <is>
          <t>Mixa</t>
        </is>
      </c>
      <c r="I390" s="14" t="inlineStr">
        <is>
          <t>Hyalurogel</t>
        </is>
      </c>
      <c r="J390" s="14" t="inlineStr">
        <is>
          <t>No</t>
        </is>
      </c>
      <c r="K390" s="14" t="inlineStr">
        <is>
          <t>https://www.amazon.de/Mixa-95096-Hyalurogel/dp/B08FZ9VYKK/ref=sr_1_7?__mk_de_DE=%C3%85M%C3%85%C5%BD%C3%95%C3%91&amp;crid=BOD0W6XXOT1W&amp;dib=eyJ2IjoiMSJ9.2MwYKcURoGBDldQlmbYSrzreSOQIAN16zaMosC0CvhWezul0Sy2Xsk10thKTu5rlRia6fBwZHUqu9WonCG6K81MsS6qN4tF1mmDDoHatZWuyCp8Gj9DkO_ifxu3oP7LmZOwVAJjSD75OMnZCPVPFg8qnhKqp7Wvzo3izjZeGvSE5t1zTyIy5ZXWAYMvd6nGdkp7jREDvbD9V9juxo8avQMTs3kXnf2Vp8xIhtme1VxXwbTTgBqKeLU8TC_I68gqvrZkTNClmwX0BxhOKilml1ZbCaFO4jPaAe-K1rm2KEmY.fIt6pnVc18FzXfDRUguRDOKsQt03bStDViKK9sDV22w&amp;dib_tag=se&amp;keywords=Mixa+Hyalurogel&amp;qid=1752494068&amp;s=beauty&amp;sprefix=mixa+hyalurogel%2Cbeauty%2C282&amp;sr=1-7</t>
        </is>
      </c>
      <c r="L390" s="14" t="inlineStr">
        <is>
          <t>B08FZ9VYKK</t>
        </is>
      </c>
      <c r="M390" s="15" t="n">
        <v>15.46</v>
      </c>
      <c r="N390" s="15" t="n"/>
      <c r="O390" s="15" t="n">
        <v>15.4</v>
      </c>
      <c r="P390" s="15">
        <f>O390/1.19</f>
        <v/>
      </c>
      <c r="Q390" s="15">
        <f>O390-P390</f>
        <v/>
      </c>
      <c r="R390" s="15">
        <f>O390*0.15</f>
        <v/>
      </c>
      <c r="S390" s="15" t="n">
        <v>5.67</v>
      </c>
      <c r="T390" s="15">
        <f>S390*0.2</f>
        <v/>
      </c>
      <c r="U390" s="15" t="n">
        <v>0.400000000000002</v>
      </c>
      <c r="V390" s="15" t="n">
        <v>3.47</v>
      </c>
      <c r="W390" s="15">
        <f>V390*0.2</f>
        <v/>
      </c>
      <c r="X390" s="21">
        <f>O390-Q390-R390-S390-U390-V390+T390+W390</f>
        <v/>
      </c>
      <c r="Y390" s="14" t="n"/>
      <c r="Z390" s="15">
        <f>O390+1.5</f>
        <v/>
      </c>
      <c r="AA390" s="15" t="n"/>
      <c r="AB390" s="15" t="n"/>
      <c r="AC390" s="14" t="n"/>
      <c r="AD390" s="14" t="n"/>
      <c r="AE390" s="13" t="inlineStr">
        <is>
          <t>NOT_UPLOADED</t>
        </is>
      </c>
    </row>
    <row r="391" ht="16" customHeight="1">
      <c r="A391" s="17" t="n">
        <v>3600550934908</v>
      </c>
      <c r="B391" s="17" t="n">
        <v>3600550934922</v>
      </c>
      <c r="C391" s="13" t="n"/>
      <c r="D391" s="18" t="n"/>
      <c r="E391" s="18" t="inlineStr">
        <is>
          <t>FOR-3600550934908</t>
        </is>
      </c>
      <c r="F391" s="17" t="inlineStr">
        <is>
          <t>MX4015</t>
        </is>
      </c>
      <c r="G391" s="18" t="inlineStr">
        <is>
          <t>Fortuna</t>
        </is>
      </c>
      <c r="H391" s="18" t="inlineStr">
        <is>
          <t>Mixa</t>
        </is>
      </c>
      <c r="I391" s="18" t="inlineStr">
        <is>
          <t>EKSPERT SKORY WRAŻLIWEJ HYALUROGEL BOGATY KREM INTENSYWNIE NAWILŻAJCY</t>
        </is>
      </c>
      <c r="J391" s="18" t="inlineStr">
        <is>
          <t>No</t>
        </is>
      </c>
      <c r="K391" s="18" t="inlineStr">
        <is>
          <t>https://www.amazon.de/EKSPERT-WRA%C5%BBLIWEJ-HYALUROGEL-INTENSYWNIE-NAWIL%C5%BBAJCY/dp/B07VQ1ZWSN/ref=sr_1_8?crid=TSTC9K3F8AU0&amp;dib=eyJ2IjoiMSJ9.2MwYKcURoGBDldQlmbYSrzreSOQIAN16zaMosC0CvhWezul0Sy2Xsk10thKTu5rlRia6fBwZHUqu9WonCG6K81MsS6qN4tF1mmDDoHatZWuyCp8Gj9DkO_ifxu3oP7LmZOwVAJjSD75OMnZCPVPFg8qnhKqp7Wvzo3izjZeGvSE5t1zTyIy5ZXWAYMvd6nGdkp7jREDvbD9V9juxo8avQMTs3kXnf2Vp8xIhtme1VxXwbTTgBqKeLU8TC_I68gqvrZkTNClmwX0BxhOKilml1ZbCaFO4jPaAe-K1rm2KEmY.fIt6pnVc18FzXfDRUguRDOKsQt03bStDViKK9sDV22w&amp;dib_tag=se&amp;keywords=mixa+hyalurogel&amp;qid=1752495115&amp;s=beauty&amp;sprefix=MIXA+HY%2Cbeauty%2C143&amp;sr=1-8</t>
        </is>
      </c>
      <c r="L391" s="18" t="inlineStr">
        <is>
          <t>B07VQ1ZWSN</t>
        </is>
      </c>
      <c r="M391" s="19" t="n">
        <v>15.19</v>
      </c>
      <c r="N391" s="19" t="n"/>
      <c r="O391" s="19" t="n">
        <v>14.5</v>
      </c>
      <c r="P391" s="19">
        <f>O391/1.19</f>
        <v/>
      </c>
      <c r="Q391" s="19">
        <f>O391-P391</f>
        <v/>
      </c>
      <c r="R391" s="19">
        <f>O391*0.15</f>
        <v/>
      </c>
      <c r="S391" s="19" t="n">
        <v>5.67</v>
      </c>
      <c r="T391" s="19">
        <f>S391*0.2</f>
        <v/>
      </c>
      <c r="U391" s="19" t="n">
        <v>0.400000000000002</v>
      </c>
      <c r="V391" s="19" t="n">
        <v>2.56</v>
      </c>
      <c r="W391" s="19">
        <f>V391*0.2</f>
        <v/>
      </c>
      <c r="X391" s="21">
        <f>O391-Q391-R391-S391-U391-V391+T391+W391</f>
        <v/>
      </c>
      <c r="Y391" s="18" t="n"/>
      <c r="Z391" s="19">
        <f>O391+1.5</f>
        <v/>
      </c>
      <c r="AA391" s="19" t="n">
        <v>5.71</v>
      </c>
      <c r="AB391" s="19" t="n"/>
      <c r="AC391" s="18" t="n"/>
      <c r="AD391" s="18" t="n"/>
      <c r="AE391" s="13" t="inlineStr">
        <is>
          <t>NOT_UPLOADED</t>
        </is>
      </c>
    </row>
    <row r="392" ht="16" customHeight="1">
      <c r="A392" s="12" t="n">
        <v>3600550934915</v>
      </c>
      <c r="B392" s="12" t="n">
        <v>3600550934922</v>
      </c>
      <c r="C392" s="13" t="n"/>
      <c r="D392" s="14" t="n"/>
      <c r="E392" s="14" t="inlineStr">
        <is>
          <t>FOR-3600550934915</t>
        </is>
      </c>
      <c r="F392" s="12" t="inlineStr">
        <is>
          <t>MX4015</t>
        </is>
      </c>
      <c r="G392" s="14" t="inlineStr">
        <is>
          <t>Fortuna</t>
        </is>
      </c>
      <c r="H392" s="14" t="inlineStr">
        <is>
          <t>Mixa</t>
        </is>
      </c>
      <c r="I392" s="14" t="inlineStr">
        <is>
          <t>Hyalurogel Rich</t>
        </is>
      </c>
      <c r="J392" s="14" t="inlineStr">
        <is>
          <t>No</t>
        </is>
      </c>
      <c r="K392" s="14" t="inlineStr">
        <is>
          <t>https://www.amazon.de/Intense-Hydrating-Cream-hyalurogel-Rich/dp/B07PKQ5SXX/ref=sr_1_1?__mk_de_DE=%C3%85M%C3%85%C5%BD%C3%95%C3%91&amp;crid=OSHYITTHNH1K&amp;dib=eyJ2IjoiMSJ9.rKODkqHitYxoSKtNZA2aig.RREd4RtXZ1UsSbHoU-Hf7B8OTrT3YJYhTaRURxJJA5E&amp;dib_tag=se&amp;keywords=B07PKQ5SXX&amp;qid=1760643092&amp;sprefix=b07pkq5sxx%2Caps%2C102&amp;sr=8-1</t>
        </is>
      </c>
      <c r="L392" s="14" t="inlineStr">
        <is>
          <t>B07PKQ5SXX</t>
        </is>
      </c>
      <c r="M392" s="15" t="n"/>
      <c r="N392" s="15" t="n"/>
      <c r="O392" s="15" t="n">
        <v>14.99</v>
      </c>
      <c r="P392" s="15">
        <f>O392/1.19</f>
        <v/>
      </c>
      <c r="Q392" s="15">
        <f>O392-P392</f>
        <v/>
      </c>
      <c r="R392" s="15">
        <f>O392*0.15</f>
        <v/>
      </c>
      <c r="S392" s="15" t="n">
        <v>5.67</v>
      </c>
      <c r="T392" s="15">
        <f>S392*0.2</f>
        <v/>
      </c>
      <c r="U392" s="15" t="n">
        <v>0.400000000000002</v>
      </c>
      <c r="V392" s="15" t="n">
        <v>2.56</v>
      </c>
      <c r="W392" s="15">
        <f>V392*0.2</f>
        <v/>
      </c>
      <c r="X392" s="21">
        <f>O392-Q392-R392-S392-U392-V392+T392+W392</f>
        <v/>
      </c>
      <c r="Y392" s="14" t="n"/>
      <c r="Z392" s="15">
        <f>O392+1.5</f>
        <v/>
      </c>
      <c r="AA392" s="15" t="n"/>
      <c r="AB392" s="15" t="n"/>
      <c r="AC392" s="14" t="n"/>
      <c r="AD392" s="14" t="n"/>
      <c r="AE392" s="13" t="inlineStr">
        <is>
          <t>NOT_UPLOADED</t>
        </is>
      </c>
    </row>
    <row r="393" ht="16" customHeight="1">
      <c r="A393" s="17" t="n">
        <v>3600551156675</v>
      </c>
      <c r="B393" s="17" t="n">
        <v>3600551136936</v>
      </c>
      <c r="C393" s="13" t="n"/>
      <c r="D393" s="18" t="n"/>
      <c r="E393" s="18" t="inlineStr">
        <is>
          <t>FOR-3600551156675</t>
        </is>
      </c>
      <c r="F393" s="17" t="inlineStr">
        <is>
          <t>MX4022</t>
        </is>
      </c>
      <c r="G393" s="18" t="inlineStr">
        <is>
          <t>Fortuna</t>
        </is>
      </c>
      <c r="H393" s="18" t="inlineStr">
        <is>
          <t>Mixa</t>
        </is>
      </c>
      <c r="I393" s="18" t="inlineStr">
        <is>
          <t>Mixa Anti-Pigmentflecken Serum, Für ungleichmäßige, fahle und sensible Haut mit Vitamin C und Niacinamid, Geeignet für Gesicht &amp; Hals, LSF 20, Hypoallergen, 30 ml</t>
        </is>
      </c>
      <c r="J393" s="18" t="inlineStr">
        <is>
          <t>No</t>
        </is>
      </c>
      <c r="K393" s="18" t="inlineStr">
        <is>
          <t>https://www.amazon.de/Mixa-Anti-Pigmentflecken-ungleichm%C3%A4%C3%9Fige-Niacinamid-Hypoallergen/dp/B0DCCFPN5V/ref=sr_1_4?__mk_de_DE=%C3%85M%C3%85%C5%BD%C3%95%C3%91&amp;crid=3F5D3K25FIDQP&amp;dib=eyJ2IjoiMSJ9.rkt0V4pMbAdi6LGY-yX8Np1esrh9f-XmKDB-pDmdUJX9sE6cvd-bwCOAqaNMwGokzin2dBgHYfSLnOliiuIO4VmwKvpQqsRqDKcdICaoziGzdXE-sPDsZs25Yx_PznMaQ6VrG8agBv6cR3N_hlKLYzBlz-HXnfyPwDQ6Qhmx3kKGdTnY_JybqvfEzNo2kUfeGJtgeWbXZMZO023j2o-rS8iDkidpsqPvS5Rg__Ever3H-K3xsPeN4qVA4V3iCQpa4fnSafxsnu6DkCAE3bz1BsunO_VVpz6hL8fdr2kyfrU.vVKnrg9Q5JeGRmWIgP18prtIZKwNCUYTBaKGXPx75w8&amp;dib_tag=se&amp;keywords=mixa%2BSERUM&amp;qid=1752496315&amp;rdc=1&amp;sprefix=mixa%2Bserum%2Caps%2C89&amp;sr=8-4&amp;th=1</t>
        </is>
      </c>
      <c r="L393" s="18" t="inlineStr">
        <is>
          <t>B0DCCFPN5V</t>
        </is>
      </c>
      <c r="M393" s="19" t="n"/>
      <c r="N393" s="19" t="n">
        <v>14.95</v>
      </c>
      <c r="O393" s="19" t="n">
        <v>19.3</v>
      </c>
      <c r="P393" s="19">
        <f>O393/1.19</f>
        <v/>
      </c>
      <c r="Q393" s="19">
        <f>O393-P393</f>
        <v/>
      </c>
      <c r="R393" s="19">
        <f>O393*0.15</f>
        <v/>
      </c>
      <c r="S393" s="19" t="n">
        <v>10.26</v>
      </c>
      <c r="T393" s="19">
        <f>S393*0.2</f>
        <v/>
      </c>
      <c r="U393" s="19" t="n">
        <v>0.400000000000002</v>
      </c>
      <c r="V393" s="19" t="n">
        <v>2.95</v>
      </c>
      <c r="W393" s="19">
        <f>V393*0.2</f>
        <v/>
      </c>
      <c r="X393" s="21">
        <f>O393-Q393-R393-S393-U393-V393+T393+W393</f>
        <v/>
      </c>
      <c r="Y393" s="18" t="n"/>
      <c r="Z393" s="19">
        <f>O393+1.5</f>
        <v/>
      </c>
      <c r="AA393" s="19" t="n"/>
      <c r="AB393" s="19" t="n"/>
      <c r="AC393" s="18" t="n"/>
      <c r="AD393" s="18" t="n"/>
      <c r="AE393" s="13" t="inlineStr">
        <is>
          <t>NOT_UPLOADED</t>
        </is>
      </c>
    </row>
    <row r="394" ht="16" customHeight="1">
      <c r="A394" s="12" t="n">
        <v>3600551156668</v>
      </c>
      <c r="B394" s="12" t="n">
        <v>3600551136967</v>
      </c>
      <c r="C394" s="13" t="n"/>
      <c r="D394" s="14" t="n"/>
      <c r="E394" s="14" t="inlineStr">
        <is>
          <t>FOR-3600551156668</t>
        </is>
      </c>
      <c r="F394" s="12" t="inlineStr">
        <is>
          <t>MX4023</t>
        </is>
      </c>
      <c r="G394" s="14" t="inlineStr">
        <is>
          <t>Fortuna</t>
        </is>
      </c>
      <c r="H394" s="14" t="inlineStr">
        <is>
          <t>Mixa</t>
        </is>
      </c>
      <c r="I394" s="14" t="inlineStr">
        <is>
          <t>Mixa Anti-Unreinheiten Serum, Für zu Akne neigende und sensible Haut, Mit Salicylsäure, Squalan und Niacinamid, Geeignet für Gesicht &amp; Hals, Hypoallergen, 30 ml</t>
        </is>
      </c>
      <c r="J394" s="14" t="inlineStr">
        <is>
          <t>No</t>
        </is>
      </c>
      <c r="K394" s="14" t="inlineStr">
        <is>
          <t>https://www.amazon.de/Mixa-Anti-Unreinheiten-Salicyls%C3%A4ure-Niacinamid-Hypoallergen/dp/B0DCCCBRWR/ref=sr_1_1?__mk_de_DE=%C3%85M%C3%85%C5%BD%C3%95%C3%91&amp;crid=3F5D3K25FIDQP&amp;dib=eyJ2IjoiMSJ9.rkt0V4pMbAdi6LGY-yX8Np1esrh9f-XmKDB-pDmdUJX9sE6cvd-bwCOAqaNMwGokzin2dBgHYfSLnOliiuIO4VmwKvpQqsRqDKcdICaoziGzdXE-sPDsZs25Yx_PznMaQ6VrG8agBv6cR3N_hlKLYzBlz-HXnfyPwDQ6Qhmx3kKGdTnY_JybqvfEzNo2kUfeGJtgeWbXZMZO023j2o-rS8iDkidpsqPvS5Rg__Ever3H-K3xsPeN4qVA4V3iCQpa4fnSafxsnu6DkCAE3bz1BsunO_VVpz6hL8fdr2kyfrU.vVKnrg9Q5JeGRmWIgP18prtIZKwNCUYTBaKGXPx75w8&amp;dib_tag=se&amp;keywords=mixa%2BSERUM&amp;qid=1752496315&amp;sprefix=mixa%2Bserum%2Caps%2C89&amp;sr=8-1&amp;th=1</t>
        </is>
      </c>
      <c r="L394" s="14" t="inlineStr">
        <is>
          <t>B0DCCCBRWR</t>
        </is>
      </c>
      <c r="M394" s="15" t="n">
        <v>27</v>
      </c>
      <c r="N394" s="15" t="n">
        <v>13.95</v>
      </c>
      <c r="O394" s="15" t="n">
        <v>21.29</v>
      </c>
      <c r="P394" s="15">
        <f>O394/1.19</f>
        <v/>
      </c>
      <c r="Q394" s="15">
        <f>O394-P394</f>
        <v/>
      </c>
      <c r="R394" s="15">
        <f>O394*0.15</f>
        <v/>
      </c>
      <c r="S394" s="15" t="n">
        <v>10.26</v>
      </c>
      <c r="T394" s="15">
        <f>S394*0.2</f>
        <v/>
      </c>
      <c r="U394" s="15" t="n">
        <v>0.400000000000002</v>
      </c>
      <c r="V394" s="15" t="n">
        <v>2.56</v>
      </c>
      <c r="W394" s="15">
        <f>V394*0.2</f>
        <v/>
      </c>
      <c r="X394" s="21">
        <f>O394-Q394-R394-S394-U394-V394+T394+W394</f>
        <v/>
      </c>
      <c r="Y394" s="14" t="n"/>
      <c r="Z394" s="15">
        <f>O394+1.5</f>
        <v/>
      </c>
      <c r="AA394" s="15" t="n"/>
      <c r="AB394" s="15" t="n"/>
      <c r="AC394" s="14" t="n"/>
      <c r="AD394" s="14" t="n"/>
      <c r="AE394" s="13" t="inlineStr">
        <is>
          <t>NOT_UPLOADED</t>
        </is>
      </c>
    </row>
    <row r="395" ht="16" customHeight="1">
      <c r="A395" s="17" t="n">
        <v>3600551156729</v>
      </c>
      <c r="B395" s="17" t="n">
        <v>3600551156705</v>
      </c>
      <c r="C395" s="13" t="n"/>
      <c r="D395" s="18" t="n"/>
      <c r="E395" s="18" t="inlineStr">
        <is>
          <t>FOR-3600551156729</t>
        </is>
      </c>
      <c r="F395" s="17" t="inlineStr">
        <is>
          <t>MX4025</t>
        </is>
      </c>
      <c r="G395" s="18" t="inlineStr">
        <is>
          <t>Fortuna</t>
        </is>
      </c>
      <c r="H395" s="18" t="inlineStr">
        <is>
          <t>Mixa</t>
        </is>
      </c>
      <c r="I395" s="18" t="inlineStr">
        <is>
          <t>Mixa Anti-Pigmentflecken Creme, Für ungleichmäßige, fahle und sensible Haut mit Vitamin C und Niacinamid, Geeignet für Gesicht &amp; Hals, LSF 20, Hypoallergen, 50 ml</t>
        </is>
      </c>
      <c r="J395" s="18" t="inlineStr">
        <is>
          <t>No</t>
        </is>
      </c>
      <c r="K395" s="18" t="inlineStr">
        <is>
          <t>https://www.amazon.de/Mixa-Anti-Pigmentflecken-ungleichm%C3%A4%C3%9Fige-Niacinamid-Hypoallergen/dp/B0DCCFP48Y/ref=sr_1_11?__mk_de_DE=%C3%85M%C3%85%C5%BD%C3%95%C3%91&amp;crid=3MP85LHUW2ROU&amp;dib=eyJ2IjoiMSJ9.IzwIbuEVOqU8mH76TTvIzupEPYlmty1yrvnjPVxG-c2zc5CXU28jITcdYLDRiaoJB9DyJw7rZw18Vr3omRUIrzNYWZGJl1r8rD77Dg5SgqmgvdLeCG2bpUGZSQdTcWQld8uwkXSHUBFNj8xqi0NHJWQ-ewGxTN1i1sRFx6vZ6n-4nav8fyD7OgA8gYTQJZFh1yB1nTSv1GDpTsLz7FPTuktd0EOs7UY9S-PvwO6dS0e7MFE1wEsxIJO4XO75p1U25UO8rSXOjAPP_DFAmnEQVjQzkcmz7SWPeFx_0FlhJbs.SRc1JMWZ-4eTsb0y6NdiCnZUQKdWKz02ntZgeUoJ0ao&amp;dib_tag=se&amp;keywords=mixa&amp;qid=1752507619&amp;refinements=p_123%3A1509271&amp;rnid=91049101031&amp;s=beauty&amp;sprefix=mixa+%2Caps%2C120&amp;sr=1-11</t>
        </is>
      </c>
      <c r="L395" s="18" t="inlineStr">
        <is>
          <t>B0DCCFP48Y</t>
        </is>
      </c>
      <c r="M395" s="19" t="n"/>
      <c r="N395" s="19" t="n">
        <v>13.93</v>
      </c>
      <c r="O395" s="19" t="n">
        <v>17.19</v>
      </c>
      <c r="P395" s="19">
        <f>O395/1.19</f>
        <v/>
      </c>
      <c r="Q395" s="19">
        <f>O395-P395</f>
        <v/>
      </c>
      <c r="R395" s="19">
        <f>O395*0.15</f>
        <v/>
      </c>
      <c r="S395" s="19" t="n">
        <v>7.44</v>
      </c>
      <c r="T395" s="19">
        <f>S395*0.2</f>
        <v/>
      </c>
      <c r="U395" s="19" t="n">
        <v>0.400000000000002</v>
      </c>
      <c r="V395" s="19" t="n">
        <v>2.6</v>
      </c>
      <c r="W395" s="19">
        <f>V395*0.2</f>
        <v/>
      </c>
      <c r="X395" s="21">
        <f>O395-Q395-R395-S395-U395-V395+T395+W395</f>
        <v/>
      </c>
      <c r="Y395" s="18" t="n"/>
      <c r="Z395" s="19">
        <f>O395+1.5</f>
        <v/>
      </c>
      <c r="AA395" s="19" t="n"/>
      <c r="AB395" s="19" t="n"/>
      <c r="AC395" s="18" t="n"/>
      <c r="AD395" s="18" t="n"/>
      <c r="AE395" s="13" t="inlineStr">
        <is>
          <t>NOT_UPLOADED</t>
        </is>
      </c>
    </row>
    <row r="396" ht="16" customHeight="1">
      <c r="A396" s="12" t="n">
        <v>3600551159584</v>
      </c>
      <c r="B396" s="12" t="n">
        <v>3600551159614</v>
      </c>
      <c r="C396" s="13" t="n"/>
      <c r="D396" s="14" t="n"/>
      <c r="E396" s="14" t="inlineStr">
        <is>
          <t>FOR-3600551159584</t>
        </is>
      </c>
      <c r="F396" s="12" t="inlineStr">
        <is>
          <t>MX4026</t>
        </is>
      </c>
      <c r="G396" s="14" t="inlineStr">
        <is>
          <t>Fortuna</t>
        </is>
      </c>
      <c r="H396" s="14" t="inlineStr">
        <is>
          <t>Mixa</t>
        </is>
      </c>
      <c r="I396" s="14" t="inlineStr">
        <is>
          <t>Mixa - Mattierendes Gel gegen Unreinheiten mit Salicylsäure + AHA – fettige Haut und Akne – Talgkontrolle – leichte und erfrischende Sorbet-Textur – Antioxidans-Pumpenflasche – 50 ml</t>
        </is>
      </c>
      <c r="J396" s="14" t="inlineStr">
        <is>
          <t>No</t>
        </is>
      </c>
      <c r="K396" s="14" t="inlineStr">
        <is>
          <t>https://www.amazon.de/Mixa-Mattierendes-Talgkontrolle-Sorbet-Textur-Antioxidans-Pumpenflasche/dp/B0D5CZKH5R/ref=sr_1_17?__mk_de_DE=%C3%85M%C3%85%C5%BD%C3%95%C3%91&amp;crid=3MP85LHUW2ROU&amp;dib=eyJ2IjoiMSJ9.IzwIbuEVOqU8mH76TTvIzupEPYlmty1yrvnjPVxG-c2zc5CXU28jITcdYLDRiaoJB9DyJw7rZw18Vr3omRUIrzNYWZGJl1r8rD77Dg5SgqmgvdLeCG2bpUGZSQdTcWQld8uwkXSHUBFNj8xqi0NHJYJd9pnPCSqJYw1tM-6syfQ3Y371KtmRYvFtX8sYTLp30sqrSRP7r34McdTGUuZQbPgvh777LsKWxCEIDO1VkJW7MFE1wEsxIJO4XO75p1U25UO8rSXOjAPP_DFAmnEQVjQzkcmz7SWPeFx_0FlhJbs.en1JZSrT4gYk9u_khIoKyjXhINqfo_8zs4XUk-xL39Q&amp;dib_tag=se&amp;keywords=mixa&amp;qid=1752508107&amp;refinements=p_123%3A1509271&amp;rnid=91049101031&amp;s=beauty&amp;sprefix=mixa+%2Caps%2C120&amp;sr=1-17&amp;xpid=Tus4f23cuIvpQ</t>
        </is>
      </c>
      <c r="L396" s="14" t="inlineStr">
        <is>
          <t>B0D5CZKH5R</t>
        </is>
      </c>
      <c r="M396" s="15" t="n"/>
      <c r="N396" s="15" t="n">
        <v>12.99</v>
      </c>
      <c r="O396" s="15" t="n">
        <v>15.98</v>
      </c>
      <c r="P396" s="15">
        <f>O396/1.19</f>
        <v/>
      </c>
      <c r="Q396" s="15">
        <f>O396-P396</f>
        <v/>
      </c>
      <c r="R396" s="15">
        <f>O396*0.15</f>
        <v/>
      </c>
      <c r="S396" s="15" t="n">
        <v>7.44</v>
      </c>
      <c r="T396" s="15">
        <f>S396*0.2</f>
        <v/>
      </c>
      <c r="U396" s="15" t="n">
        <v>0.400000000000002</v>
      </c>
      <c r="V396" s="15" t="n">
        <v>2.75</v>
      </c>
      <c r="W396" s="15">
        <f>V396*0.2</f>
        <v/>
      </c>
      <c r="X396" s="21">
        <f>O396-Q396-R396-S396-U396-V396+T396+W396</f>
        <v/>
      </c>
      <c r="Y396" s="14" t="n"/>
      <c r="Z396" s="15">
        <f>O396+1.5</f>
        <v/>
      </c>
      <c r="AA396" s="15" t="n"/>
      <c r="AB396" s="15" t="n"/>
      <c r="AC396" s="14" t="n"/>
      <c r="AD396" s="14" t="n"/>
      <c r="AE396" s="13" t="inlineStr">
        <is>
          <t>NOT_UPLOADED</t>
        </is>
      </c>
    </row>
    <row r="397" ht="16" customHeight="1">
      <c r="A397" s="17" t="n">
        <v>3600551153032</v>
      </c>
      <c r="B397" s="17" t="n">
        <v>3600551153292</v>
      </c>
      <c r="C397" s="13" t="n"/>
      <c r="D397" s="18" t="n"/>
      <c r="E397" s="18" t="inlineStr">
        <is>
          <t>FOR-3600551153032</t>
        </is>
      </c>
      <c r="F397" s="17" t="inlineStr">
        <is>
          <t>MX4027</t>
        </is>
      </c>
      <c r="G397" s="18" t="inlineStr">
        <is>
          <t>Fortuna</t>
        </is>
      </c>
      <c r="H397" s="18" t="inlineStr">
        <is>
          <t>Mixa</t>
        </is>
      </c>
      <c r="I397" s="18" t="inlineStr">
        <is>
          <t>Mixa UV 50 Hydrating Care, Für sensible Haut, Schutz vor UVB + UVA + Long UVA, SPF 50, Mit Hyaluronsäure, Geeignet für Gesicht &amp; Hals, Hypoallergen, 50 ml</t>
        </is>
      </c>
      <c r="J397" s="18" t="inlineStr">
        <is>
          <t>No</t>
        </is>
      </c>
      <c r="K397" s="18" t="inlineStr">
        <is>
          <t>https://www.amazon.de/gp/aw/d/B0DCCDZMKP/?_encoding=UTF8&amp;pd_rd_plhdr=t&amp;aaxitk=9111cc32ae1f250a0af11c551dbfce04&amp;hsa_cr_id=0&amp;qid=1752593232&amp;sr=1-1-e0fa1fdd-d857-4087-adda-5bd576b25987&amp;ref_=sbx_be_s_sparkle_dlcd_asin_0_img&amp;pd_rd_w=qOrtN&amp;content-id=amzn1.sym.9e72596d-52d6-4b34-9f08-1195d4ef0692%3Aamzn1.sym.9e72596d-52d6-4b34-9f08-1195d4ef0692&amp;pf_rd_p=9e72596d-52d6-4b34-9f08-1195d4ef0692&amp;pf_rd_r=E9SZKZWSS024JSMDCYN5&amp;pd_rd_wg=YsrVa&amp;pd_rd_r=5547057b-bb7b-4d33-9706-79f7e697d995</t>
        </is>
      </c>
      <c r="L397" s="18" t="inlineStr">
        <is>
          <t>B0DCCDZMKP</t>
        </is>
      </c>
      <c r="M397" s="19" t="n"/>
      <c r="N397" s="19" t="n">
        <v>11.95</v>
      </c>
      <c r="O397" s="19" t="n">
        <v>17.2</v>
      </c>
      <c r="P397" s="19">
        <f>O397/1.19</f>
        <v/>
      </c>
      <c r="Q397" s="19">
        <f>O397-P397</f>
        <v/>
      </c>
      <c r="R397" s="19">
        <f>O397*0.15</f>
        <v/>
      </c>
      <c r="S397" s="19" t="n">
        <v>8.140000000000001</v>
      </c>
      <c r="T397" s="19">
        <f>S397*0.2</f>
        <v/>
      </c>
      <c r="U397" s="19" t="n">
        <v>0.400000000000002</v>
      </c>
      <c r="V397" s="19" t="n">
        <v>2.82</v>
      </c>
      <c r="W397" s="19">
        <f>V397*0.2</f>
        <v/>
      </c>
      <c r="X397" s="21">
        <f>O397-Q397-R397-S397-U397-V397+T397+W397</f>
        <v/>
      </c>
      <c r="Y397" s="18" t="n"/>
      <c r="Z397" s="19">
        <f>O397+1.5</f>
        <v/>
      </c>
      <c r="AA397" s="19" t="n"/>
      <c r="AB397" s="19" t="n"/>
      <c r="AC397" s="18" t="n"/>
      <c r="AD397" s="18" t="n"/>
      <c r="AE397" s="13" t="inlineStr">
        <is>
          <t>NOT_UPLOADED</t>
        </is>
      </c>
    </row>
    <row r="398" ht="16" customHeight="1">
      <c r="A398" s="12" t="n">
        <v>3600551156743</v>
      </c>
      <c r="B398" s="12" t="n">
        <v>3600551156750</v>
      </c>
      <c r="C398" s="13" t="n"/>
      <c r="D398" s="14" t="n"/>
      <c r="E398" s="14" t="inlineStr">
        <is>
          <t>FOR-3600551156743</t>
        </is>
      </c>
      <c r="F398" s="12" t="inlineStr">
        <is>
          <t>MX4028</t>
        </is>
      </c>
      <c r="G398" s="14" t="inlineStr">
        <is>
          <t>Fortuna</t>
        </is>
      </c>
      <c r="H398" s="14" t="inlineStr">
        <is>
          <t>Mixa</t>
        </is>
      </c>
      <c r="I398" s="14" t="inlineStr">
        <is>
          <t>Mixa Anti-Trockenheit Creme, Gesichtscreme für trockene, empfindliche Haut, Mit Hyaluronsäure und Squalan, 50 ml</t>
        </is>
      </c>
      <c r="J398" s="14" t="inlineStr">
        <is>
          <t>No</t>
        </is>
      </c>
      <c r="K398" s="14" t="inlineStr">
        <is>
          <t>https://www.amazon.de/Mixa-Anti-Trockenheit-Gesichtscreme-empfindliche-Hyalurons%C3%A4ure/dp/B0DKTW3PKF/ref=sr_1_1?__mk_de_DE=%C3%85M%C3%85%C5%BD%C3%95%C3%91&amp;crid=1M2Y8L323E5H7&amp;dib=eyJ2IjoiMSJ9.IC6ykMszxWJECJMjVeynp8ZE-T1G6jU6KV1wETOlpHi3K-Eb1ed8d60h1drv-RFCrGxmp9EM-pN_Vc2bqu5NZ1zsk4WFZk-Trx-uwl8nJihp5dIm8WDBMjXzpoSi-SwiWioC4WI8XxgxDhmtS8oldb-yHctYq7Q3VzxgGoRcIQv1FVBMDbi3IPTandGinf-D5m-6VnTiBGWa9qINrBtNTLm3GEswbSBG7YMcMVHy00nIc0KynVqfTBo94Q-G0XmBq6Ww6Ndf3gJM5rGb3MBBsvSWIvhiCWSTJx4yW1TLK6E.k72Q6EJwQ12iKB0zUQsy096mftv_l9aMNQ_RM45Bx80&amp;dib_tag=se&amp;keywords=mixa+squalane&amp;qid=1752649719&amp;s=beauty&amp;sprefix=mixa+squalane%2Cbeauty%2C79&amp;sr=1-1</t>
        </is>
      </c>
      <c r="L398" s="14" t="inlineStr">
        <is>
          <t>B0DKTW3PKF</t>
        </is>
      </c>
      <c r="M398" s="15" t="n"/>
      <c r="N398" s="15" t="n">
        <v>11.2</v>
      </c>
      <c r="O398" s="15" t="n">
        <v>16.9</v>
      </c>
      <c r="P398" s="15">
        <f>O398/1.19</f>
        <v/>
      </c>
      <c r="Q398" s="15">
        <f>O398-P398</f>
        <v/>
      </c>
      <c r="R398" s="15">
        <f>O398*0.15</f>
        <v/>
      </c>
      <c r="S398" s="15" t="n">
        <v>7.44</v>
      </c>
      <c r="T398" s="15">
        <f>S398*0.2</f>
        <v/>
      </c>
      <c r="U398" s="15" t="n">
        <v>0.400000000000002</v>
      </c>
      <c r="V398" s="15" t="n">
        <v>2.98</v>
      </c>
      <c r="W398" s="15">
        <f>V398*0.2</f>
        <v/>
      </c>
      <c r="X398" s="21">
        <f>O398-Q398-R398-S398-U398-V398+T398+W398</f>
        <v/>
      </c>
      <c r="Y398" s="14" t="n"/>
      <c r="Z398" s="15">
        <f>O398+1.5</f>
        <v/>
      </c>
      <c r="AA398" s="15" t="n"/>
      <c r="AB398" s="15" t="n"/>
      <c r="AC398" s="14" t="n"/>
      <c r="AD398" s="14" t="n"/>
      <c r="AE398" s="13" t="inlineStr">
        <is>
          <t>NOT_UPLOADED</t>
        </is>
      </c>
    </row>
    <row r="399" ht="16" customHeight="1">
      <c r="A399" s="17" t="n">
        <v>3600551156736</v>
      </c>
      <c r="B399" s="17" t="n">
        <v>3600551156750</v>
      </c>
      <c r="C399" s="13" t="n"/>
      <c r="D399" s="18" t="n"/>
      <c r="E399" s="18" t="inlineStr">
        <is>
          <t>FOR-3600551156736</t>
        </is>
      </c>
      <c r="F399" s="17" t="inlineStr">
        <is>
          <t>MX4028</t>
        </is>
      </c>
      <c r="G399" s="18" t="inlineStr">
        <is>
          <t>Fortuna</t>
        </is>
      </c>
      <c r="H399" s="18" t="inlineStr">
        <is>
          <t>Mixa</t>
        </is>
      </c>
      <c r="I399" s="18" t="inlineStr">
        <is>
          <t>Mixa - Anti-Trockenheitscreme – mit Hyaluronsäure und Squalan – spendet 48 Stunden Feuchtigkeit – beruhigt das Ziehen – hypoallergen – 50 ml</t>
        </is>
      </c>
      <c r="J399" s="18" t="inlineStr">
        <is>
          <t>No</t>
        </is>
      </c>
      <c r="K399" s="18" t="inlineStr">
        <is>
          <t>https://www.amazon.de/Mixa-Anti-Trockenheitscreme-Hyalurons%C3%A4ure-Feuchtigkeit-hypoallergen/dp/B0DQLD2S4R/ref=sr_1_6?__mk_de_DE=%C3%85M%C3%85%C5%BD%C3%95%C3%91&amp;crid=1M2Y8L323E5H7&amp;dib=eyJ2IjoiMSJ9.IC6ykMszxWJECJMjVeynp8ZE-T1G6jU6KV1wETOlpHi3K-Eb1ed8d60h1drv-RFCrGxmp9EM-pN_Vc2bqu5NZ1zsk4WFZk-Trx-uwl8nJihp5dIm8WDBMjXzpoSi-SwiWioC4WI8XxgxDhmtS8oldb-yHctYq7Q3VzxgGoRcIQv1FVBMDbi3IPTandGinf-D5m-6VnTiBGWa9qINrBtNTCeNvEofh1OCJ1oKAjQNRJUQ5LTS-wTT_6bbIniuQ8GBq6Ww6Ndf3gJM5rGb3MBBsvSWIvhiCWSTJx4yW1TLK6E.sHPgNusa27uUlHExahkt0qksHbA778u-39FpGYkYqag&amp;dib_tag=se&amp;keywords=mixa%2Bsqualane&amp;qid=1752651013&amp;s=beauty&amp;sprefix=mixa%2Bsqualane%2Cbeauty%2C79&amp;sr=1-6&amp;th=1</t>
        </is>
      </c>
      <c r="L399" s="18" t="inlineStr">
        <is>
          <t>B0DQLD2S4R</t>
        </is>
      </c>
      <c r="M399" s="19" t="n"/>
      <c r="N399" s="19" t="n"/>
      <c r="O399" s="19" t="n">
        <v>17.49</v>
      </c>
      <c r="P399" s="19">
        <f>O399/1.19</f>
        <v/>
      </c>
      <c r="Q399" s="19">
        <f>O399-P399</f>
        <v/>
      </c>
      <c r="R399" s="19">
        <f>O399*0.15</f>
        <v/>
      </c>
      <c r="S399" s="19" t="n">
        <v>7.44</v>
      </c>
      <c r="T399" s="19">
        <f>S399*0.2</f>
        <v/>
      </c>
      <c r="U399" s="19" t="n">
        <v>0.400000000000002</v>
      </c>
      <c r="V399" s="19" t="n">
        <v>2.9</v>
      </c>
      <c r="W399" s="19">
        <f>V399*0.2</f>
        <v/>
      </c>
      <c r="X399" s="21">
        <f>O399-Q399-R399-S399-U399-V399+T399+W399</f>
        <v/>
      </c>
      <c r="Y399" s="18" t="n"/>
      <c r="Z399" s="19">
        <f>O399+1.5</f>
        <v/>
      </c>
      <c r="AA399" s="19" t="n"/>
      <c r="AB399" s="19" t="n"/>
      <c r="AC399" s="18" t="n"/>
      <c r="AD399" s="18" t="n"/>
      <c r="AE399" s="13" t="inlineStr">
        <is>
          <t>NOT_UPLOADED</t>
        </is>
      </c>
    </row>
    <row r="400" ht="16" customHeight="1">
      <c r="A400" s="12" t="n">
        <v>3600551158433</v>
      </c>
      <c r="B400" s="12" t="n">
        <v>3600551158471</v>
      </c>
      <c r="C400" s="13" t="n"/>
      <c r="D400" s="14" t="n"/>
      <c r="E400" s="14" t="inlineStr">
        <is>
          <t>FOR-3600551158433</t>
        </is>
      </c>
      <c r="F400" s="12" t="inlineStr">
        <is>
          <t>MX4201</t>
        </is>
      </c>
      <c r="G400" s="14" t="inlineStr">
        <is>
          <t>Fortuna</t>
        </is>
      </c>
      <c r="H400" s="14" t="inlineStr">
        <is>
          <t>Mixa</t>
        </is>
      </c>
      <c r="I400" s="14" t="inlineStr">
        <is>
          <t>Mixa - Komfort-Reiniger gegen den Teint mit Vitamin C und Squalan – für stumpfe und ungleichmäßige Haut – feuchtigkeitsspendende Gesichtspflege, schützend, sanfter Make-up-Entferner, 150 ml</t>
        </is>
      </c>
      <c r="J400" s="14" t="inlineStr">
        <is>
          <t>No</t>
        </is>
      </c>
      <c r="K400" s="14" t="inlineStr">
        <is>
          <t>https://www.amazon.de/Mixa-Komfort-Reiniger-ungleichm%C3%A4%C3%9Fige-feuchtigkeitsspendende-Make-up-Entferner/dp/B0D5CY2TSN/ref=sr_1_5?__mk_de_DE=%C3%85M%C3%85%C5%BD%C3%95%C3%91&amp;crid=1M2Y8L323E5H7&amp;dib=eyJ2IjoiMSJ9.IC6ykMszxWJECJMjVeynp8ZE-T1G6jU6KV1wETOlpHi3K-Eb1ed8d60h1drv-RFCrGxmp9EM-pN_Vc2bqu5NZ1zsk4WFZk-Trx-uwl8nJihp5dIm8WDBMjXzpoSi-SwiWioC4WI8XxgxDhmtS8oldb-yHctYq7Q3VzxgGoRcIQv1FVBMDbi3IPTandGinf-D5m-6VnTiBGWa9qINrBtNTCeNvEofh1OCJ1oKAjQNRJUQ5LTS-wTT_6bbIniuQ8GBq6Ww6Ndf3gJM5rGb3MBBsvSWIvhiCWSTJx4yW1TLK6E.sHPgNusa27uUlHExahkt0qksHbA778u-39FpGYkYqag&amp;dib_tag=se&amp;keywords=mixa%2Bsqualane&amp;qid=1752651013&amp;s=beauty&amp;sprefix=mixa%2Bsqualane%2Cbeauty%2C79&amp;sr=1-5&amp;th=1</t>
        </is>
      </c>
      <c r="L400" s="14" t="inlineStr">
        <is>
          <t>B0D5CY2TSN</t>
        </is>
      </c>
      <c r="M400" s="15" t="n"/>
      <c r="N400" s="15" t="n">
        <v>6.95</v>
      </c>
      <c r="O400" s="15" t="n">
        <v>11.09</v>
      </c>
      <c r="P400" s="15">
        <f>O400/1.19</f>
        <v/>
      </c>
      <c r="Q400" s="15">
        <f>O400-P400</f>
        <v/>
      </c>
      <c r="R400" s="15">
        <f>O400*0.15</f>
        <v/>
      </c>
      <c r="S400" s="15" t="n">
        <v>3.72</v>
      </c>
      <c r="T400" s="15">
        <f>S400*0.2</f>
        <v/>
      </c>
      <c r="U400" s="15" t="n">
        <v>0.400000000000002</v>
      </c>
      <c r="V400" s="15" t="n">
        <v>3.47</v>
      </c>
      <c r="W400" s="15">
        <f>V400*0.2</f>
        <v/>
      </c>
      <c r="X400" s="16">
        <f>O400-Q400-R400-S400-U400-V400+T400+W400</f>
        <v/>
      </c>
      <c r="Y400" s="14" t="n"/>
      <c r="Z400" s="15">
        <f>O400+1.5</f>
        <v/>
      </c>
      <c r="AA400" s="15" t="n"/>
      <c r="AB400" s="15" t="n"/>
      <c r="AC400" s="14" t="n"/>
      <c r="AD400" s="14" t="n"/>
      <c r="AE400" s="13" t="inlineStr">
        <is>
          <t>NOT_UPLOADED</t>
        </is>
      </c>
    </row>
    <row r="401" ht="16" customHeight="1">
      <c r="A401" s="17" t="n">
        <v>3600551158341</v>
      </c>
      <c r="B401" s="17" t="n">
        <v>3600551158372</v>
      </c>
      <c r="C401" s="13" t="n"/>
      <c r="D401" s="18" t="n"/>
      <c r="E401" s="18" t="inlineStr">
        <is>
          <t>FOR-3600551158341</t>
        </is>
      </c>
      <c r="F401" s="17" t="inlineStr">
        <is>
          <t>MX4202</t>
        </is>
      </c>
      <c r="G401" s="18" t="inlineStr">
        <is>
          <t>Fortuna</t>
        </is>
      </c>
      <c r="H401" s="18" t="inlineStr">
        <is>
          <t>Mixa</t>
        </is>
      </c>
      <c r="I401" s="18" t="inlineStr">
        <is>
          <t>Mixa Anti-Unreinheiten Comfort Cleanser, Für zu Akne neigende und sensible Haut, Glättet das Erscheinungsbild der Poren, Mit Salicylsäure und Squalan, Geeignet für Gesicht &amp; Hals, Hypoallergen, 150 ml</t>
        </is>
      </c>
      <c r="J401" s="18" t="inlineStr">
        <is>
          <t>No</t>
        </is>
      </c>
      <c r="K401" s="18" t="inlineStr">
        <is>
          <t>https://www.amazon.de/Mixa-Anti-Unreinheiten-Erscheinungsbild-Salicyls%C3%A4ure-Hypoallergen/dp/B0DCC9HD3Y/ref=sr_1_3?__mk_de_DE=%C3%85M%C3%85%C5%BD%C3%95%C3%91&amp;crid=1M2Y8L323E5H7&amp;dib=eyJ2IjoiMSJ9.IC6ykMszxWJECJMjVeynp8ZE-T1G6jU6KV1wETOlpHi3K-Eb1ed8d60h1drv-RFCrGxmp9EM-pN_Vc2bqu5NZ1zsk4WFZk-Trx-uwl8nJihp5dIm8WDBMjXzpoSi-SwiWioC4WI8XxgxDhmtS8oldb-yHctYq7Q3VzxgGoRcIQv1FVBMDbi3IPTandGinf-D5m-6VnTiBGWa9qINrBtNTCeNvEofh1OCJ1oKAjQNRJUQ5LTS-wTT_6bbIniuQ8GBq6Ww6Ndf3gJM5rGb3MBBsvSWIvhiCWSTJx4yW1TLK6E.sHPgNusa27uUlHExahkt0qksHbA778u-39FpGYkYqag&amp;dib_tag=se&amp;keywords=mixa%2Bsqualane&amp;qid=1752651013&amp;s=beauty&amp;sprefix=mixa%2Bsqualane%2Cbeauty%2C79&amp;sr=1-3&amp;th=1</t>
        </is>
      </c>
      <c r="L401" s="18" t="inlineStr">
        <is>
          <t>B0DCC9HD3Y</t>
        </is>
      </c>
      <c r="M401" s="19" t="n"/>
      <c r="N401" s="19" t="n">
        <v>4.95</v>
      </c>
      <c r="O401" s="19" t="n">
        <v>11.4</v>
      </c>
      <c r="P401" s="19">
        <f>O401/1.19</f>
        <v/>
      </c>
      <c r="Q401" s="19">
        <f>O401-P401</f>
        <v/>
      </c>
      <c r="R401" s="19">
        <f>O401*0.15</f>
        <v/>
      </c>
      <c r="S401" s="19" t="n">
        <v>4.06</v>
      </c>
      <c r="T401" s="19">
        <f>S401*0.2</f>
        <v/>
      </c>
      <c r="U401" s="19" t="n">
        <v>0.400000000000002</v>
      </c>
      <c r="V401" s="19" t="n">
        <v>3.23</v>
      </c>
      <c r="W401" s="19">
        <f>V401*0.2</f>
        <v/>
      </c>
      <c r="X401" s="16">
        <f>O401-Q401-R401-S401-U401-V401+T401+W401</f>
        <v/>
      </c>
      <c r="Y401" s="18" t="n"/>
      <c r="Z401" s="19">
        <f>O401+1.5</f>
        <v/>
      </c>
      <c r="AA401" s="19" t="n"/>
      <c r="AB401" s="19" t="n"/>
      <c r="AC401" s="18" t="n"/>
      <c r="AD401" s="18" t="n"/>
      <c r="AE401" s="13" t="inlineStr">
        <is>
          <t>NOT_UPLOADED</t>
        </is>
      </c>
    </row>
    <row r="402" ht="16" customHeight="1">
      <c r="A402" s="12" t="n">
        <v>3600550305036</v>
      </c>
      <c r="B402" s="12" t="n">
        <v>3600551155180</v>
      </c>
      <c r="C402" s="13" t="n"/>
      <c r="D402" s="14" t="n"/>
      <c r="E402" s="14" t="inlineStr">
        <is>
          <t>FOR-3600550305036</t>
        </is>
      </c>
      <c r="F402" s="12" t="inlineStr">
        <is>
          <t>MX4205</t>
        </is>
      </c>
      <c r="G402" s="14" t="inlineStr">
        <is>
          <t>Fortuna</t>
        </is>
      </c>
      <c r="H402" s="14" t="inlineStr">
        <is>
          <t>Mixa</t>
        </is>
      </c>
      <c r="I402" s="14" t="inlineStr">
        <is>
          <t>Bi-Phase Cleanser - 2-Phase Eye Make Up R</t>
        </is>
      </c>
      <c r="J402" s="14" t="inlineStr">
        <is>
          <t>No</t>
        </is>
      </c>
      <c r="K402" s="14" t="inlineStr">
        <is>
          <t>https://www.amazon.de/Mixa-Optimal-Tolerance-Bi-phase-Cleanser/dp/B08P2Q9TZ4/ref=sr_1_1_mod_primary_new?__mk_de_DE=%C3%85M%C3%85%C5%BD%C3%95%C3%91&amp;crid=288LMUCP9PI61&amp;dib=eyJ2IjoiMSJ9.rOiFj5kLqRW1lvxRTdNoH_XbXGch4wVOfHZZN_bYY3Ujiicq7T70GI1l4vk5IKiDYr3V7XVUJBMgeAZYhrpWctS3GMALzTQbrDkhRI5RHWCZmhH0FHVirEY_jZggCQ2kOQivgxnAp1mSSFb_5iBoa3Pq9cR2XhXBtzo-ZdrYOmOgaie-q7-VTXx9_eWbcN1aV2nfsBxYSYkG2jfZ53-FERd77fBsUoBNCwIUMNi5a11XUQ-LulQefmV6hYqg95VgYL_OHqwSNdLjwSKadOaZ8aq_Bu20SIQ0huhVMlvipy8.JZxN12QYggadD8Bv7uw1XawnT5oUoAn68ca7oq4-GeY&amp;dib_tag=se&amp;keywords=mixa+OPTIMAL+TOLERANCE&amp;qid=1752652212&amp;s=beauty&amp;sbo=RZvfv%2F%2FHxDF%2BO5021pAnSA%3D%3D&amp;sprefix=mixa+optimal+tolerance%2Cbeauty%2C84&amp;sr=1-1</t>
        </is>
      </c>
      <c r="L402" s="14" t="inlineStr">
        <is>
          <t>B08P2Q9TZ4</t>
        </is>
      </c>
      <c r="M402" s="15" t="n"/>
      <c r="N402" s="15" t="n">
        <v>10.15</v>
      </c>
      <c r="O402" s="15" t="n">
        <v>10.37</v>
      </c>
      <c r="P402" s="15">
        <f>O402/1.19</f>
        <v/>
      </c>
      <c r="Q402" s="15">
        <f>O402-P402</f>
        <v/>
      </c>
      <c r="R402" s="15">
        <f>O402*0.15</f>
        <v/>
      </c>
      <c r="S402" s="15" t="n">
        <v>3.02</v>
      </c>
      <c r="T402" s="15">
        <f>S402*0.2</f>
        <v/>
      </c>
      <c r="U402" s="15" t="n">
        <v>0.400000000000002</v>
      </c>
      <c r="V402" s="15" t="n">
        <v>3.22</v>
      </c>
      <c r="W402" s="15">
        <f>V402*0.2</f>
        <v/>
      </c>
      <c r="X402" s="16">
        <f>O402-Q402-R402-S402-U402-V402+T402+W402</f>
        <v/>
      </c>
      <c r="Y402" s="14" t="n"/>
      <c r="Z402" s="15">
        <f>O402+1.5</f>
        <v/>
      </c>
      <c r="AA402" s="15" t="n">
        <v>2.98</v>
      </c>
      <c r="AB402" s="15" t="n"/>
      <c r="AC402" s="14" t="n"/>
      <c r="AD402" s="14" t="n"/>
      <c r="AE402" s="13" t="inlineStr">
        <is>
          <t>NOT_UPLOADED</t>
        </is>
      </c>
    </row>
    <row r="403" ht="16" customHeight="1">
      <c r="A403" s="17" t="n">
        <v>3600550947762</v>
      </c>
      <c r="B403" s="17" t="n">
        <v>3600550932751</v>
      </c>
      <c r="C403" s="13" t="n"/>
      <c r="D403" s="18" t="n"/>
      <c r="E403" s="18" t="inlineStr">
        <is>
          <t>FOR-3600550947762</t>
        </is>
      </c>
      <c r="F403" s="17" t="inlineStr">
        <is>
          <t>MX4207</t>
        </is>
      </c>
      <c r="G403" s="18" t="inlineStr">
        <is>
          <t>Fortuna</t>
        </is>
      </c>
      <c r="H403" s="18" t="inlineStr">
        <is>
          <t>Mixa</t>
        </is>
      </c>
      <c r="I403" s="18" t="inlineStr">
        <is>
          <t>Mixa Gesichts-Make-up-Entferner, 57 ml</t>
        </is>
      </c>
      <c r="J403" s="18" t="inlineStr">
        <is>
          <t>No</t>
        </is>
      </c>
      <c r="K403" s="18" t="inlineStr">
        <is>
          <t>https://www.amazon.de/Mixa-95038-Anti-Irritations/dp/B084PN8941/ref=sr_1_8?crid=421CEAD9MZSB&amp;dib=eyJ2IjoiMSJ9.JOhpCZP_NRLMDcroSwRovvy2dDiQQq4DDv1HsnAevbVR9IN8pCVzPijuAgClPwJ8_UbBd3i7zhemOohf2HUi12MMU-FV6_Jg3FHETC7gBXjUl5cPUYC2C2789CZ60yKOiIbxvTMEOSwoWKix0LwdnPbcFmRCXfO0glL1fIvJJOWNTEI2rOw_jB6NSHqhUXhq84yYaKTEoBePbykEJ22EPO2ePaEEQ3io_nWPY73FNA-Il_8gILlKs2MzdGUf6c-m3MJsSJtJ8fAkmaM_c-I39VZTzHkwi608YP2o_S569WM.RXW6XMzKvgwN5Nf5TPsw-NBBvet1vLbqWL4D7vWKm7Y&amp;dib_tag=se&amp;keywords=mixa+micellar+water&amp;qid=1752669637&amp;sprefix=mixa+micellar+%2Caps%2C75&amp;sr=8-8</t>
        </is>
      </c>
      <c r="L403" s="18" t="inlineStr">
        <is>
          <t>B084PN8941</t>
        </is>
      </c>
      <c r="M403" s="19" t="n">
        <v>12.52</v>
      </c>
      <c r="N403" s="19" t="n"/>
      <c r="O403" s="19" t="n">
        <v>12.52</v>
      </c>
      <c r="P403" s="19">
        <f>O403/1.19</f>
        <v/>
      </c>
      <c r="Q403" s="19">
        <f>O403-P403</f>
        <v/>
      </c>
      <c r="R403" s="19">
        <f>O403*0.15</f>
        <v/>
      </c>
      <c r="S403" s="19" t="n">
        <v>3.55</v>
      </c>
      <c r="T403" s="19">
        <f>S403*0.2</f>
        <v/>
      </c>
      <c r="U403" s="19" t="n">
        <v>0.400000000000002</v>
      </c>
      <c r="V403" s="19" t="n">
        <v>5.43</v>
      </c>
      <c r="W403" s="19">
        <f>V403*0.2</f>
        <v/>
      </c>
      <c r="X403" s="16">
        <f>O403-Q403-R403-S403-U403-V403+T403+W403</f>
        <v/>
      </c>
      <c r="Y403" s="18" t="n"/>
      <c r="Z403" s="19">
        <f>O403+1.5</f>
        <v/>
      </c>
      <c r="AA403" s="19" t="n"/>
      <c r="AB403" s="19" t="n"/>
      <c r="AC403" s="18" t="n"/>
      <c r="AD403" s="18" t="n"/>
      <c r="AE403" s="13" t="inlineStr">
        <is>
          <t>NOT_UPLOADED</t>
        </is>
      </c>
    </row>
    <row r="404" ht="16" customHeight="1">
      <c r="A404" s="12" t="n">
        <v>3600551147314</v>
      </c>
      <c r="B404" s="12" t="n">
        <v>3600550894004</v>
      </c>
      <c r="C404" s="13" t="n"/>
      <c r="D404" s="14" t="n"/>
      <c r="E404" s="14" t="inlineStr">
        <is>
          <t>FOR- 3600551147314</t>
        </is>
      </c>
      <c r="F404" s="12" t="inlineStr">
        <is>
          <t>MX5004</t>
        </is>
      </c>
      <c r="G404" s="14" t="inlineStr">
        <is>
          <t>Fortuna</t>
        </is>
      </c>
      <c r="H404" s="14" t="inlineStr">
        <is>
          <t>Mixa</t>
        </is>
      </c>
      <c r="I404" s="14" t="inlineStr">
        <is>
          <t>Mixa Panthenol Body Lotion XXL, juckreizlindernder und beruhigender Balsam, mit Panthenol und pflanzlichem Glycerin, für empfindliche, sensible Haut, mildert Juckreiz Mixa Panthenol Comfort, 400 ml</t>
        </is>
      </c>
      <c r="J404" s="14" t="inlineStr">
        <is>
          <t>No</t>
        </is>
      </c>
      <c r="K404" s="14" t="inlineStr">
        <is>
          <t>https://www.amazon.de/Mixa-juckreizlindernder-beruhigender-pflanzlichem-empfindliche/dp/B0CPT9MFYB/ref=sr_1_4?__mk_de_DE=%C3%85M%C3%85%C5%BD%C3%95%C3%91&amp;crid=2TM2QQRHOZEUV&amp;dib=eyJ2IjoiMSJ9.u9GuZYji2f4XJPD6u6BVJDKVyKRZRLXeJj8kIS8qIwWk_fUZiTlZxtI5OMPIYgkSugh2Zf1KCwBXdJw9FLxPGkLoIJDGSCVmDAJ_3Id3xoWkvqNupvRUX6gA3_WzsZNHVRXA-Gcds1crkhzPn2_Hpc5F2p0K2q4z5gakCSddxYVhIoptagvh0c2d9IXhW9c85REpUi3u7goe5hg30SBDo_kzfHJJ9oBk1np1CpJRy0zaT4oRMscSVRmewwbdtb2VoleFSn-HcxdxFEKpnN79mW-Og6OAJkITEzHSgRsP_RM.BZUOjjv4EC8z9LjHUsoK3QV8tyRIwGPufRg2qsjkfLQ&amp;dib_tag=se&amp;keywords=mixaBODY%2BMILK&amp;qid=1752670154&amp;rdc=1&amp;sprefix=mixabody%2Bmilk%2Caps%2C92&amp;sr=8-4&amp;th=1</t>
        </is>
      </c>
      <c r="L404" s="14" t="inlineStr">
        <is>
          <t>B0CPT9MFYB</t>
        </is>
      </c>
      <c r="M404" s="15" t="n"/>
      <c r="N404" s="15" t="n"/>
      <c r="O404" s="15" t="n">
        <v>15.97</v>
      </c>
      <c r="P404" s="15">
        <f>O404/1.19</f>
        <v/>
      </c>
      <c r="Q404" s="15">
        <f>O404-P404</f>
        <v/>
      </c>
      <c r="R404" s="15">
        <f>O404*0.15</f>
        <v/>
      </c>
      <c r="S404" s="15" t="n">
        <v>5.31</v>
      </c>
      <c r="T404" s="15">
        <f>S404*0.2</f>
        <v/>
      </c>
      <c r="U404" s="15" t="n">
        <v>0.400000000000002</v>
      </c>
      <c r="V404" s="15" t="n">
        <v>4.29</v>
      </c>
      <c r="W404" s="15">
        <f>V404*0.2</f>
        <v/>
      </c>
      <c r="X404" s="21">
        <f>O404-Q404-R404-S404-U404-V404+T404+W404</f>
        <v/>
      </c>
      <c r="Y404" s="14" t="n"/>
      <c r="Z404" s="15">
        <f>O404+1.5</f>
        <v/>
      </c>
      <c r="AA404" s="15" t="n"/>
      <c r="AB404" s="15" t="n"/>
      <c r="AC404" s="14" t="n"/>
      <c r="AD404" s="14" t="n"/>
      <c r="AE404" s="13" t="inlineStr">
        <is>
          <t>NOT_UPLOADED</t>
        </is>
      </c>
    </row>
    <row r="405" ht="16" customHeight="1">
      <c r="A405" s="17" t="n">
        <v>3600551147321</v>
      </c>
      <c r="B405" s="17" t="n">
        <v>3600550978681</v>
      </c>
      <c r="C405" s="13" t="n"/>
      <c r="D405" s="18" t="n"/>
      <c r="E405" s="18" t="inlineStr">
        <is>
          <t>FOR-3600551147321</t>
        </is>
      </c>
      <c r="F405" s="17" t="inlineStr">
        <is>
          <t>MX5006</t>
        </is>
      </c>
      <c r="G405" s="18" t="inlineStr">
        <is>
          <t>Fortuna</t>
        </is>
      </c>
      <c r="H405" s="18" t="inlineStr">
        <is>
          <t>Mixa</t>
        </is>
      </c>
      <c r="I405" s="18" t="inlineStr">
        <is>
          <t>Mixa Urea Cica Body Lotion XXL, mit Urea &amp; regenerierendem Panthenol, beruhigende &amp; schützende Körpermilch, für trockene Haut, hochverträglich, beugt Hautirritationen vor Urea Cica Repair+, 400 ml</t>
        </is>
      </c>
      <c r="J405" s="18" t="inlineStr">
        <is>
          <t>No</t>
        </is>
      </c>
      <c r="K405" s="18" t="inlineStr">
        <is>
          <t>https://www.amazon.de/Mixa-regenerierendem-beruhigende-hochvertr%C3%A4glich-Hautirritationen/dp/B0CPT5V23G/ref=sr_1_1?__mk_de_DE=%C3%85M%C3%85%C5%BD%C3%95%C3%91&amp;crid=2TM2QQRHOZEUV&amp;dib=eyJ2IjoiMSJ9.u9GuZYji2f4XJPD6u6BVJDKVyKRZRLXeJj8kIS8qIwWk_fUZiTlZxtI5OMPIYgkSugh2Zf1KCwBXdJw9FLxPGkLoIJDGSCVmDAJ_3Id3xoWkvqNupvRUX6gA3_WzsZNHVRXA-Gcds1crkhzPn2_Hpc5F2p0K2q4z5gakCSddxYVhIoptagvh0c2d9IXhW9c85REpUi3u7goe5hg30SBDo_kzfHJJ9oBk1np1CpJRy0zaT4oRMscSVRmewwbdtb2VoleFSn-HcxdxFEKpnN79mW-Og6OAJkITEzHSgRsP_RM.BZUOjjv4EC8z9LjHUsoK3QV8tyRIwGPufRg2qsjkfLQ&amp;dib_tag=se&amp;keywords=mixaBODY%2BMILK&amp;qid=1752670154&amp;sprefix=mixabody%2Bmilk%2Caps%2C92&amp;sr=8-1&amp;th=1</t>
        </is>
      </c>
      <c r="L405" s="18" t="inlineStr">
        <is>
          <t>B0CPT5V23G</t>
        </is>
      </c>
      <c r="M405" s="19" t="n"/>
      <c r="N405" s="19" t="n"/>
      <c r="O405" s="19" t="n">
        <v>15.97</v>
      </c>
      <c r="P405" s="19">
        <f>O405/1.19</f>
        <v/>
      </c>
      <c r="Q405" s="19">
        <f>O405-P405</f>
        <v/>
      </c>
      <c r="R405" s="19">
        <f>O405*0.15</f>
        <v/>
      </c>
      <c r="S405" s="19" t="n">
        <v>5.31</v>
      </c>
      <c r="T405" s="19">
        <f>S405*0.2</f>
        <v/>
      </c>
      <c r="U405" s="19" t="n">
        <v>0.400000000000002</v>
      </c>
      <c r="V405" s="19" t="n">
        <v>5.84</v>
      </c>
      <c r="W405" s="19">
        <f>V405*0.2</f>
        <v/>
      </c>
      <c r="X405" s="16">
        <f>O405-Q405-R405-S405-U405-V405+T405+W405</f>
        <v/>
      </c>
      <c r="Y405" s="18" t="n"/>
      <c r="Z405" s="19">
        <f>O405+1.5</f>
        <v/>
      </c>
      <c r="AA405" s="19" t="n"/>
      <c r="AB405" s="19" t="n"/>
      <c r="AC405" s="18" t="n"/>
      <c r="AD405" s="18" t="n"/>
      <c r="AE405" s="13" t="inlineStr">
        <is>
          <t>NOT_UPLOADED</t>
        </is>
      </c>
    </row>
    <row r="406" ht="16" customHeight="1">
      <c r="A406" s="12" t="n">
        <v>3600551164564</v>
      </c>
      <c r="B406" s="12" t="n">
        <v>3600551164557</v>
      </c>
      <c r="C406" s="13" t="n"/>
      <c r="D406" s="14" t="n"/>
      <c r="E406" s="14" t="inlineStr">
        <is>
          <t>FOR-3600551164564</t>
        </is>
      </c>
      <c r="F406" s="12" t="inlineStr">
        <is>
          <t>MX5009</t>
        </is>
      </c>
      <c r="G406" s="14" t="inlineStr">
        <is>
          <t>Fortuna</t>
        </is>
      </c>
      <c r="H406" s="14" t="inlineStr">
        <is>
          <t>Mixa</t>
        </is>
      </c>
      <c r="I406" s="14" t="inlineStr">
        <is>
          <t>Mixa Stretch Mark Oil, Anti-Dehnungsstreifen Öl, Mildert das Erscheinungsbild &amp; den Juckreiz von Dehnungsstreifen, Niacinamide Bright, Hypoallergen, 100 ml</t>
        </is>
      </c>
      <c r="J406" s="14" t="inlineStr">
        <is>
          <t>No</t>
        </is>
      </c>
      <c r="K406" s="14" t="inlineStr">
        <is>
          <t>https://www.amazon.de/Mixa-Anti-Dehnungsstreifen-Erscheinungsbild-Dehnungsstreifen-Hypoallergen/dp/B0DKTVHWWY/ref=sr_1_1?crid=3LW5B6AQIF46E&amp;dib=eyJ2IjoiMSJ9.bN7myFLZoX0LIini9mEDm2nif26Ekxe_PFX7xncx71hdqJLZywgNy5ahZxn2q19QEackcGJyCND70ynspe_0m8cPJDgOGfLu_XTF47Qw0zDbr9pBIapTfAYAdgAhE3VwzKFy30T0n_efLuUbd9wj93MU0AVXSGi7LykZKqpd7XEEqyBxn0oSUkPatKllRloZj48Ac8OegG1T1KrDY21oWujSCzYuRpWU9yXLE7zUbyVwhftlYCpEHH7uQ3Lz6T3rAdjnj90SofD6dGJWtgq_dXkrMuDez5SdYjZuhykucqo.gw7Maq7fXPeU_qd06cK1nZioEhU-Elwu6o4lY-Xh9KU&amp;dib_tag=se&amp;keywords=mixa+stretchmark+oil&amp;qid=1752671763&amp;sprefix=mixa+STRECH%2Caps%2C95&amp;sr=8-1</t>
        </is>
      </c>
      <c r="L406" s="14" t="inlineStr">
        <is>
          <t>B0DKTVHWWY</t>
        </is>
      </c>
      <c r="M406" s="15" t="n"/>
      <c r="N406" s="15" t="n"/>
      <c r="O406" s="15" t="n">
        <v>16.97</v>
      </c>
      <c r="P406" s="15">
        <f>O406/1.19</f>
        <v/>
      </c>
      <c r="Q406" s="15">
        <f>O406-P406</f>
        <v/>
      </c>
      <c r="R406" s="15">
        <f>O406*0.15</f>
        <v/>
      </c>
      <c r="S406" s="15" t="n">
        <v>7.44</v>
      </c>
      <c r="T406" s="15">
        <f>S406*0.2</f>
        <v/>
      </c>
      <c r="U406" s="15" t="n">
        <v>0.400000000000002</v>
      </c>
      <c r="V406" s="15" t="n">
        <v>2.9</v>
      </c>
      <c r="W406" s="15">
        <f>V406*0.2</f>
        <v/>
      </c>
      <c r="X406" s="21">
        <f>O406-Q406-R406-S406-U406-V406+T406+W406</f>
        <v/>
      </c>
      <c r="Y406" s="14" t="n"/>
      <c r="Z406" s="15">
        <f>O406+1.5</f>
        <v/>
      </c>
      <c r="AA406" s="15" t="n"/>
      <c r="AB406" s="15" t="n"/>
      <c r="AC406" s="14" t="n"/>
      <c r="AD406" s="14" t="n"/>
      <c r="AE406" s="13" t="inlineStr">
        <is>
          <t>NOT_UPLOADED</t>
        </is>
      </c>
    </row>
    <row r="407" ht="16" customHeight="1">
      <c r="A407" s="17" t="n">
        <v>3600551163413</v>
      </c>
      <c r="B407" s="17" t="n">
        <v>3600551164557</v>
      </c>
      <c r="C407" s="13" t="n"/>
      <c r="D407" s="18" t="n"/>
      <c r="E407" s="18" t="inlineStr">
        <is>
          <t>FOR- 3600551163413</t>
        </is>
      </c>
      <c r="F407" s="17" t="inlineStr">
        <is>
          <t>MX5009</t>
        </is>
      </c>
      <c r="G407" s="18" t="inlineStr">
        <is>
          <t>Fortuna</t>
        </is>
      </c>
      <c r="H407" s="18" t="inlineStr">
        <is>
          <t>Mixa</t>
        </is>
      </c>
      <c r="I407" s="18" t="inlineStr">
        <is>
          <t>Mixa - Anti-Dehnungsstreifen-Öl – 30 % Omega 6 &amp; 9 – reduziert Farbe, Textur und Dicke von Dehnungsstreifen nach der Schwangerschaft oder Variationen von Gewicht und Größe – 100 ml</t>
        </is>
      </c>
      <c r="J407" s="18" t="inlineStr">
        <is>
          <t>No</t>
        </is>
      </c>
      <c r="K407" s="18" t="inlineStr">
        <is>
          <t>https://www.amazon.de/Mixa-Anti-Dehnungsstreifen-%C3%96l-Dehnungsstreifen-Schwangerschaft-Variationen/dp/B0DQLCYKRC/ref=sr_1_2?crid=3LW5B6AQIF46E&amp;dib=eyJ2IjoiMSJ9.bN7myFLZoX0LIini9mEDm2nif26Ekxe_PFX7xncx71hdqJLZywgNy5ahZxn2q19QEackcGJyCND70ynspe_0m8cPJDgOGfLu_XTF47Qw0zDbr9pBIapTfAYAdgAhE3VwzKFy30T0n_efLuUbd9wj93MU0AVXSGi7LykZKqpd7XEEqyBxn0oSUkPatKllRloZj48Ac8OegG1T1KrDY21oWujSCzYuRpWU9yXLE7zUbyVwhftlYCpEHH7uQ3Lz6T3rAdjnj90SofD6dGJWtgq_dXkrMuDez5SdYjZuhykucqo.gw7Maq7fXPeU_qd06cK1nZioEhU-Elwu6o4lY-Xh9KU&amp;dib_tag=se&amp;keywords=mixa+stretchmark+oil&amp;qid=1752671763&amp;sprefix=mixa+STRECH%2Caps%2C95&amp;sr=8-2</t>
        </is>
      </c>
      <c r="L407" s="18" t="inlineStr">
        <is>
          <t>B0DQLCYKRC</t>
        </is>
      </c>
      <c r="M407" s="19" t="n"/>
      <c r="N407" s="19" t="n"/>
      <c r="O407" s="19" t="n">
        <v>19.9</v>
      </c>
      <c r="P407" s="19">
        <f>O407/1.19</f>
        <v/>
      </c>
      <c r="Q407" s="19">
        <f>O407-P407</f>
        <v/>
      </c>
      <c r="R407" s="19">
        <f>O407*0.15</f>
        <v/>
      </c>
      <c r="S407" s="19" t="n">
        <v>7.44</v>
      </c>
      <c r="T407" s="19">
        <f>S407*0.2</f>
        <v/>
      </c>
      <c r="U407" s="19" t="n">
        <v>0.400000000000002</v>
      </c>
      <c r="V407" s="19" t="n">
        <v>3.15</v>
      </c>
      <c r="W407" s="19">
        <f>V407*0.2</f>
        <v/>
      </c>
      <c r="X407" s="21">
        <f>O407-Q407-R407-S407-U407-V407+T407+W407</f>
        <v/>
      </c>
      <c r="Y407" s="18" t="n"/>
      <c r="Z407" s="19">
        <f>O407+1.5</f>
        <v/>
      </c>
      <c r="AA407" s="19" t="n"/>
      <c r="AB407" s="19" t="n"/>
      <c r="AC407" s="18" t="n"/>
      <c r="AD407" s="18" t="n"/>
      <c r="AE407" s="13" t="inlineStr">
        <is>
          <t>NOT_UPLOADED</t>
        </is>
      </c>
    </row>
    <row r="408" ht="16" customHeight="1">
      <c r="A408" s="12" t="n">
        <v>3600551124803</v>
      </c>
      <c r="B408" s="12" t="n">
        <v>3600551135960</v>
      </c>
      <c r="C408" s="13" t="n"/>
      <c r="D408" s="14" t="n"/>
      <c r="E408" s="14" t="inlineStr">
        <is>
          <t>FOR-3600551124803</t>
        </is>
      </c>
      <c r="F408" s="12" t="inlineStr">
        <is>
          <t>MX5021</t>
        </is>
      </c>
      <c r="G408" s="14" t="inlineStr">
        <is>
          <t>Fortuna</t>
        </is>
      </c>
      <c r="H408" s="14" t="inlineStr">
        <is>
          <t>Mixa</t>
        </is>
      </c>
      <c r="I408" s="14" t="inlineStr">
        <is>
          <t>Mixa Panthenol hautberuhigende Creme, mit Panthenol, Pflegecreme für trockene, empfindliche und zu Neurodermitis neigende Haut, Wundheilcreme gegen Rötungen und Juckreiz, Panthenol Comfort, 400 ml</t>
        </is>
      </c>
      <c r="J408" s="14" t="inlineStr">
        <is>
          <t>No</t>
        </is>
      </c>
      <c r="K408" s="14" t="inlineStr">
        <is>
          <t>https://www.amazon.de/Pflegecreme-empfindliche-Neurodermitis-Wundheilcreme-Panthenol/dp/B0BPSWK6Y5/ref=sr_1_6?crid=3LNW10CEF6T7J&amp;dib=eyJ2IjoiMSJ9.zdfnLJmPEXyEqrbcwjWJRok6jbzaR0aYSJWOWvJJiyMKsNho9uqJgwAjgO6rmZM7C_OjIY8oDrHOQgoepyddljBmOTNhuIvBfLlECoEdtGkB9os_6OHfZ_IzXU5PkGtoAoX6Jm45pOXeBCzpl2Ls4QgOQo19P8g6tJcMi-taozX6RGmJ5hYXsvV0AkClg5HqBqhicalb06SnXhMVijW7HEyiB2ypVbZljDgPX8FndfoBmVKDOYxBz017uFKcxPmk1P13bf-z3S2v-C6VoZmhCM2GcXnfv27SafrI398k4ds.wRKLCm7ySU1H7Vx8S5XLyYdbSBXCV3WUdarOQru-d30&amp;dib_tag=se&amp;keywords=mixa+cica+repair&amp;qid=1752672504&amp;sprefix=mixa+CICA%2Caps%2C95&amp;sr=8-6</t>
        </is>
      </c>
      <c r="L408" s="14" t="inlineStr">
        <is>
          <t>B0BPSWK6Y5</t>
        </is>
      </c>
      <c r="M408" s="15" t="n"/>
      <c r="N408" s="15" t="n"/>
      <c r="O408" s="15" t="n">
        <v>18.95</v>
      </c>
      <c r="P408" s="15">
        <f>O408/1.19</f>
        <v/>
      </c>
      <c r="Q408" s="15">
        <f>O408-P408</f>
        <v/>
      </c>
      <c r="R408" s="15">
        <f>O408*0.15</f>
        <v/>
      </c>
      <c r="S408" s="15" t="n">
        <v>6.02</v>
      </c>
      <c r="T408" s="15">
        <f>S408*0.2</f>
        <v/>
      </c>
      <c r="U408" s="15" t="n">
        <v>0.400000000000002</v>
      </c>
      <c r="V408" s="15" t="n">
        <v>5.8</v>
      </c>
      <c r="W408" s="15">
        <f>V408*0.2</f>
        <v/>
      </c>
      <c r="X408" s="21">
        <f>O408-Q408-R408-S408-U408-V408+T408+W408</f>
        <v/>
      </c>
      <c r="Y408" s="14" t="n"/>
      <c r="Z408" s="15">
        <f>O408+1.5</f>
        <v/>
      </c>
      <c r="AA408" s="15" t="n"/>
      <c r="AB408" s="15" t="n"/>
      <c r="AC408" s="14" t="n"/>
      <c r="AD408" s="14" t="n"/>
      <c r="AE408" s="13" t="inlineStr">
        <is>
          <t>NOT_UPLOADED</t>
        </is>
      </c>
    </row>
    <row r="409" ht="16" customHeight="1">
      <c r="A409" s="17" t="n">
        <v>3600551135779</v>
      </c>
      <c r="B409" s="17" t="n">
        <v>3600551135960</v>
      </c>
      <c r="C409" s="13" t="n"/>
      <c r="D409" s="18" t="n"/>
      <c r="E409" s="18" t="inlineStr">
        <is>
          <t>FOR-3600551135779</t>
        </is>
      </c>
      <c r="F409" s="17" t="inlineStr">
        <is>
          <t>MX5021</t>
        </is>
      </c>
      <c r="G409" s="18" t="inlineStr">
        <is>
          <t>Fortuna</t>
        </is>
      </c>
      <c r="H409" s="18" t="inlineStr">
        <is>
          <t>Mixa</t>
        </is>
      </c>
      <c r="I409" s="18" t="inlineStr">
        <is>
          <t>Mixa Expert Creme für empfindliche Haut – Panthenol Komfort – gegen Juckreiz – sehr trockene und reaktive Haut – Gesicht, Körper, Hände – Baby, Kinder, Erwachsene, hypoallergen – ohne Parfüm – 400 ml</t>
        </is>
      </c>
      <c r="J409" s="18" t="inlineStr">
        <is>
          <t>No</t>
        </is>
      </c>
      <c r="K409" s="18" t="inlineStr">
        <is>
          <t>https://www.amazon.de/Mixa-Expert-Creme-empfindliche-Haut/dp/B0CB9BFZZ5/ref=sr_1_44?crid=3LNW10CEF6T7J&amp;dib=eyJ2IjoiMSJ9.zdfnLJmPEXyEqrbcwjWJRok6jbzaR0aYSJWOWvJJiyMKsNho9uqJgwAjgO6rmZM7DQEPjCEZ7JF0fzVHIAcdjgQ0w8v-zLH8vTSkmn9lkexrndpNIFmG6fCxv-cww7Bch-6iWAJQbLR9WhbwQHNXWwgOQo19P8g6tJcMi-taozX6RGmJ5hYXsvV0AkClg5HqDDdBccKsKZ6VFp6aeu8-50j8TDDjqRv0GbkCZgV-FhwBmVKDOYxBz017uFKcxPmk1P13bf-z3S2v-C6VoZmhCIHZtCnh5ArDyWH6XYrmQ0A.aIRb0pR1SQ3TesjsK-EYS8BmZgCu27EK1dNPvIPPV-0&amp;dib_tag=se&amp;keywords=mixa%2Bcica%2Brepair&amp;qid=1752673361&amp;sprefix=mixa%2BCICA%2Caps%2C95&amp;sr=8-44&amp;th=1</t>
        </is>
      </c>
      <c r="L409" s="18" t="inlineStr">
        <is>
          <t>B0CB9BFZZ5</t>
        </is>
      </c>
      <c r="M409" s="19" t="n"/>
      <c r="N409" s="19" t="n"/>
      <c r="O409" s="19" t="n">
        <v>20.95</v>
      </c>
      <c r="P409" s="19">
        <f>O409/1.19</f>
        <v/>
      </c>
      <c r="Q409" s="19">
        <f>O409-P409</f>
        <v/>
      </c>
      <c r="R409" s="19">
        <f>O409*0.15</f>
        <v/>
      </c>
      <c r="S409" s="19" t="n">
        <v>6.02</v>
      </c>
      <c r="T409" s="19">
        <f>S409*0.2</f>
        <v/>
      </c>
      <c r="U409" s="19" t="n">
        <v>0.400000000000002</v>
      </c>
      <c r="V409" s="19" t="n">
        <v>5.8</v>
      </c>
      <c r="W409" s="19">
        <f>V409*0.2</f>
        <v/>
      </c>
      <c r="X409" s="21">
        <f>O409-Q409-R409-S409-U409-V409+T409+W409</f>
        <v/>
      </c>
      <c r="Y409" s="18" t="n"/>
      <c r="Z409" s="19">
        <f>O409+1.5</f>
        <v/>
      </c>
      <c r="AA409" s="19" t="n"/>
      <c r="AB409" s="19" t="n"/>
      <c r="AC409" s="18" t="n"/>
      <c r="AD409" s="18" t="n"/>
      <c r="AE409" s="13" t="inlineStr">
        <is>
          <t>NOT_UPLOADED</t>
        </is>
      </c>
    </row>
    <row r="410" ht="16" customHeight="1">
      <c r="A410" s="12" t="n">
        <v>3600551101408</v>
      </c>
      <c r="B410" s="12" t="n">
        <v>3600551135939</v>
      </c>
      <c r="C410" s="13" t="n"/>
      <c r="D410" s="14" t="n"/>
      <c r="E410" s="14" t="inlineStr">
        <is>
          <t>FOR-3600551101408</t>
        </is>
      </c>
      <c r="F410" s="12" t="inlineStr">
        <is>
          <t>MX5022</t>
        </is>
      </c>
      <c r="G410" s="14" t="inlineStr">
        <is>
          <t>Fortuna</t>
        </is>
      </c>
      <c r="H410" s="14" t="inlineStr">
        <is>
          <t>Mixa</t>
        </is>
      </c>
      <c r="I410" s="14" t="inlineStr">
        <is>
          <t>Mixa Ceramide hautstärkende Creme mit 10% pflanzlichen Glycerin, Squalan und Ceramide für sehr trockene &amp; beanspruchte Haut Feuchtigkeitsspendend ,für die ganze Familie, Ceramide Protect, 400 ml</t>
        </is>
      </c>
      <c r="J410" s="14" t="inlineStr">
        <is>
          <t>No</t>
        </is>
      </c>
      <c r="K410" s="14" t="inlineStr">
        <is>
          <t>https://www.amazon.de/Mixa-Ceramide-Moisture-Hautst%C3%A4rkende-Creme/dp/B0BCLKDL4S/ref=sr_1_15?crid=3LNW10CEF6T7J&amp;dib=eyJ2IjoiMSJ9.zdfnLJmPEXyEqrbcwjWJRok6jbzaR0aYSJWOWvJJiyMKsNho9uqJgwAjgO6rmZM7DQEPjCEZ7JF0fzVHIAcdjgQ0w8v-zLH8vTSkmn9lkexrndpNIFmG6fCxv-cww7Bch-6iWAJQbLR9WhbwQHNXWwgOQo19P8g6tJcMi-taozX6RGmJ5hYXsvV0AkClg5HqDDdBccKsKZ6VFp6aeu8-50j8TDDjqRv0GbkCZgV-FhwBmVKDOYxBz017uFKcxPmk1P13bf-z3S2v-C6VoZmhCIHZtCnh5ArDyWH6XYrmQ0A.aIRb0pR1SQ3TesjsK-EYS8BmZgCu27EK1dNPvIPPV-0&amp;dib_tag=se&amp;keywords=mixa+cica+repair&amp;qid=1752673361&amp;sprefix=mixa+CICA%2Caps%2C95&amp;sr=8-15</t>
        </is>
      </c>
      <c r="L410" s="14" t="inlineStr">
        <is>
          <t>B0BCLKDL4S</t>
        </is>
      </c>
      <c r="M410" s="15" t="n"/>
      <c r="N410" s="15" t="n"/>
      <c r="O410" s="15" t="n">
        <v>17.95</v>
      </c>
      <c r="P410" s="15">
        <f>O410/1.19</f>
        <v/>
      </c>
      <c r="Q410" s="15">
        <f>O410-P410</f>
        <v/>
      </c>
      <c r="R410" s="15">
        <f>O410*0.15</f>
        <v/>
      </c>
      <c r="S410" s="15" t="n">
        <v>6.02</v>
      </c>
      <c r="T410" s="15">
        <f>S410*0.2</f>
        <v/>
      </c>
      <c r="U410" s="15" t="n">
        <v>0.400000000000002</v>
      </c>
      <c r="V410" s="15" t="n">
        <v>5.8</v>
      </c>
      <c r="W410" s="15">
        <f>V410*0.2</f>
        <v/>
      </c>
      <c r="X410" s="21">
        <f>O410-Q410-R410-S410-U410-V410+T410+W410</f>
        <v/>
      </c>
      <c r="Y410" s="14" t="n"/>
      <c r="Z410" s="15">
        <f>O410+1.5</f>
        <v/>
      </c>
      <c r="AA410" s="15" t="n"/>
      <c r="AB410" s="15" t="n"/>
      <c r="AC410" s="14" t="n"/>
      <c r="AD410" s="14" t="n"/>
      <c r="AE410" s="13" t="inlineStr">
        <is>
          <t>NOT_UPLOADED</t>
        </is>
      </c>
    </row>
    <row r="411" ht="16" customHeight="1">
      <c r="A411" s="17" t="n">
        <v>3600551164465</v>
      </c>
      <c r="B411" s="17" t="n">
        <v>3600551164588</v>
      </c>
      <c r="C411" s="13" t="n"/>
      <c r="D411" s="18" t="n"/>
      <c r="E411" s="18" t="inlineStr">
        <is>
          <t>FOR-3600551164465</t>
        </is>
      </c>
      <c r="F411" s="17" t="inlineStr">
        <is>
          <t>MX5023</t>
        </is>
      </c>
      <c r="G411" s="18" t="inlineStr">
        <is>
          <t>Fortuna</t>
        </is>
      </c>
      <c r="H411" s="18" t="inlineStr">
        <is>
          <t>Mixa</t>
        </is>
      </c>
      <c r="I411" s="18" t="inlineStr">
        <is>
          <t>Mixa feuchtigkeitsspendende Anti-Pigmentflecken Allzweckcreme, Geeignet für Gesicht, Körper &amp; Hände, Niacinamide Bright, Hypoallergen, 400 ml</t>
        </is>
      </c>
      <c r="J411" s="18" t="inlineStr">
        <is>
          <t>No</t>
        </is>
      </c>
      <c r="K411" s="18" t="inlineStr">
        <is>
          <t>https://www.amazon.de/Mixa-feuchtigkeitsspendende-Anti-Pigmentflecken-Allzweckcreme-Hypoallergen/dp/B0DKTX3CWB/ref=sr_1_19?crid=3LNW10CEF6T7J&amp;dib=eyJ2IjoiMSJ9.zdfnLJmPEXyEqrbcwjWJRok6jbzaR0aYSJWOWvJJiyMKsNho9uqJgwAjgO6rmZM7DQEPjCEZ7JF0fzVHIAcdjgQ0w8v-zLH8vTSkmn9lkexrndpNIFmG6fCxv-cww7Bch-6iWAJQbLR9WhbwQHNXWwgOQo19P8g6tJcMi-taozX6RGmJ5hYXsvV0AkClg5HqDDdBccKsKZ6VFp6aeu8-50j8TDDjqRv0GbkCZgV-FhwBmVKDOYxBz017uFKcxPmk1P13bf-z3S2v-C6VoZmhCIHZtCnh5ArDyWH6XYrmQ0A.aIRb0pR1SQ3TesjsK-EYS8BmZgCu27EK1dNPvIPPV-0&amp;dib_tag=se&amp;keywords=mixa%2Bcica%2Brepair&amp;qid=1752673361&amp;sprefix=mixa%2BCICA%2Caps%2C95&amp;sr=8-19&amp;th=1</t>
        </is>
      </c>
      <c r="L411" s="18" t="inlineStr">
        <is>
          <t>B0DKTX3CWB</t>
        </is>
      </c>
      <c r="M411" s="19" t="n"/>
      <c r="N411" s="19" t="n"/>
      <c r="O411" s="19" t="n">
        <v>17.95</v>
      </c>
      <c r="P411" s="19">
        <f>O411/1.19</f>
        <v/>
      </c>
      <c r="Q411" s="19">
        <f>O411-P411</f>
        <v/>
      </c>
      <c r="R411" s="19">
        <f>O411*0.15</f>
        <v/>
      </c>
      <c r="S411" s="19" t="n">
        <v>6.02</v>
      </c>
      <c r="T411" s="19">
        <f>S411*0.2</f>
        <v/>
      </c>
      <c r="U411" s="19" t="n">
        <v>0.400000000000002</v>
      </c>
      <c r="V411" s="19" t="n">
        <v>5.8</v>
      </c>
      <c r="W411" s="19">
        <f>V411*0.2</f>
        <v/>
      </c>
      <c r="X411" s="21">
        <f>O411-Q411-R411-S411-U411-V411+T411+W411</f>
        <v/>
      </c>
      <c r="Y411" s="18" t="n"/>
      <c r="Z411" s="19">
        <f>O411+1.5</f>
        <v/>
      </c>
      <c r="AA411" s="19" t="n"/>
      <c r="AB411" s="19" t="n"/>
      <c r="AC411" s="18" t="n"/>
      <c r="AD411" s="18" t="n"/>
      <c r="AE411" s="13" t="inlineStr">
        <is>
          <t>NOT_UPLOADED</t>
        </is>
      </c>
    </row>
    <row r="412" ht="16" customHeight="1">
      <c r="A412" s="12" t="n">
        <v>3600551164458</v>
      </c>
      <c r="B412" s="12" t="n">
        <v>3600551164588</v>
      </c>
      <c r="C412" s="13" t="n"/>
      <c r="D412" s="14" t="n"/>
      <c r="E412" s="14" t="inlineStr">
        <is>
          <t>FOR-3600551164458</t>
        </is>
      </c>
      <c r="F412" s="12" t="inlineStr">
        <is>
          <t>MX5023</t>
        </is>
      </c>
      <c r="G412" s="14" t="inlineStr">
        <is>
          <t>Fortuna</t>
        </is>
      </c>
      <c r="H412" s="14" t="inlineStr">
        <is>
          <t>Mixa</t>
        </is>
      </c>
      <c r="I412" s="14" t="inlineStr">
        <is>
          <t>Mixa - Niacinamide Correction Eclat Creme – Feuchtigkeitscreme gegen Flecken mit Sheabutter, Niacinamid und Vitamin C – geeignet für Gesicht, Körper und Hände – hypoallergen – 400 ml</t>
        </is>
      </c>
      <c r="J412" s="14" t="inlineStr">
        <is>
          <t>No</t>
        </is>
      </c>
      <c r="K412" s="14" t="inlineStr">
        <is>
          <t>https://www.amazon.de/Mixa-Niacinamide-Correction-Feuchtigkeitscreme-hypoallergen/dp/B0DQLFL4JG/ref=sr_1_35?crid=3LNW10CEF6T7J&amp;dib=eyJ2IjoiMSJ9.zdfnLJmPEXyEqrbcwjWJRok6jbzaR0aYSJWOWvJJiyMKsNho9uqJgwAjgO6rmZM7C_OjIY8oDrHOQgoepyddljBmOTNhuIvBfLlECoEdtGkB9os_6OHfZ_IzXU5PkGtoAoX6Jm45pOXeBCzpl2Ls4QgOQo19P8g6tJcMi-taozX6RGmJ5hYXsvV0AkClg5HqBqhicalb06SnXhMVijW7HEyiB2ypVbZljDgPX8FndfoBmVKDOYxBz017uFKcxPmk1P13bf-z3S2v-C6VoZmhCIHZtCnh5ArDyWH6XYrmQ0A.cBsfvcFeWbd15Tlrg2r6XtTFwgvedq-jia5mphUbgIk&amp;dib_tag=se&amp;keywords=mixa+cica+repair&amp;qid=1752694830&amp;sprefix=mixa+CICA%2Caps%2C95&amp;sr=8-35&amp;xpid=DhL6nr0Cv-cOz</t>
        </is>
      </c>
      <c r="L412" s="14" t="inlineStr">
        <is>
          <t>B0DQLFL4JG</t>
        </is>
      </c>
      <c r="M412" s="15" t="n"/>
      <c r="N412" s="15" t="n"/>
      <c r="O412" s="15" t="n">
        <v>20.55</v>
      </c>
      <c r="P412" s="15">
        <f>O412/1.19</f>
        <v/>
      </c>
      <c r="Q412" s="15">
        <f>O412-P412</f>
        <v/>
      </c>
      <c r="R412" s="15">
        <f>O412*0.15</f>
        <v/>
      </c>
      <c r="S412" s="15" t="n">
        <v>6.02</v>
      </c>
      <c r="T412" s="15">
        <f>S412*0.2</f>
        <v/>
      </c>
      <c r="U412" s="15" t="n">
        <v>0.400000000000002</v>
      </c>
      <c r="V412" s="15" t="n">
        <v>6.05</v>
      </c>
      <c r="W412" s="15">
        <f>V412*0.2</f>
        <v/>
      </c>
      <c r="X412" s="21">
        <f>O412-Q412-R412-S412-U412-V412+T412+W412</f>
        <v/>
      </c>
      <c r="Y412" s="14" t="n"/>
      <c r="Z412" s="15">
        <f>O412+1.5</f>
        <v/>
      </c>
      <c r="AA412" s="15" t="n">
        <v>5.73</v>
      </c>
      <c r="AB412" s="15" t="n">
        <v>3050209</v>
      </c>
      <c r="AC412" s="14" t="n"/>
      <c r="AD412" s="14" t="n"/>
      <c r="AE412" s="13" t="inlineStr">
        <is>
          <t>NOT_UPLOADED</t>
        </is>
      </c>
    </row>
    <row r="413" ht="16" customHeight="1">
      <c r="A413" s="17" t="n">
        <v>3600522862390</v>
      </c>
      <c r="B413" s="17" t="n">
        <v>3600522862390</v>
      </c>
      <c r="C413" s="13" t="n"/>
      <c r="D413" s="18" t="n"/>
      <c r="E413" s="18" t="inlineStr">
        <is>
          <t>FOR-3600522862390</t>
        </is>
      </c>
      <c r="F413" s="17" t="inlineStr">
        <is>
          <t>L5014</t>
        </is>
      </c>
      <c r="G413" s="18" t="inlineStr">
        <is>
          <t>Fortuna</t>
        </is>
      </c>
      <c r="H413" s="18" t="inlineStr">
        <is>
          <t>Loreal</t>
        </is>
      </c>
      <c r="I413" s="18" t="inlineStr">
        <is>
          <t>L'Oréal Paris Make up, Flüssige Foundation mit Hyaluron und Aloe Vera, True Match Make-Up, 2.N Neutral Light</t>
        </is>
      </c>
      <c r="J413" s="18" t="inlineStr">
        <is>
          <t>No</t>
        </is>
      </c>
      <c r="K413" s="18" t="inlineStr">
        <is>
          <t>https://www.amazon.de/Oreal-Paris-True-Match-Foundation/dp/B0138MFOEI/ref=sr_1_1?__mk_de_DE=%C3%85M%C3%85%C5%BD%C3%95%C3%91&amp;crid=19PN4L7SGFLWY&amp;dib=eyJ2IjoiMSJ9.Zu5IROIdaN5sOukZZu_8uCeC-N3ficYHwXIctdVzl5t5seMzIMHjdb6uSqJ6ekLv.r7xaT3iKRX48fV6cE8C9sHvITuEg_MWhzBQhQMJ2Jic&amp;dib_tag=se&amp;keywords=3600522862390&amp;qid=1753274109&amp;rdc=1&amp;sprefix=3600522862390%2Caps%2C271&amp;sr=8-1&amp;th=1</t>
        </is>
      </c>
      <c r="L413" s="18" t="inlineStr">
        <is>
          <t>B0138MFOEI</t>
        </is>
      </c>
      <c r="M413" s="19" t="n">
        <v>19</v>
      </c>
      <c r="N413" s="19" t="n"/>
      <c r="O413" s="19" t="n">
        <v>18.8</v>
      </c>
      <c r="P413" s="19">
        <f>O413/1.19</f>
        <v/>
      </c>
      <c r="Q413" s="19">
        <f>O413-P413</f>
        <v/>
      </c>
      <c r="R413" s="19">
        <f>O413*0.15</f>
        <v/>
      </c>
      <c r="S413" s="19" t="n">
        <v>9.56</v>
      </c>
      <c r="T413" s="19">
        <f>S413*0.2</f>
        <v/>
      </c>
      <c r="U413" s="19" t="n">
        <v>0.400000000000002</v>
      </c>
      <c r="V413" s="19" t="n">
        <v>2.4</v>
      </c>
      <c r="W413" s="19">
        <f>V413*0.2</f>
        <v/>
      </c>
      <c r="X413" s="21">
        <f>O413-Q413-R413-S413-U413-V413+T413+W413</f>
        <v/>
      </c>
      <c r="Y413" s="18" t="n"/>
      <c r="Z413" s="19">
        <f>O413+1.5</f>
        <v/>
      </c>
      <c r="AA413" s="19" t="n">
        <v>8.06</v>
      </c>
      <c r="AB413" s="19" t="n"/>
      <c r="AC413" s="18" t="n"/>
      <c r="AD413" s="18" t="n"/>
      <c r="AE413" s="13" t="inlineStr">
        <is>
          <t>NOT_UPLOADED</t>
        </is>
      </c>
    </row>
    <row r="414" ht="16" customHeight="1">
      <c r="A414" s="12" t="n">
        <v>3600524031091</v>
      </c>
      <c r="B414" s="12" t="n">
        <v>3600524031091</v>
      </c>
      <c r="C414" s="13" t="n"/>
      <c r="D414" s="14" t="n"/>
      <c r="E414" s="14" t="inlineStr">
        <is>
          <t>FOR-3600524031091</t>
        </is>
      </c>
      <c r="F414" s="12" t="inlineStr">
        <is>
          <t>L2704</t>
        </is>
      </c>
      <c r="G414" s="14" t="inlineStr">
        <is>
          <t>Fortuna</t>
        </is>
      </c>
      <c r="H414" s="14" t="inlineStr">
        <is>
          <t>Loreal</t>
        </is>
      </c>
      <c r="I414" s="14" t="inlineStr">
        <is>
          <t>L'Oréal Paris Wimperntusche für geliftete Wimpern, 2-Schritt Mascara für einen Wimpern-Lifting-Effekt wie aus dem Salon, ProXXL Lift, Schwarz, 12 ml, 1 Stück</t>
        </is>
      </c>
      <c r="J414" s="14" t="inlineStr">
        <is>
          <t>No</t>
        </is>
      </c>
      <c r="K414" s="14" t="inlineStr">
        <is>
          <t>https://www.amazon.de/LOr%C3%A9al-Paris-Wimperntusche-geliftete-Wimpern-Lifting-Effekt/dp/B09XVMV2ZV/ref=sr_1_1?__mk_de_DE=%C3%85M%C3%85%C5%BD%C3%95%C3%91&amp;crid=1YQCNI3LXKMGZ&amp;dib=eyJ2IjoiMSJ9.uNLiHqb2msDT4yY2zGwe6TCui-3vsKDX6nkC-wLm6J4.tqwHvYA31uLEUi-6np9cDZjZ109oze-8B8r6Vk3gHcQ&amp;dib_tag=se&amp;keywords=3600524031091&amp;qid=1753361966&amp;sprefix=3600524031091%2Caps%2C230&amp;sr=8-1&amp;th=1</t>
        </is>
      </c>
      <c r="L414" s="14" t="inlineStr">
        <is>
          <t>B09XVMV2ZV</t>
        </is>
      </c>
      <c r="M414" s="15" t="n">
        <v>19.6</v>
      </c>
      <c r="N414" s="15" t="n"/>
      <c r="O414" s="15" t="n">
        <v>19.17</v>
      </c>
      <c r="P414" s="15">
        <f>O414/1.19</f>
        <v/>
      </c>
      <c r="Q414" s="15">
        <f>O414-P414</f>
        <v/>
      </c>
      <c r="R414" s="15">
        <f>O414*0.15</f>
        <v/>
      </c>
      <c r="S414" s="15" t="n">
        <v>10.6</v>
      </c>
      <c r="T414" s="15">
        <f>S414*0.2</f>
        <v/>
      </c>
      <c r="U414" s="15" t="n">
        <v>0.400000000000002</v>
      </c>
      <c r="V414" s="15" t="n">
        <v>2</v>
      </c>
      <c r="W414" s="15">
        <f>V414*0.2</f>
        <v/>
      </c>
      <c r="X414" s="21">
        <f>O414-Q414-R414-S414-U414-V414+T414+W414</f>
        <v/>
      </c>
      <c r="Y414" s="14" t="n"/>
      <c r="Z414" s="15">
        <f>O414+1.5</f>
        <v/>
      </c>
      <c r="AA414" s="15" t="n"/>
      <c r="AB414" s="15" t="n"/>
      <c r="AC414" s="14" t="n"/>
      <c r="AD414" s="14" t="n"/>
      <c r="AE414" s="13" t="inlineStr">
        <is>
          <t>NOT_UPLOADED</t>
        </is>
      </c>
    </row>
    <row r="415" ht="16" customHeight="1">
      <c r="A415" s="17" t="n">
        <v>3600524031091</v>
      </c>
      <c r="B415" s="17" t="n">
        <v>3600524031091</v>
      </c>
      <c r="C415" s="13" t="n"/>
      <c r="D415" s="18" t="n"/>
      <c r="E415" s="18" t="inlineStr">
        <is>
          <t>FOR-36005240310911</t>
        </is>
      </c>
      <c r="F415" s="17" t="inlineStr">
        <is>
          <t>L2704</t>
        </is>
      </c>
      <c r="G415" s="18" t="inlineStr">
        <is>
          <t>Fortuna</t>
        </is>
      </c>
      <c r="H415" s="18" t="inlineStr">
        <is>
          <t>Loreal</t>
        </is>
      </c>
      <c r="I415" s="18" t="inlineStr">
        <is>
          <t>L'OREAL PARIS Lift Mask XXL Lifting Effekt Mascara in 2 Schritten für mehr Wölbung und Dichte wie im Schönheitssalon, PRO XXL Lift, Schwarz, 1 Stück</t>
        </is>
      </c>
      <c r="J415" s="18" t="inlineStr">
        <is>
          <t>No</t>
        </is>
      </c>
      <c r="K415" s="18" t="inlineStr">
        <is>
          <t>https://www.amazon.de/Lifting-Mascara-Schritten-W%C3%B6lbung-Sch%C3%B6nheitssalon/dp/B0BC63WNJX/ref=sr_1_1?__mk_de_DE=%C3%85M%C3%85%C5%BD%C3%95%C3%91&amp;crid=1AH2WB08OF9FW&amp;dib=eyJ2IjoiMSJ9.n1iMVxlerCNN9kGNgpIytg.TWfeutz2o_tYB1LVMLYM-1361pVZqdQ_nb_fjA1nnBE&amp;dib_tag=se&amp;keywords=B0BC63WNJX&amp;qid=1753364851&amp;sprefix=b0bc63wnjx%2Caps%2C147&amp;sr=8-1</t>
        </is>
      </c>
      <c r="L415" s="18" t="inlineStr">
        <is>
          <t>B0BC63WNJX</t>
        </is>
      </c>
      <c r="M415" s="19" t="n"/>
      <c r="N415" s="19" t="n"/>
      <c r="O415" s="19" t="n">
        <v>19.17</v>
      </c>
      <c r="P415" s="19">
        <f>O415/1.19</f>
        <v/>
      </c>
      <c r="Q415" s="19">
        <f>O415-P415</f>
        <v/>
      </c>
      <c r="R415" s="19">
        <f>O415*0.15</f>
        <v/>
      </c>
      <c r="S415" s="19" t="n">
        <v>10.6</v>
      </c>
      <c r="T415" s="19">
        <f>S415*0.2</f>
        <v/>
      </c>
      <c r="U415" s="19" t="n">
        <v>0.400000000000002</v>
      </c>
      <c r="V415" s="19" t="n">
        <v>2</v>
      </c>
      <c r="W415" s="19">
        <f>V415*0.2</f>
        <v/>
      </c>
      <c r="X415" s="21">
        <f>O415-Q415-R415-S415-U415-V415+T415+W415</f>
        <v/>
      </c>
      <c r="Y415" s="18" t="n"/>
      <c r="Z415" s="19">
        <f>O415+1.5</f>
        <v/>
      </c>
      <c r="AA415" s="19" t="n"/>
      <c r="AB415" s="19" t="n"/>
      <c r="AC415" s="18" t="n"/>
      <c r="AD415" s="18" t="n"/>
      <c r="AE415" s="13" t="inlineStr">
        <is>
          <t>NOT_UPLOADED</t>
        </is>
      </c>
    </row>
    <row r="416" ht="16" customHeight="1">
      <c r="A416" s="12" t="n">
        <v>3600524031107</v>
      </c>
      <c r="B416" s="12" t="n">
        <v>3600524031107</v>
      </c>
      <c r="C416" s="13" t="n"/>
      <c r="D416" s="14" t="n"/>
      <c r="E416" s="14" t="inlineStr">
        <is>
          <t>FOR-3600524031107</t>
        </is>
      </c>
      <c r="F416" s="12" t="inlineStr">
        <is>
          <t>L2705</t>
        </is>
      </c>
      <c r="G416" s="14" t="inlineStr">
        <is>
          <t>Fortuna</t>
        </is>
      </c>
      <c r="H416" s="14" t="inlineStr">
        <is>
          <t>Loreal</t>
        </is>
      </c>
      <c r="I416" s="14" t="inlineStr">
        <is>
          <t>L'Oréal Paris Wimperntusche für verlängerte Wimpern, 2-Schritt Mascara für einen sichtbaren Wimpern-Lifting Effekt wie aus dem Salon, ProXXL Extension, Schwarz, 12 ml, 1 Stück</t>
        </is>
      </c>
      <c r="J416" s="14" t="inlineStr">
        <is>
          <t>No</t>
        </is>
      </c>
      <c r="K416" s="14" t="inlineStr">
        <is>
          <t>https://www.amazon.de/LOr%C3%A9al-Paris-Wimperntusche-verl%C3%A4ngerte-Wimpern-Lifting/dp/B09XVRCXPP/ref=sr_1_1?__mk_de_DE=%C3%85M%C3%85%C5%BD%C3%95%C3%91&amp;crid=23L9C5VIP1RQX&amp;dib=eyJ2IjoiMSJ9.vc2h-SrJ3Ea9pcjyRtq66GR4-PPL8SGPWgd7IejB8Gw.oh8FZJ0eXoTcaAhoaYGRvHGJfJRO6o35VDbbYjsgrPM&amp;dib_tag=se&amp;keywords=3600524031107&amp;qid=1753365150&amp;sprefix=3600524031107%2Caps%2C104&amp;sr=8-1&amp;th=1</t>
        </is>
      </c>
      <c r="L416" s="14" t="inlineStr">
        <is>
          <t>B09XVRCXPP</t>
        </is>
      </c>
      <c r="M416" s="15" t="n">
        <v>19.6</v>
      </c>
      <c r="N416" s="15" t="n"/>
      <c r="O416" s="15" t="n">
        <v>19.17</v>
      </c>
      <c r="P416" s="15">
        <f>O416/1.19</f>
        <v/>
      </c>
      <c r="Q416" s="15">
        <f>O416-P416</f>
        <v/>
      </c>
      <c r="R416" s="15">
        <f>O416*0.15</f>
        <v/>
      </c>
      <c r="S416" s="15" t="n">
        <v>11.86</v>
      </c>
      <c r="T416" s="15">
        <f>S416*0.2</f>
        <v/>
      </c>
      <c r="U416" s="15" t="n">
        <v>0.400000000000002</v>
      </c>
      <c r="V416" s="15" t="n">
        <v>2</v>
      </c>
      <c r="W416" s="15">
        <f>V416*0.2</f>
        <v/>
      </c>
      <c r="X416" s="16">
        <f>O416-Q416-R416-S416-U416-V416+T416+W416</f>
        <v/>
      </c>
      <c r="Y416" s="14" t="n"/>
      <c r="Z416" s="15">
        <f>O416+1.5</f>
        <v/>
      </c>
      <c r="AA416" s="15" t="n"/>
      <c r="AB416" s="15" t="n"/>
      <c r="AC416" s="14" t="n"/>
      <c r="AD416" s="14" t="n"/>
      <c r="AE416" s="13" t="inlineStr">
        <is>
          <t>NOT_UPLOADED</t>
        </is>
      </c>
    </row>
    <row r="417" ht="16" customHeight="1">
      <c r="A417" s="17" t="n">
        <v>3600524031107</v>
      </c>
      <c r="B417" s="17" t="n">
        <v>3600524031107</v>
      </c>
      <c r="C417" s="20" t="inlineStr">
        <is>
          <t>PACK X 2</t>
        </is>
      </c>
      <c r="D417" s="18" t="n"/>
      <c r="E417" s="18" t="inlineStr">
        <is>
          <t>FOR-36005240311071</t>
        </is>
      </c>
      <c r="F417" s="17" t="inlineStr">
        <is>
          <t>L2705</t>
        </is>
      </c>
      <c r="G417" s="18" t="inlineStr">
        <is>
          <t>Fortuna</t>
        </is>
      </c>
      <c r="H417" s="18" t="inlineStr">
        <is>
          <t>Loreal</t>
        </is>
      </c>
      <c r="I417" s="18" t="inlineStr">
        <is>
          <t>L'Oréal Paris Xtension XXL Mascara für ein Wimpernverlängerungsergebnis, 2-Stufen-Maske für lange und dicke Wimpern wie im Schönheitssalon, PRO XXL Xtension, schwarz, 1 Stück</t>
        </is>
      </c>
      <c r="J417" s="18" t="inlineStr">
        <is>
          <t>No</t>
        </is>
      </c>
      <c r="K417" s="18" t="inlineStr">
        <is>
          <t>https://www.amazon.de/LOr%C3%A9al-Paris-Wimpernverl%C3%A4ngerungsergebnis-2-Stufen-Maske-Sch%C3%B6nheitssalon/dp/B0BC65K76G/ref=sr_1_2?__mk_de_DE=%C3%85M%C3%85%C5%BD%C3%95%C3%91&amp;crid=23L9C5VIP1RQX&amp;dib=eyJ2IjoiMSJ9.vc2h-SrJ3Ea9pcjyRtq66GR4-PPL8SGPWgd7IejB8Gw.oh8FZJ0eXoTcaAhoaYGRvHGJfJRO6o35VDbbYjsgrPM&amp;dib_tag=se&amp;keywords=3600524031107&amp;qid=1753365150&amp;sprefix=3600524031107%2Caps%2C104&amp;sr=8-2</t>
        </is>
      </c>
      <c r="L417" s="18" t="inlineStr">
        <is>
          <t>B0BC65K76G</t>
        </is>
      </c>
      <c r="M417" s="19" t="n">
        <v>21.52</v>
      </c>
      <c r="N417" s="19" t="n"/>
      <c r="O417" s="19" t="n">
        <v>20.57</v>
      </c>
      <c r="P417" s="19">
        <f>O417/1.19</f>
        <v/>
      </c>
      <c r="Q417" s="19">
        <f>O417-P417</f>
        <v/>
      </c>
      <c r="R417" s="19">
        <f>O417*0.15</f>
        <v/>
      </c>
      <c r="S417" s="19" t="n">
        <v>9.9</v>
      </c>
      <c r="T417" s="19">
        <f>S417*0.2</f>
        <v/>
      </c>
      <c r="U417" s="19" t="n">
        <v>0.400000000000002</v>
      </c>
      <c r="V417" s="19" t="n">
        <v>2</v>
      </c>
      <c r="W417" s="19">
        <f>V417*0.2</f>
        <v/>
      </c>
      <c r="X417" s="21">
        <f>O417-Q417-R417-S417-U417-V417+T417+W417</f>
        <v/>
      </c>
      <c r="Y417" s="18" t="n"/>
      <c r="Z417" s="19">
        <f>O417+1.5</f>
        <v/>
      </c>
      <c r="AA417" s="19" t="n"/>
      <c r="AB417" s="19" t="n"/>
      <c r="AC417" s="18" t="n"/>
      <c r="AD417" s="18" t="n"/>
      <c r="AE417" s="13" t="inlineStr">
        <is>
          <t>NOT_UPLOADED</t>
        </is>
      </c>
    </row>
    <row r="418" ht="16" customHeight="1">
      <c r="A418" s="12" t="n">
        <v>3600524031138</v>
      </c>
      <c r="B418" s="12" t="n">
        <v>3600524031138</v>
      </c>
      <c r="C418" s="13" t="n"/>
      <c r="D418" s="14" t="n"/>
      <c r="E418" s="14" t="inlineStr">
        <is>
          <t>FOR-3600524031138</t>
        </is>
      </c>
      <c r="F418" s="12" t="inlineStr">
        <is>
          <t>L2706</t>
        </is>
      </c>
      <c r="G418" s="14" t="inlineStr">
        <is>
          <t>Fortuna</t>
        </is>
      </c>
      <c r="H418" s="14" t="inlineStr">
        <is>
          <t>Loreal</t>
        </is>
      </c>
      <c r="I418" s="14" t="inlineStr">
        <is>
          <t>L'Oréal Paris Wimperntusche für voluminöse Wimpern, 2-Schritt Mascara für einen sofortigen Volumen-Effekt wie aus dem Salon, ProXXL Volume, Schwarz, 12 ml, 1 Stück</t>
        </is>
      </c>
      <c r="J418" s="14" t="inlineStr">
        <is>
          <t>No</t>
        </is>
      </c>
      <c r="K418" s="14" t="inlineStr">
        <is>
          <t>https://www.amazon.de/LOr%C3%A9al-Paris-Wimperntusche-volumin%C3%B6se-Volumen-Effekt/dp/B09XVMV632/ref=sr_1_1?__mk_de_DE=%C3%85M%C3%85%C5%BD%C3%95%C3%91&amp;crid=100RMVU385XDM&amp;dib=eyJ2IjoiMSJ9.tPNosD1x49jl-vHW3F-XftO5g3CnkkGS8vnfBXaKxj4.V17M83xwL1v8W4FOSXYaha-iER8Gmf1mHwuW89ASB3M&amp;dib_tag=se&amp;keywords=3600524031138&amp;qid=1753429884&amp;rdc=1&amp;sprefix=3600524031138%2Caps%2C100&amp;sr=8-1&amp;th=1</t>
        </is>
      </c>
      <c r="L418" s="14" t="inlineStr">
        <is>
          <t>B09XVMV632</t>
        </is>
      </c>
      <c r="M418" s="15" t="n">
        <v>19.6</v>
      </c>
      <c r="N418" s="15" t="n"/>
      <c r="O418" s="15" t="n">
        <v>18.99</v>
      </c>
      <c r="P418" s="15">
        <f>O418/1.19</f>
        <v/>
      </c>
      <c r="Q418" s="15">
        <f>O418-P418</f>
        <v/>
      </c>
      <c r="R418" s="15">
        <f>O418*0.15</f>
        <v/>
      </c>
      <c r="S418" s="15" t="n">
        <v>9.9</v>
      </c>
      <c r="T418" s="15">
        <f>S418*0.2</f>
        <v/>
      </c>
      <c r="U418" s="15" t="n">
        <v>0.400000000000002</v>
      </c>
      <c r="V418" s="15" t="n">
        <v>2.05</v>
      </c>
      <c r="W418" s="15">
        <f>V418*0.2</f>
        <v/>
      </c>
      <c r="X418" s="21">
        <f>O418-Q418-R418-S418-U418-V418+T418+W418</f>
        <v/>
      </c>
      <c r="Y418" s="14" t="n"/>
      <c r="Z418" s="15">
        <f>O418+1.5</f>
        <v/>
      </c>
      <c r="AA418" s="15" t="n"/>
      <c r="AB418" s="15" t="n"/>
      <c r="AC418" s="14" t="n"/>
      <c r="AD418" s="14" t="n"/>
      <c r="AE418" s="13" t="inlineStr">
        <is>
          <t>NOT_UPLOADED</t>
        </is>
      </c>
    </row>
    <row r="419" ht="16" customHeight="1">
      <c r="A419" s="17" t="n">
        <v>3600524031138</v>
      </c>
      <c r="B419" s="17" t="n">
        <v>3600524031138</v>
      </c>
      <c r="C419" s="13" t="n"/>
      <c r="D419" s="18" t="n"/>
      <c r="E419" s="18" t="inlineStr">
        <is>
          <t>FOR-36005240311381</t>
        </is>
      </c>
      <c r="F419" s="17" t="inlineStr">
        <is>
          <t>L2706</t>
        </is>
      </c>
      <c r="G419" s="18" t="inlineStr">
        <is>
          <t>Fortuna</t>
        </is>
      </c>
      <c r="H419" s="18" t="inlineStr">
        <is>
          <t>Loreal</t>
        </is>
      </c>
      <c r="I419" s="18" t="inlineStr">
        <is>
          <t>L'Oréal Paris Mascara Volume XXL für voluminöse Wimpern, Mascara in 2 Schritten für kräftige und dichte Wimpern wie im Schönheitssalon, PRO XXL Volume, schwarz, 1 Stück</t>
        </is>
      </c>
      <c r="J419" s="18" t="inlineStr">
        <is>
          <t>No</t>
        </is>
      </c>
      <c r="K419" s="18" t="inlineStr">
        <is>
          <t>https://www.amazon.de/Mascara-volumin%C3%B6se-Schritten-kr%C3%A4ftige-Sch%C3%B6nheitssalon/dp/B0BC5YX5DJ/ref=sr_1_2?__mk_de_DE=%C3%85M%C3%85%C5%BD%C3%95%C3%91&amp;crid=100RMVU385XDM&amp;dib=eyJ2IjoiMSJ9.tPNosD1x49jl-vHW3F-XftO5g3CnkkGS8vnfBXaKxj4.V17M83xwL1v8W4FOSXYaha-iER8Gmf1mHwuW89ASB3M&amp;dib_tag=se&amp;keywords=3600524031138&amp;qid=1753429884&amp;sprefix=3600524031138%2Caps%2C100&amp;sr=8-2</t>
        </is>
      </c>
      <c r="L419" s="18" t="inlineStr">
        <is>
          <t>B0BC5YX5DJ</t>
        </is>
      </c>
      <c r="M419" s="19" t="n">
        <v>21.58</v>
      </c>
      <c r="N419" s="19" t="n"/>
      <c r="O419" s="19" t="n">
        <v>20.5</v>
      </c>
      <c r="P419" s="19">
        <f>O419/1.19</f>
        <v/>
      </c>
      <c r="Q419" s="19">
        <f>O419-P419</f>
        <v/>
      </c>
      <c r="R419" s="19">
        <f>O419*0.15</f>
        <v/>
      </c>
      <c r="S419" s="19" t="n">
        <v>9.9</v>
      </c>
      <c r="T419" s="19">
        <f>S419*0.2</f>
        <v/>
      </c>
      <c r="U419" s="19" t="n">
        <v>0.400000000000002</v>
      </c>
      <c r="V419" s="19" t="n">
        <v>2</v>
      </c>
      <c r="W419" s="19">
        <f>V419*0.2</f>
        <v/>
      </c>
      <c r="X419" s="21">
        <f>O419-Q419-R419-S419-U419-V419+T419+W419</f>
        <v/>
      </c>
      <c r="Y419" s="18" t="n"/>
      <c r="Z419" s="19">
        <f>O419+1.5</f>
        <v/>
      </c>
      <c r="AA419" s="19" t="n"/>
      <c r="AB419" s="19" t="n"/>
      <c r="AC419" s="18" t="n"/>
      <c r="AD419" s="18" t="n"/>
      <c r="AE419" s="13" t="inlineStr">
        <is>
          <t>NOT_UPLOADED</t>
        </is>
      </c>
    </row>
    <row r="420" ht="16" customHeight="1">
      <c r="A420" s="12" t="n">
        <v>30152540</v>
      </c>
      <c r="B420" s="12" t="n">
        <v>30152540</v>
      </c>
      <c r="C420" s="13" t="n"/>
      <c r="D420" s="14" t="n"/>
      <c r="E420" s="14" t="inlineStr">
        <is>
          <t>FOR-000030152540</t>
        </is>
      </c>
      <c r="F420" s="12" t="inlineStr">
        <is>
          <t>L2707</t>
        </is>
      </c>
      <c r="G420" s="14" t="inlineStr">
        <is>
          <t>Fortuna</t>
        </is>
      </c>
      <c r="H420" s="14" t="inlineStr">
        <is>
          <t>Loreal</t>
        </is>
      </c>
      <c r="I420" s="14" t="inlineStr">
        <is>
          <t>L'Oréal Paris Telescopic Lift Mascara, Langanhaltendes Lifting bis zu 36 Stunden, Sichtbar mehr Wimpernlänge, Kein Verklumpen, kein Verschmieren &amp; kein Krümeln, Telescopic Lift, Schwarz</t>
        </is>
      </c>
      <c r="J420" s="14" t="inlineStr">
        <is>
          <t>No</t>
        </is>
      </c>
      <c r="K420" s="14" t="inlineStr">
        <is>
          <t>https://www.amazon.de/LOr%C3%A9al-Paris-Telescopic-Lift-Langanhaltendes/dp/B0BG685LD4/ref=sr_1_1?__mk_de_DE=%C3%85M%C3%85%C5%BD%C3%95%C3%91&amp;crid=BD1SDGX7M7MW&amp;dib=eyJ2IjoiMSJ9.NFZpLxiJZ5iO7neWVFqIR9K_iKcSq8J_s4U_7DqPQBY.x_PYTvuNkXkViEGKQx7uwmB-5ih-tikWr3L03LarIMg&amp;dib_tag=se&amp;keywords=000030152540&amp;qid=1753430497&amp;sprefix=000030152540%2Caps%2C85&amp;sr=8-1&amp;th=1</t>
        </is>
      </c>
      <c r="L420" s="14" t="inlineStr">
        <is>
          <t>B0BG685LD4</t>
        </is>
      </c>
      <c r="M420" s="15" t="n">
        <v>17.5</v>
      </c>
      <c r="N420" s="15" t="n"/>
      <c r="O420" s="15" t="n">
        <v>16.99</v>
      </c>
      <c r="P420" s="15">
        <f>O420/1.19</f>
        <v/>
      </c>
      <c r="Q420" s="15">
        <f>O420-P420</f>
        <v/>
      </c>
      <c r="R420" s="15">
        <f>O420*0.15</f>
        <v/>
      </c>
      <c r="S420" s="15" t="n">
        <v>9.17</v>
      </c>
      <c r="T420" s="15">
        <f>S420*0.2</f>
        <v/>
      </c>
      <c r="U420" s="15" t="n">
        <v>0.400000000000002</v>
      </c>
      <c r="V420" s="15" t="n">
        <v>2</v>
      </c>
      <c r="W420" s="15">
        <f>V420*0.2</f>
        <v/>
      </c>
      <c r="X420" s="21">
        <f>O420-Q420-R420-S420-U420-V420+T420+W420</f>
        <v/>
      </c>
      <c r="Y420" s="14" t="n"/>
      <c r="Z420" s="15">
        <f>O420+1.5</f>
        <v/>
      </c>
      <c r="AA420" s="15" t="n"/>
      <c r="AB420" s="15" t="n"/>
      <c r="AC420" s="14" t="n"/>
      <c r="AD420" s="14" t="n"/>
      <c r="AE420" s="13" t="inlineStr">
        <is>
          <t>NOT_UPLOADED</t>
        </is>
      </c>
    </row>
    <row r="421" ht="16" customHeight="1">
      <c r="A421" s="17" t="n">
        <v>3600520881799</v>
      </c>
      <c r="B421" s="17" t="n">
        <v>3600520881799</v>
      </c>
      <c r="C421" s="13" t="n"/>
      <c r="D421" s="18" t="n"/>
      <c r="E421" s="18" t="inlineStr">
        <is>
          <t>FOR-3600520881799</t>
        </is>
      </c>
      <c r="F421" s="17" t="inlineStr">
        <is>
          <t>L2708</t>
        </is>
      </c>
      <c r="G421" s="18" t="inlineStr">
        <is>
          <t>Fortuna</t>
        </is>
      </c>
      <c r="H421" s="18" t="inlineStr">
        <is>
          <t>Loreal</t>
        </is>
      </c>
      <c r="I421" s="18" t="inlineStr">
        <is>
          <t>L'Oréal Paris Schwarze Wimperntusche für präzise getrennte Wimpern mit teleskopischer Länge, False Lash Telescopic Gold Mascara, Schwarz, 1 x 8 ml</t>
        </is>
      </c>
      <c r="J421" s="18" t="inlineStr">
        <is>
          <t>No</t>
        </is>
      </c>
      <c r="K421" s="18" t="inlineStr">
        <is>
          <t>https://www.amazon.de/L%C3%82%C2%B4Oreal-Paris-Mascara-Telescopic-Black/dp/B0078MF1PC/ref=sr_1_1?__mk_de_DE=%C3%85M%C3%85%C5%BD%C3%95%C3%91&amp;crid=3IAQIPZQJ3F1O&amp;dib=eyJ2IjoiMSJ9.81Y9O8_nFUWYfPo5nhLztA.YT0oRV3Pxm_q28tdL3mmwRuMj4sOqqsrVCFO160cpeA&amp;dib_tag=se&amp;keywords=3600520881799&amp;qid=1753431021&amp;rdc=1&amp;sprefix=3600520881799%2Caps%2C235&amp;sr=8-1&amp;th=1</t>
        </is>
      </c>
      <c r="L421" s="18" t="inlineStr">
        <is>
          <t>B0078MF1PC</t>
        </is>
      </c>
      <c r="M421" s="19" t="n">
        <v>16.9</v>
      </c>
      <c r="N421" s="19" t="n"/>
      <c r="O421" s="19" t="n">
        <v>15.9</v>
      </c>
      <c r="P421" s="19">
        <f>O421/1.19</f>
        <v/>
      </c>
      <c r="Q421" s="19">
        <f>O421-P421</f>
        <v/>
      </c>
      <c r="R421" s="19">
        <f>O421*0.15</f>
        <v/>
      </c>
      <c r="S421" s="19" t="n">
        <v>8.24</v>
      </c>
      <c r="T421" s="19">
        <f>S421*0.2</f>
        <v/>
      </c>
      <c r="U421" s="19" t="n">
        <v>0.400000000000002</v>
      </c>
      <c r="V421" s="19" t="n">
        <v>2</v>
      </c>
      <c r="W421" s="19">
        <f>V421*0.2</f>
        <v/>
      </c>
      <c r="X421" s="21">
        <f>O421-Q421-R421-S421-U421-V421+T421+W421</f>
        <v/>
      </c>
      <c r="Y421" s="18" t="n"/>
      <c r="Z421" s="19">
        <f>O421+1.5</f>
        <v/>
      </c>
      <c r="AA421" s="19" t="n"/>
      <c r="AB421" s="19" t="n"/>
      <c r="AC421" s="18" t="n"/>
      <c r="AD421" s="18" t="n"/>
      <c r="AE421" s="13" t="inlineStr">
        <is>
          <t>NOT_UPLOADED</t>
        </is>
      </c>
    </row>
    <row r="422" ht="16" customHeight="1">
      <c r="A422" s="12" t="n">
        <v>3600520882093</v>
      </c>
      <c r="B422" s="12" t="n">
        <v>3600520881799</v>
      </c>
      <c r="C422" s="13" t="n"/>
      <c r="D422" s="14" t="n"/>
      <c r="E422" s="14" t="inlineStr">
        <is>
          <t>FOR-3600520882093</t>
        </is>
      </c>
      <c r="F422" s="12" t="inlineStr">
        <is>
          <t>L2708</t>
        </is>
      </c>
      <c r="G422" s="14" t="inlineStr">
        <is>
          <t>Fortuna</t>
        </is>
      </c>
      <c r="H422" s="14" t="inlineStr">
        <is>
          <t>Loreal</t>
        </is>
      </c>
      <c r="I422" s="14" t="inlineStr">
        <is>
          <t>L'Oréal Paris Mascara, ausziehbar, teleskopisch</t>
        </is>
      </c>
      <c r="J422" s="14" t="inlineStr">
        <is>
          <t>No</t>
        </is>
      </c>
      <c r="K422" s="14" t="inlineStr">
        <is>
          <t>https://www.amazon.de/Or%C3%A9al-Paris-Mascara-Verl%C3%A4ngerung-Telescopic/dp/B006OO5DGW/ref=sr_1_1?__mk_de_DE=%C3%85M%C3%85%C5%BD%C3%95%C3%91&amp;crid=10MBFRQNWA7W2&amp;dib=eyJ2IjoiMSJ9.TEYVWsoZwRvX8PyP-BZcaw.CxlX53BNtuv2C9mIr75TIJLZmYmP1oVHRg2-GzZ5t-A&amp;dib_tag=se&amp;keywords=B006OO5DGW&amp;qid=1753431599&amp;sprefix=b006oo5dgw%2Caps%2C278&amp;sr=8-1&amp;th=1</t>
        </is>
      </c>
      <c r="L422" s="14" t="inlineStr">
        <is>
          <t>B006OO5DGW</t>
        </is>
      </c>
      <c r="M422" s="15" t="n"/>
      <c r="N422" s="15" t="n"/>
      <c r="O422" s="15" t="n">
        <v>16.37</v>
      </c>
      <c r="P422" s="15">
        <f>O422/1.19</f>
        <v/>
      </c>
      <c r="Q422" s="15">
        <f>O422-P422</f>
        <v/>
      </c>
      <c r="R422" s="15">
        <f>O422*0.15</f>
        <v/>
      </c>
      <c r="S422" s="15" t="n">
        <v>8.82</v>
      </c>
      <c r="T422" s="15">
        <f>S422*0.2</f>
        <v/>
      </c>
      <c r="U422" s="15" t="n">
        <v>0.400000000000002</v>
      </c>
      <c r="V422" s="15" t="n">
        <v>2</v>
      </c>
      <c r="W422" s="15">
        <f>V422*0.2</f>
        <v/>
      </c>
      <c r="X422" s="21">
        <f>O422-Q422-R422-S422-U422-V422+T422+W422</f>
        <v/>
      </c>
      <c r="Y422" s="14" t="n"/>
      <c r="Z422" s="15">
        <f>O422+1.5</f>
        <v/>
      </c>
      <c r="AA422" s="15" t="n"/>
      <c r="AB422" s="15" t="n"/>
      <c r="AC422" s="14" t="n"/>
      <c r="AD422" s="14" t="n"/>
      <c r="AE422" s="13" t="inlineStr">
        <is>
          <t>NOT_UPLOADED</t>
        </is>
      </c>
    </row>
    <row r="423" ht="16" customHeight="1">
      <c r="A423" s="17" t="n">
        <v>3600521018149</v>
      </c>
      <c r="B423" s="17" t="n">
        <v>3600521018149</v>
      </c>
      <c r="C423" s="13" t="n"/>
      <c r="D423" s="18" t="n"/>
      <c r="E423" s="18" t="inlineStr">
        <is>
          <t>FOR-3600521018149</t>
        </is>
      </c>
      <c r="F423" s="17" t="inlineStr">
        <is>
          <t>L2709</t>
        </is>
      </c>
      <c r="G423" s="18" t="inlineStr">
        <is>
          <t>Fortuna</t>
        </is>
      </c>
      <c r="H423" s="18" t="inlineStr">
        <is>
          <t>Loreal</t>
        </is>
      </c>
      <c r="I423" s="18" t="inlineStr">
        <is>
          <t>L'Oréal Paris Mascara, Schwarze Wimperntusche für 5x mehr Volumen und kräftige Wimpern, Voluminous, Nr. 00 Extra Black, 1 x 7,5 ml</t>
        </is>
      </c>
      <c r="J423" s="18" t="inlineStr">
        <is>
          <t>No</t>
        </is>
      </c>
      <c r="K423" s="18" t="inlineStr">
        <is>
          <t>https://www.amazon.de/LOr%C3%A9al-Paris-Voluminous-Mascara-tiefschwarz/dp/B000OVWFEO/ref=sr_1_1?__mk_de_DE=%C3%85M%C3%85%C5%BD%C3%95%C3%91&amp;crid=1E2O9G95MB40A&amp;dib=eyJ2IjoiMSJ9.tRpClCr-Zhv_JiAGe0yJqGwGdN6cyTKm0AbfH4t7RfzGjHj071QN20LucGBJIEps.LF41feFlyuS9eBchgqKAE1YTa5MC5EqHMHdS8CQ_io0&amp;dib_tag=se&amp;keywords=3600521018149&amp;qid=1753432662&amp;sprefix=3600521018149%2Caps%2C131&amp;sr=8-1&amp;th=1</t>
        </is>
      </c>
      <c r="L423" s="18" t="inlineStr">
        <is>
          <t>B000OVWFEO</t>
        </is>
      </c>
      <c r="M423" s="19" t="n">
        <v>12.8</v>
      </c>
      <c r="N423" s="19" t="n"/>
      <c r="O423" s="19" t="n">
        <v>12.77</v>
      </c>
      <c r="P423" s="19">
        <f>O423/1.19</f>
        <v/>
      </c>
      <c r="Q423" s="19">
        <f>O423-P423</f>
        <v/>
      </c>
      <c r="R423" s="19">
        <f>O423*0.15</f>
        <v/>
      </c>
      <c r="S423" s="19" t="n">
        <v>6</v>
      </c>
      <c r="T423" s="19">
        <f>S423*0.2</f>
        <v/>
      </c>
      <c r="U423" s="19" t="n">
        <v>0.400000000000002</v>
      </c>
      <c r="V423" s="19" t="n">
        <v>2</v>
      </c>
      <c r="W423" s="19">
        <f>V423*0.2</f>
        <v/>
      </c>
      <c r="X423" s="21">
        <f>O423-Q423-R423-S423-U423-V423+T423+W423</f>
        <v/>
      </c>
      <c r="Y423" s="18" t="n"/>
      <c r="Z423" s="19">
        <f>O423+1.5</f>
        <v/>
      </c>
      <c r="AA423" s="19" t="n"/>
      <c r="AB423" s="19" t="n"/>
      <c r="AC423" s="18" t="n"/>
      <c r="AD423" s="18" t="n"/>
      <c r="AE423" s="13" t="inlineStr">
        <is>
          <t>NOT_UPLOADED</t>
        </is>
      </c>
    </row>
    <row r="424" ht="16" customHeight="1">
      <c r="A424" s="12" t="n">
        <v>30147485</v>
      </c>
      <c r="B424" s="12" t="n">
        <v>30147485</v>
      </c>
      <c r="C424" s="13" t="n"/>
      <c r="D424" s="14" t="n"/>
      <c r="E424" s="14" t="inlineStr">
        <is>
          <t>FOR-0000030147485</t>
        </is>
      </c>
      <c r="F424" s="12" t="inlineStr">
        <is>
          <t>L2711</t>
        </is>
      </c>
      <c r="G424" s="14" t="inlineStr">
        <is>
          <t>Fortuna</t>
        </is>
      </c>
      <c r="H424" s="14" t="inlineStr">
        <is>
          <t>Loreal</t>
        </is>
      </c>
      <c r="I424" s="14" t="inlineStr">
        <is>
          <t>L'Oréal Paris Telescopic Lift Mascara, Langanhaltendes Lifting bis zu 36 Stunden, Sichtbar mehr Wimpernlänge, Kein Verklumpen, kein Verschmieren &amp; kein Krümeln, Telescopic Lift, Extra Black</t>
        </is>
      </c>
      <c r="J424" s="14" t="inlineStr">
        <is>
          <t>No</t>
        </is>
      </c>
      <c r="K424" s="14" t="inlineStr">
        <is>
          <t>https://www.amazon.de/LOr%C3%A9al-Paris-Langanhaltendes-Wimpernl%C3%A4nge-Verschmieren/dp/B0BWRTJLZ1/ref=sr_1_1?__mk_de_DE=%C3%85M%C3%85%C5%BD%C3%95%C3%91&amp;crid=1A0G10LLBY1MH&amp;dib=eyJ2IjoiMSJ9.Z5X7W6TJuVGAi-bfcLz__w.3xqb6Lrku1s8zcV1WZtbvbF5OGVc-sTOJdlE0xqHWMk&amp;dib_tag=se&amp;keywords=000030147485&amp;qid=1753434250&amp;rdc=1&amp;sprefix=000030147485%2Caps%2C86&amp;sr=8-1&amp;th=1</t>
        </is>
      </c>
      <c r="L424" s="14" t="inlineStr">
        <is>
          <t>B0BWRTJLZ1</t>
        </is>
      </c>
      <c r="M424" s="15" t="n">
        <v>17.5</v>
      </c>
      <c r="N424" s="15" t="n"/>
      <c r="O424" s="15" t="n">
        <v>17.19</v>
      </c>
      <c r="P424" s="15">
        <f>O424/1.19</f>
        <v/>
      </c>
      <c r="Q424" s="15">
        <f>O424-P424</f>
        <v/>
      </c>
      <c r="R424" s="15">
        <f>O424*0.15</f>
        <v/>
      </c>
      <c r="S424" s="15" t="n">
        <v>9.17</v>
      </c>
      <c r="T424" s="15">
        <f>S424*0.2</f>
        <v/>
      </c>
      <c r="U424" s="15" t="n">
        <v>0.400000000000002</v>
      </c>
      <c r="V424" s="15" t="n">
        <v>2</v>
      </c>
      <c r="W424" s="15">
        <f>V424*0.2</f>
        <v/>
      </c>
      <c r="X424" s="21">
        <f>O424-Q424-R424-S424-U424-V424+T424+W424</f>
        <v/>
      </c>
      <c r="Y424" s="14" t="n"/>
      <c r="Z424" s="15">
        <f>O424+1.5</f>
        <v/>
      </c>
      <c r="AA424" s="15" t="n"/>
      <c r="AB424" s="15" t="n"/>
      <c r="AC424" s="14" t="n"/>
      <c r="AD424" s="14" t="n"/>
      <c r="AE424" s="13" t="inlineStr">
        <is>
          <t>NOT_UPLOADED</t>
        </is>
      </c>
    </row>
    <row r="425" ht="16" customHeight="1">
      <c r="A425" s="17" t="n">
        <v>30189010</v>
      </c>
      <c r="B425" s="17" t="n">
        <v>30189010</v>
      </c>
      <c r="C425" s="13" t="n"/>
      <c r="D425" s="18" t="n"/>
      <c r="E425" s="18" t="inlineStr">
        <is>
          <t>FOR-0000030189010</t>
        </is>
      </c>
      <c r="F425" s="17" t="inlineStr">
        <is>
          <t>L2712</t>
        </is>
      </c>
      <c r="G425" s="18" t="inlineStr">
        <is>
          <t>Fortuna</t>
        </is>
      </c>
      <c r="H425" s="18" t="inlineStr">
        <is>
          <t>Loreal</t>
        </is>
      </c>
      <c r="I425" s="18" t="inlineStr">
        <is>
          <t>L'Oréal Paris Mascara, Wimperntusche für extra Definition und extra Volumen, Mit Panorama-Bürste und Panorama Effekt, All Night Black (Schwarz)</t>
        </is>
      </c>
      <c r="J425" s="18" t="inlineStr">
        <is>
          <t>No</t>
        </is>
      </c>
      <c r="K425" s="18" t="inlineStr">
        <is>
          <t>https://www.amazon.de/LOr%C3%A9al-Paris-Wimperntusche-Definition-Panorama-B%C3%BCrste/dp/B0DHCZP2S1/ref=sr_1_1?__mk_de_DE=%C3%85M%C3%85%C5%BD%C3%95%C3%91&amp;crid=2FOEDXNFLOXIW&amp;dib=eyJ2IjoiMSJ9.tDSZjLE_YCROXTkd6CDERg.FqCYQlgbHjEuPzMOTG6wo5yBBZU988j9pXWjsQPSsxU&amp;dib_tag=se&amp;keywords=000030189010&amp;qid=1753439308&amp;sprefix=000030189010%2Caps%2C103&amp;sr=8-1&amp;th=1</t>
        </is>
      </c>
      <c r="L425" s="18" t="inlineStr">
        <is>
          <t>B0DHCZP2S1</t>
        </is>
      </c>
      <c r="M425" s="19" t="n">
        <v>17.5</v>
      </c>
      <c r="N425" s="19" t="n"/>
      <c r="O425" s="19" t="n">
        <v>17.37</v>
      </c>
      <c r="P425" s="19">
        <f>O425/1.19</f>
        <v/>
      </c>
      <c r="Q425" s="19">
        <f>O425-P425</f>
        <v/>
      </c>
      <c r="R425" s="19">
        <f>O425*0.15</f>
        <v/>
      </c>
      <c r="S425" s="19" t="n">
        <v>9.17</v>
      </c>
      <c r="T425" s="19">
        <f>S425*0.2</f>
        <v/>
      </c>
      <c r="U425" s="19" t="n">
        <v>0.400000000000002</v>
      </c>
      <c r="V425" s="19" t="n">
        <v>2</v>
      </c>
      <c r="W425" s="19">
        <f>V425*0.2</f>
        <v/>
      </c>
      <c r="X425" s="21">
        <f>O425-Q425-R425-S425-U425-V425+T425+W425</f>
        <v/>
      </c>
      <c r="Y425" s="18" t="n"/>
      <c r="Z425" s="19">
        <f>O425+1.5</f>
        <v/>
      </c>
      <c r="AA425" s="19" t="n"/>
      <c r="AB425" s="19" t="n"/>
      <c r="AC425" s="18" t="n"/>
      <c r="AD425" s="18" t="n"/>
      <c r="AE425" s="13" t="inlineStr">
        <is>
          <t>NOT_UPLOADED</t>
        </is>
      </c>
    </row>
    <row r="426" ht="16" customHeight="1">
      <c r="A426" s="12" t="n">
        <v>30149649</v>
      </c>
      <c r="B426" s="12" t="n">
        <v>30149649</v>
      </c>
      <c r="C426" s="13" t="n"/>
      <c r="D426" s="14" t="n"/>
      <c r="E426" s="14" t="inlineStr">
        <is>
          <t>FOR- 000030149649</t>
        </is>
      </c>
      <c r="F426" s="12" t="inlineStr">
        <is>
          <t>L2713</t>
        </is>
      </c>
      <c r="G426" s="14" t="inlineStr">
        <is>
          <t>Fortuna</t>
        </is>
      </c>
      <c r="H426" s="14" t="inlineStr">
        <is>
          <t>Loreal</t>
        </is>
      </c>
      <c r="I426" s="14" t="inlineStr">
        <is>
          <t>L'Oréal Paris Mascara, Wimperntusche für extra Definition und extra Volumen, Mit Panorama-Bürste und Panorama Effekt, Volume Million Lashes, Black (Schwarz), 1 x 10,5 ml</t>
        </is>
      </c>
      <c r="J426" s="14" t="inlineStr">
        <is>
          <t>No</t>
        </is>
      </c>
      <c r="K426" s="14" t="inlineStr">
        <is>
          <t>https://www.amazon.de/LOr%C3%A9al-Paris-Wimperntusche-Definition-Panorama-B%C3%BCrste/dp/B0CJ5GW8RY/ref=sr_1_1?__mk_de_DE=%C3%85M%C3%85%C5%BD%C3%95%C3%91&amp;crid=1JNLN7E6YX6GO&amp;dib=eyJ2IjoiMSJ9.eV4uaeEWjSsg0c3i2sh7a0h5t21MkMmDiIzbgG9_Oak.fStuL4D2QDCxqIDtRuiBzmAHPXYWWaG0wbCfzJqMz_o&amp;dib_tag=se&amp;keywords=000030149649&amp;qid=1753440042&amp;sprefix=000030149649%2Caps%2C133&amp;sr=8-1&amp;th=1</t>
        </is>
      </c>
      <c r="L426" s="14" t="inlineStr">
        <is>
          <t>B0CJ5GW8RY</t>
        </is>
      </c>
      <c r="M426" s="15" t="n">
        <v>17.5</v>
      </c>
      <c r="N426" s="15" t="n"/>
      <c r="O426" s="15" t="n">
        <v>16.35</v>
      </c>
      <c r="P426" s="15">
        <f>O426/1.19</f>
        <v/>
      </c>
      <c r="Q426" s="15">
        <f>O426-P426</f>
        <v/>
      </c>
      <c r="R426" s="15">
        <f>O426*0.15</f>
        <v/>
      </c>
      <c r="S426" s="15" t="n">
        <v>8.91</v>
      </c>
      <c r="T426" s="15">
        <f>S426*0.2</f>
        <v/>
      </c>
      <c r="U426" s="15" t="n">
        <v>0.400000000000002</v>
      </c>
      <c r="V426" s="15" t="n">
        <v>2</v>
      </c>
      <c r="W426" s="15">
        <f>V426*0.2</f>
        <v/>
      </c>
      <c r="X426" s="21">
        <f>O426-Q426-R426-S426-U426-V426+T426+W426</f>
        <v/>
      </c>
      <c r="Y426" s="14" t="n"/>
      <c r="Z426" s="15">
        <f>O426+1.5</f>
        <v/>
      </c>
      <c r="AA426" s="15" t="n">
        <v>7.45</v>
      </c>
      <c r="AB426" s="15" t="n"/>
      <c r="AC426" s="14" t="n"/>
      <c r="AD426" s="14" t="n"/>
      <c r="AE426" s="13" t="inlineStr">
        <is>
          <t>NOT_UPLOADED</t>
        </is>
      </c>
    </row>
    <row r="427" ht="16" customHeight="1">
      <c r="A427" s="17" t="n">
        <v>3600522428657</v>
      </c>
      <c r="B427" s="17" t="n">
        <v>30149649</v>
      </c>
      <c r="C427" s="20" t="inlineStr">
        <is>
          <t>PACK X 2</t>
        </is>
      </c>
      <c r="D427" s="18" t="n"/>
      <c r="E427" s="18" t="inlineStr">
        <is>
          <t>FOR- 3600522428657</t>
        </is>
      </c>
      <c r="F427" s="17" t="inlineStr">
        <is>
          <t>L2713</t>
        </is>
      </c>
      <c r="G427" s="18" t="inlineStr">
        <is>
          <t>Fortuna</t>
        </is>
      </c>
      <c r="H427" s="18" t="inlineStr">
        <is>
          <t>Loreal</t>
        </is>
      </c>
      <c r="I427" s="18" t="inlineStr">
        <is>
          <t>L'OREAL PARIS Panorama Volumizing Mascara Farbe Schwarz mit komplexem Stretchflex-Komplex, erweiterter Blickeffekt, ohne Klumpen, geeignet für empfindliche Augen - 2 Mascara</t>
        </is>
      </c>
      <c r="J427" s="18" t="inlineStr">
        <is>
          <t>No</t>
        </is>
      </c>
      <c r="K427" s="18" t="inlineStr">
        <is>
          <t>https://www.amazon.de/LOREAL-PARIS-Stretchflex-Komplex-erweiterter-empfindliche/dp/B0CV1FC3XC/ref=sr_1_1?__mk_de_DE=%C3%85M%C3%85%C5%BD%C3%95%C3%91&amp;crid=K85KPIIIA2MT&amp;dib=eyJ2IjoiMSJ9.F3yxMdwNuARxqYp2Im8YKg.Hqtjh6MqetCpG1K8PBbAAKO5vHyKZZCjazCucqsin18&amp;dib_tag=se&amp;keywords=B0CV1FC3XC&amp;qid=1753440664&amp;sprefix=b0cv1fc3xc%2Caps%2C149&amp;sr=8-1&amp;th=1</t>
        </is>
      </c>
      <c r="L427" s="18" t="inlineStr">
        <is>
          <t>B0CV1FC3XC</t>
        </is>
      </c>
      <c r="M427" s="19" t="n">
        <v>23</v>
      </c>
      <c r="N427" s="19" t="n"/>
      <c r="O427" s="19" t="n">
        <v>29.99</v>
      </c>
      <c r="P427" s="19">
        <f>O427/1.19</f>
        <v/>
      </c>
      <c r="Q427" s="19">
        <f>O427-P427</f>
        <v/>
      </c>
      <c r="R427" s="19">
        <f>O427*0.15</f>
        <v/>
      </c>
      <c r="S427" s="19" t="n">
        <v>17.82</v>
      </c>
      <c r="T427" s="19">
        <f>S427*0.2</f>
        <v/>
      </c>
      <c r="U427" s="19" t="n">
        <v>0.400000000000002</v>
      </c>
      <c r="V427" s="19" t="n">
        <v>2</v>
      </c>
      <c r="W427" s="19">
        <f>V427*0.2</f>
        <v/>
      </c>
      <c r="X427" s="21">
        <f>O427-Q427-R427-S427-U427-V427+T427+W427</f>
        <v/>
      </c>
      <c r="Y427" s="18" t="n"/>
      <c r="Z427" s="19">
        <f>O427+1.5</f>
        <v/>
      </c>
      <c r="AA427" s="19" t="n"/>
      <c r="AB427" s="19" t="n"/>
      <c r="AC427" s="18" t="n"/>
      <c r="AD427" s="18" t="n"/>
      <c r="AE427" s="13" t="inlineStr">
        <is>
          <t>NOT_UPLOADED</t>
        </is>
      </c>
    </row>
    <row r="428" ht="16" customHeight="1">
      <c r="A428" s="12" t="n">
        <v>8710678298235</v>
      </c>
      <c r="B428" s="12" t="n">
        <v>3600521821152</v>
      </c>
      <c r="C428" s="13" t="n"/>
      <c r="D428" s="14" t="n"/>
      <c r="E428" s="14" t="inlineStr">
        <is>
          <t>FOR-8710678298235</t>
        </is>
      </c>
      <c r="F428" s="12" t="inlineStr">
        <is>
          <t>L2715</t>
        </is>
      </c>
      <c r="G428" s="14" t="inlineStr">
        <is>
          <t>Fortuna</t>
        </is>
      </c>
      <c r="H428" s="14" t="inlineStr">
        <is>
          <t>Loreal</t>
        </is>
      </c>
      <c r="I428" s="14" t="inlineStr">
        <is>
          <t>L'Oréal Paris Mascara, Wimperntusche für extra Definition und extra Volumen, Volume Million Lashes, Black (Schwarz), 1 x 10,7 ml</t>
        </is>
      </c>
      <c r="J428" s="14" t="inlineStr">
        <is>
          <t>No</t>
        </is>
      </c>
      <c r="K428" s="14" t="inlineStr">
        <is>
          <t>https://www.amazon.de/LOr%C3%A9al-Paris-Million-Wimpern-Multiplizier-System-sichtbar/dp/B003DKJGO0/ref=sr_1_1?__mk_de_DE=%C3%85M%C3%85%C5%BD%C3%95%C3%91&amp;crid=18G958NFIF799&amp;dib=eyJ2IjoiMSJ9.woVNzMXd0DLQ-PIwfafhr4uMdukOM9iwlvhT2qE_XEGGPDHn33n_bfKRiRe4wyRGLDCVK3NPn25hTsY0BndowQ.HOLTQUFNoEkgGRStgRDjuk824m6CstzE3cZB9lfzNdA&amp;dib_tag=se&amp;keywords=3600521821152&amp;qid=1753454438&amp;s=beauty&amp;sprefix=3600521821152%2Cbeauty%2C135&amp;sr=1-1&amp;th=1</t>
        </is>
      </c>
      <c r="L428" s="14" t="inlineStr">
        <is>
          <t>B003DKJGO0</t>
        </is>
      </c>
      <c r="M428" s="15" t="n">
        <v>16.5</v>
      </c>
      <c r="N428" s="15" t="n"/>
      <c r="O428" s="15" t="n">
        <v>16.17</v>
      </c>
      <c r="P428" s="15">
        <f>O428/1.19</f>
        <v/>
      </c>
      <c r="Q428" s="15">
        <f>O428-P428</f>
        <v/>
      </c>
      <c r="R428" s="15">
        <f>O428*0.15</f>
        <v/>
      </c>
      <c r="S428" s="15" t="n">
        <v>8.470000000000001</v>
      </c>
      <c r="T428" s="15">
        <f>S428*0.2</f>
        <v/>
      </c>
      <c r="U428" s="15" t="n">
        <v>0.400000000000002</v>
      </c>
      <c r="V428" s="15" t="n">
        <v>2</v>
      </c>
      <c r="W428" s="15">
        <f>V428*0.2</f>
        <v/>
      </c>
      <c r="X428" s="21">
        <f>O428-Q428-R428-S428-U428-V428+T428+W428</f>
        <v/>
      </c>
      <c r="Y428" s="14" t="n"/>
      <c r="Z428" s="15">
        <f>O428+1.5</f>
        <v/>
      </c>
      <c r="AA428" s="15" t="n"/>
      <c r="AB428" s="15" t="n"/>
      <c r="AC428" s="14" t="n"/>
      <c r="AD428" s="14" t="n"/>
      <c r="AE428" s="13" t="inlineStr">
        <is>
          <t>NOT_UPLOADED</t>
        </is>
      </c>
    </row>
    <row r="429" ht="16" customHeight="1">
      <c r="A429" s="17" t="n">
        <v>3600521821152</v>
      </c>
      <c r="B429" s="17" t="n">
        <v>3600521821152</v>
      </c>
      <c r="C429" s="13" t="n"/>
      <c r="D429" s="18" t="n"/>
      <c r="E429" s="18" t="inlineStr">
        <is>
          <t>FOR-3600521821152</t>
        </is>
      </c>
      <c r="F429" s="17" t="inlineStr">
        <is>
          <t>L2715</t>
        </is>
      </c>
      <c r="G429" s="18" t="inlineStr">
        <is>
          <t>Fortuna</t>
        </is>
      </c>
      <c r="H429" s="18" t="inlineStr">
        <is>
          <t>Loreal</t>
        </is>
      </c>
      <c r="I429" s="18" t="inlineStr">
        <is>
          <t>L'Oréal Paris Voluminöse Millionen Wimpern</t>
        </is>
      </c>
      <c r="J429" s="18" t="inlineStr">
        <is>
          <t>No</t>
        </is>
      </c>
      <c r="K429" s="18" t="inlineStr">
        <is>
          <t>https://www.amazon.de/LOreal-Make-Up-S0531620-Volumin%C3%B6se/dp/B079C6VPVW/ref=sr_1_2?__mk_de_DE=%C3%85M%C3%85%C5%BD%C3%95%C3%91&amp;crid=18G958NFIF799&amp;dib=eyJ2IjoiMSJ9.woVNzMXd0DLQ-PIwfafhr4uMdukOM9iwlvhT2qE_XEGGPDHn33n_bfKRiRe4wyRGLDCVK3NPn25hTsY0BndowQ.HOLTQUFNoEkgGRStgRDjuk824m6CstzE3cZB9lfzNdA&amp;dib_tag=se&amp;keywords=3600521821152&amp;qid=1753454438&amp;s=beauty&amp;sprefix=3600521821152%2Cbeauty%2C135&amp;sr=1-2</t>
        </is>
      </c>
      <c r="L429" s="18" t="inlineStr">
        <is>
          <t>B079C6VPVW</t>
        </is>
      </c>
      <c r="M429" s="19" t="n"/>
      <c r="N429" s="19" t="n"/>
      <c r="O429" s="19" t="n">
        <v>17.47</v>
      </c>
      <c r="P429" s="19">
        <f>O429/1.19</f>
        <v/>
      </c>
      <c r="Q429" s="19">
        <f>O429-P429</f>
        <v/>
      </c>
      <c r="R429" s="19">
        <f>O429*0.15</f>
        <v/>
      </c>
      <c r="S429" s="19" t="n">
        <v>8.470000000000001</v>
      </c>
      <c r="T429" s="19">
        <f>S429*0.2</f>
        <v/>
      </c>
      <c r="U429" s="19" t="n">
        <v>0.400000000000002</v>
      </c>
      <c r="V429" s="19" t="n">
        <v>2</v>
      </c>
      <c r="W429" s="19">
        <f>V429*0.2</f>
        <v/>
      </c>
      <c r="X429" s="21">
        <f>O429-Q429-R429-S429-U429-V429+T429+W429</f>
        <v/>
      </c>
      <c r="Y429" s="18" t="n"/>
      <c r="Z429" s="19">
        <f>O429+1.5</f>
        <v/>
      </c>
      <c r="AA429" s="19" t="n"/>
      <c r="AB429" s="19" t="n"/>
      <c r="AC429" s="18" t="n"/>
      <c r="AD429" s="18" t="n"/>
      <c r="AE429" s="13" t="inlineStr">
        <is>
          <t>NOT_UPLOADED</t>
        </is>
      </c>
    </row>
    <row r="430" ht="16" customHeight="1">
      <c r="A430" s="12" t="n">
        <v>8005610527710</v>
      </c>
      <c r="B430" s="12" t="n">
        <v>3600521821152</v>
      </c>
      <c r="C430" s="13" t="n"/>
      <c r="D430" s="14" t="n"/>
      <c r="E430" s="14" t="inlineStr">
        <is>
          <t>FOR-8005610527710</t>
        </is>
      </c>
      <c r="F430" s="12" t="inlineStr">
        <is>
          <t>L2715</t>
        </is>
      </c>
      <c r="G430" s="14" t="inlineStr">
        <is>
          <t>Fortuna</t>
        </is>
      </c>
      <c r="H430" s="14" t="inlineStr">
        <is>
          <t>Loreal</t>
        </is>
      </c>
      <c r="I430" s="14" t="inlineStr">
        <is>
          <t>L'Oréal Paris Volume Million Lashes Mascara, schwarz - Wimperntusche für extra Definition und extra Volumen - 1er Pack (1 x 9 ml)</t>
        </is>
      </c>
      <c r="J430" s="14" t="inlineStr">
        <is>
          <t>No</t>
        </is>
      </c>
      <c r="K430" s="14" t="inlineStr">
        <is>
          <t>https://www.amazon.de/ZZZ_LOreal-Mascara-Million-Lashes-Preis/dp/B016WOGVMS/ref=sr_1_3?__mk_de_DE=%C3%85M%C3%85%C5%BD%C3%95%C3%91&amp;crid=18G958NFIF799&amp;dib=eyJ2IjoiMSJ9.woVNzMXd0DLQ-PIwfafhr4uMdukOM9iwlvhT2qE_XEGGPDHn33n_bfKRiRe4wyRGLDCVK3NPn25hTsY0BndowQ.HOLTQUFNoEkgGRStgRDjuk824m6CstzE3cZB9lfzNdA&amp;dib_tag=se&amp;keywords=3600521821152&amp;qid=1753454438&amp;s=beauty&amp;sprefix=3600521821152%2Cbeauty%2C135&amp;sr=1-3</t>
        </is>
      </c>
      <c r="L430" s="14" t="inlineStr">
        <is>
          <t>B016WOGVMS</t>
        </is>
      </c>
      <c r="M430" s="15" t="n"/>
      <c r="N430" s="15" t="n"/>
      <c r="O430" s="15" t="n">
        <v>17.47</v>
      </c>
      <c r="P430" s="15">
        <f>O430/1.19</f>
        <v/>
      </c>
      <c r="Q430" s="15">
        <f>O430-P430</f>
        <v/>
      </c>
      <c r="R430" s="15">
        <f>O430*0.15</f>
        <v/>
      </c>
      <c r="S430" s="15" t="n">
        <v>8.470000000000001</v>
      </c>
      <c r="T430" s="15">
        <f>S430*0.2</f>
        <v/>
      </c>
      <c r="U430" s="15" t="n">
        <v>0.400000000000002</v>
      </c>
      <c r="V430" s="15" t="n">
        <v>2</v>
      </c>
      <c r="W430" s="15">
        <f>V430*0.2</f>
        <v/>
      </c>
      <c r="X430" s="21">
        <f>O430-Q430-R430-S430-U430-V430+T430+W430</f>
        <v/>
      </c>
      <c r="Y430" s="14" t="n"/>
      <c r="Z430" s="15">
        <f>O430+1.5</f>
        <v/>
      </c>
      <c r="AA430" s="15" t="n"/>
      <c r="AB430" s="15" t="n"/>
      <c r="AC430" s="14" t="n"/>
      <c r="AD430" s="14" t="n"/>
      <c r="AE430" s="13" t="inlineStr">
        <is>
          <t>NOT_UPLOADED</t>
        </is>
      </c>
    </row>
    <row r="431" ht="16" customHeight="1">
      <c r="A431" s="17" t="n">
        <v>3600521821152</v>
      </c>
      <c r="B431" s="17" t="n">
        <v>3600521821152</v>
      </c>
      <c r="C431" s="13" t="n"/>
      <c r="D431" s="18" t="n"/>
      <c r="E431" s="18" t="inlineStr">
        <is>
          <t>FOR-36005218211521</t>
        </is>
      </c>
      <c r="F431" s="17" t="inlineStr">
        <is>
          <t>L2715</t>
        </is>
      </c>
      <c r="G431" s="18" t="inlineStr">
        <is>
          <t>Fortuna</t>
        </is>
      </c>
      <c r="H431" s="18" t="inlineStr">
        <is>
          <t>Loreal</t>
        </is>
      </c>
      <c r="I431" s="18" t="inlineStr">
        <is>
          <t>L'Oréal Paris Volume Million Lashes Mascara schwarz, 9 ml</t>
        </is>
      </c>
      <c r="J431" s="18" t="inlineStr">
        <is>
          <t>No</t>
        </is>
      </c>
      <c r="K431" s="18" t="inlineStr">
        <is>
          <t>https://www.amazon.de/Mascara-Coll-1000-Lashes-01/dp/B06XRH4C15/ref=sr_1_4?__mk_de_DE=%C3%85M%C3%85%C5%BD%C3%95%C3%91&amp;crid=18G958NFIF799&amp;dib=eyJ2IjoiMSJ9.woVNzMXd0DLQ-PIwfafhr4uMdukOM9iwlvhT2qE_XEGGPDHn33n_bfKRiRe4wyRGLDCVK3NPn25hTsY0BndowQ.HOLTQUFNoEkgGRStgRDjuk824m6CstzE3cZB9lfzNdA&amp;dib_tag=se&amp;keywords=3600521821152&amp;qid=1753454438&amp;s=beauty&amp;sprefix=3600521821152%2Cbeauty%2C135&amp;sr=1-4</t>
        </is>
      </c>
      <c r="L431" s="18" t="inlineStr">
        <is>
          <t>B06XRH4C15</t>
        </is>
      </c>
      <c r="M431" s="19" t="n"/>
      <c r="N431" s="19" t="n"/>
      <c r="O431" s="19" t="n">
        <v>17.77</v>
      </c>
      <c r="P431" s="19">
        <f>O431/1.19</f>
        <v/>
      </c>
      <c r="Q431" s="19">
        <f>O431-P431</f>
        <v/>
      </c>
      <c r="R431" s="19">
        <f>O431*0.15</f>
        <v/>
      </c>
      <c r="S431" s="19" t="n">
        <v>8.470000000000001</v>
      </c>
      <c r="T431" s="19">
        <f>S431*0.2</f>
        <v/>
      </c>
      <c r="U431" s="19" t="n">
        <v>0.400000000000002</v>
      </c>
      <c r="V431" s="19" t="n">
        <v>2</v>
      </c>
      <c r="W431" s="19">
        <f>V431*0.2</f>
        <v/>
      </c>
      <c r="X431" s="21">
        <f>O431-Q431-R431-S431-U431-V431+T431+W431</f>
        <v/>
      </c>
      <c r="Y431" s="18" t="n"/>
      <c r="Z431" s="19">
        <f>O431+1.5</f>
        <v/>
      </c>
      <c r="AA431" s="19" t="n"/>
      <c r="AB431" s="19" t="n"/>
      <c r="AC431" s="18" t="n"/>
      <c r="AD431" s="18" t="n"/>
      <c r="AE431" s="13" t="inlineStr">
        <is>
          <t>NOT_UPLOADED</t>
        </is>
      </c>
    </row>
    <row r="432" ht="16" customHeight="1">
      <c r="A432" s="12" t="n">
        <v>3600521893500</v>
      </c>
      <c r="B432" s="12" t="n">
        <v>3600521893500</v>
      </c>
      <c r="C432" s="13" t="n"/>
      <c r="D432" s="14" t="n"/>
      <c r="E432" s="14" t="inlineStr">
        <is>
          <t>FOR-3600521893500</t>
        </is>
      </c>
      <c r="F432" s="12" t="inlineStr">
        <is>
          <t>L2716</t>
        </is>
      </c>
      <c r="G432" s="14" t="inlineStr">
        <is>
          <t>Fortuna</t>
        </is>
      </c>
      <c r="H432" s="14" t="inlineStr">
        <is>
          <t>Loreal</t>
        </is>
      </c>
      <c r="I432" s="14" t="inlineStr">
        <is>
          <t>L'Oreal Paris Volume Million Lashes Fatale Mascara</t>
        </is>
      </c>
      <c r="J432" s="14" t="inlineStr">
        <is>
          <t>No</t>
        </is>
      </c>
      <c r="K432" s="14" t="inlineStr">
        <is>
          <t>https://www.amazon.de/LOr%C3%A9al-Paris-Million-Lashes-Extra-Black/dp/B0044WOFQK/ref=sr_1_1?__mk_de_DE=%C3%85M%C3%85%C5%BD%C3%95%C3%91&amp;crid=2GHHLZ3TJHZFZ&amp;dib=eyJ2IjoiMSJ9.Gd1ciuBOChpayd_3NmLHVVViBs460gEQBs3cKCbPDTXmYpA24N23AtkPa9Ek5fQnklIPmWJ5ujGKkxjzvCnNrQ.JrGlCQVSa0domY9gFb6HPsaWCY2G2dMAsPL0E2033lw&amp;dib_tag=se&amp;keywords=3600521893500&amp;qid=1753525191&amp;rdc=1&amp;s=beauty&amp;sprefix=3600521893500%2Cbeauty%2C110&amp;sr=1-1&amp;th=1</t>
        </is>
      </c>
      <c r="L432" s="14" t="inlineStr">
        <is>
          <t>B0044WOFQK</t>
        </is>
      </c>
      <c r="M432" s="15" t="n">
        <v>16.4</v>
      </c>
      <c r="N432" s="15" t="n"/>
      <c r="O432" s="15" t="n">
        <v>16.17</v>
      </c>
      <c r="P432" s="15">
        <f>O432/1.19</f>
        <v/>
      </c>
      <c r="Q432" s="15">
        <f>O432-P432</f>
        <v/>
      </c>
      <c r="R432" s="15">
        <f>O432*0.15</f>
        <v/>
      </c>
      <c r="S432" s="15" t="n">
        <v>8.470000000000001</v>
      </c>
      <c r="T432" s="15">
        <f>S432*0.2</f>
        <v/>
      </c>
      <c r="U432" s="15" t="n">
        <v>0.400000000000002</v>
      </c>
      <c r="V432" s="15" t="n">
        <v>2</v>
      </c>
      <c r="W432" s="15">
        <f>V432*0.2</f>
        <v/>
      </c>
      <c r="X432" s="21">
        <f>O432-Q432-R432-S432-U432-V432+T432+W432</f>
        <v/>
      </c>
      <c r="Y432" s="14" t="n"/>
      <c r="Z432" s="15">
        <f>O432+1.5</f>
        <v/>
      </c>
      <c r="AA432" s="15" t="n"/>
      <c r="AB432" s="15" t="n"/>
      <c r="AC432" s="14" t="n"/>
      <c r="AD432" s="14" t="n"/>
      <c r="AE432" s="13" t="inlineStr">
        <is>
          <t>NOT_UPLOADED</t>
        </is>
      </c>
    </row>
    <row r="433" ht="16" customHeight="1">
      <c r="A433" s="17" t="n">
        <v>3600521893500</v>
      </c>
      <c r="B433" s="17" t="n">
        <v>3600521893500</v>
      </c>
      <c r="C433" s="13" t="n"/>
      <c r="D433" s="18" t="n"/>
      <c r="E433" s="18" t="inlineStr">
        <is>
          <t>FOR- 36005218935001</t>
        </is>
      </c>
      <c r="F433" s="17" t="inlineStr">
        <is>
          <t>L2716</t>
        </is>
      </c>
      <c r="G433" s="18" t="inlineStr">
        <is>
          <t>Fortuna</t>
        </is>
      </c>
      <c r="H433" s="18" t="inlineStr">
        <is>
          <t>Loreal</t>
        </is>
      </c>
      <c r="I433" s="18" t="inlineStr">
        <is>
          <t>L'Oréal Paris Volume Million Lashes Extra Black Mascara, schwarz - Wimperntusche für extra Definition und extra Volumen in tiefem Schwarz- 1er Pack (1 x 10.7 ml)</t>
        </is>
      </c>
      <c r="J433" s="18" t="inlineStr">
        <is>
          <t>No</t>
        </is>
      </c>
      <c r="K433" s="18" t="inlineStr">
        <is>
          <t>https://www.amazon.de/Wimperntusche-Million-LOreal-Make-Up/dp/B016WOGIDA/ref=sr_1_1?__mk_de_DE=%C3%85M%C3%85%C5%BD%C3%95%C3%91&amp;crid=SSVJDGUHTC2&amp;dib=eyJ2IjoiMSJ9.1HKSHmQm3WTbA0vDxP5okA.cH4obGa6PyBg2NOS8WwkiZt-xHoSx9zFA9PpPXtdJdM&amp;dib_tag=se&amp;keywords=B016WOGIDA&amp;qid=1753526101&amp;s=beauty&amp;sprefix=b016wogida%2Cbeauty%2C154&amp;sr=1-1</t>
        </is>
      </c>
      <c r="L433" s="18" t="inlineStr">
        <is>
          <t>B016WOGIDA</t>
        </is>
      </c>
      <c r="M433" s="19" t="n"/>
      <c r="N433" s="19" t="n"/>
      <c r="O433" s="19" t="n">
        <v>16.17</v>
      </c>
      <c r="P433" s="19">
        <f>O433/1.19</f>
        <v/>
      </c>
      <c r="Q433" s="19">
        <f>O433-P433</f>
        <v/>
      </c>
      <c r="R433" s="19">
        <f>O433*0.15</f>
        <v/>
      </c>
      <c r="S433" s="19" t="n">
        <v>8.470000000000001</v>
      </c>
      <c r="T433" s="19">
        <f>S433*0.2</f>
        <v/>
      </c>
      <c r="U433" s="19" t="n">
        <v>0.400000000000002</v>
      </c>
      <c r="V433" s="19" t="n">
        <v>2</v>
      </c>
      <c r="W433" s="19">
        <f>V433*0.2</f>
        <v/>
      </c>
      <c r="X433" s="21">
        <f>O433-Q433-R433-S433-U433-V433+T433+W433</f>
        <v/>
      </c>
      <c r="Y433" s="18" t="n"/>
      <c r="Z433" s="19">
        <f>O433+1.5</f>
        <v/>
      </c>
      <c r="AA433" s="19" t="n"/>
      <c r="AB433" s="19" t="n"/>
      <c r="AC433" s="18" t="n"/>
      <c r="AD433" s="18" t="n"/>
      <c r="AE433" s="13" t="inlineStr">
        <is>
          <t>NOT_UPLOADED</t>
        </is>
      </c>
    </row>
    <row r="434" ht="16" customHeight="1">
      <c r="A434" s="12" t="n">
        <v>30188358</v>
      </c>
      <c r="B434" s="12" t="n">
        <v>30188358</v>
      </c>
      <c r="C434" s="13" t="n"/>
      <c r="D434" s="14" t="n"/>
      <c r="E434" s="14" t="inlineStr">
        <is>
          <t>FOR-0000030188358</t>
        </is>
      </c>
      <c r="F434" s="12" t="inlineStr">
        <is>
          <t>L2719</t>
        </is>
      </c>
      <c r="G434" s="14" t="inlineStr">
        <is>
          <t>Fortuna</t>
        </is>
      </c>
      <c r="H434" s="14" t="inlineStr">
        <is>
          <t>Loreal</t>
        </is>
      </c>
      <c r="I434" s="14" t="inlineStr">
        <is>
          <t>L’Oréal Paris Paradise Big Deal Waterproof Mascara Schwarz für endlos lange Wimpern und Volumen, 9.9 ml</t>
        </is>
      </c>
      <c r="J434" s="14" t="inlineStr">
        <is>
          <t>No</t>
        </is>
      </c>
      <c r="K434" s="14" t="inlineStr">
        <is>
          <t>https://www.amazon.de/LOr%C3%A9al-Paris-Paradise-Waterproof-Mascara/dp/B0DHCXKVPX/ref=sr_1_1?dib=eyJ2IjoiMSJ9.TuzFmC7Q4OxQnNTLA2rZzw.g1qpKBuWoyN-B0nIoZB1AnrznfIrgiBTskPiOqf9iy4&amp;dib_tag=se&amp;keywords=000030188358&amp;qid=1753526336&amp;sr=8-1</t>
        </is>
      </c>
      <c r="L434" s="14" t="inlineStr">
        <is>
          <t>B0DHCXKVPX</t>
        </is>
      </c>
      <c r="M434" s="15" t="n">
        <v>17.9</v>
      </c>
      <c r="N434" s="15" t="n"/>
      <c r="O434" s="15" t="n">
        <v>16.7</v>
      </c>
      <c r="P434" s="15">
        <f>O434/1.19</f>
        <v/>
      </c>
      <c r="Q434" s="15">
        <f>O434-P434</f>
        <v/>
      </c>
      <c r="R434" s="15">
        <f>O434*0.15</f>
        <v/>
      </c>
      <c r="S434" s="15" t="n">
        <v>9.18</v>
      </c>
      <c r="T434" s="15">
        <f>S434*0.2</f>
        <v/>
      </c>
      <c r="U434" s="15" t="n">
        <v>0.400000000000002</v>
      </c>
      <c r="V434" s="15" t="n">
        <v>2.05</v>
      </c>
      <c r="W434" s="15">
        <f>V434*0.2</f>
        <v/>
      </c>
      <c r="X434" s="21">
        <f>O434-Q434-R434-S434-U434-V434+T434+W434</f>
        <v/>
      </c>
      <c r="Y434" s="14" t="n"/>
      <c r="Z434" s="15">
        <f>O434+1.5</f>
        <v/>
      </c>
      <c r="AA434" s="15" t="n"/>
      <c r="AB434" s="15" t="n"/>
      <c r="AC434" s="14" t="n"/>
      <c r="AD434" s="14" t="n"/>
      <c r="AE434" s="13" t="inlineStr">
        <is>
          <t>NOT_UPLOADED</t>
        </is>
      </c>
    </row>
    <row r="435" ht="16" customHeight="1">
      <c r="A435" s="17" t="n">
        <v>30189096</v>
      </c>
      <c r="B435" s="17" t="n">
        <v>30189096</v>
      </c>
      <c r="C435" s="13" t="n"/>
      <c r="D435" s="18" t="n"/>
      <c r="E435" s="18" t="inlineStr">
        <is>
          <t>FOR-0000030189096</t>
        </is>
      </c>
      <c r="F435" s="17" t="inlineStr">
        <is>
          <t>L2720</t>
        </is>
      </c>
      <c r="G435" s="18" t="inlineStr">
        <is>
          <t>Fortuna</t>
        </is>
      </c>
      <c r="H435" s="18" t="inlineStr">
        <is>
          <t>Loreal</t>
        </is>
      </c>
      <c r="I435" s="18" t="inlineStr">
        <is>
          <t>L'Oréal Paris Paradise Big Deal Mascara Washable, Schwarze Wimpertusche für endlos lange Wimpern und gleichmäßiges Volumen, Kein Verklumpen oder verkleben &amp; Wischfest, Für empfindliche Augen, 9,9ml</t>
        </is>
      </c>
      <c r="J435" s="18" t="inlineStr">
        <is>
          <t>No</t>
        </is>
      </c>
      <c r="K435" s="18" t="inlineStr">
        <is>
          <t>https://www.amazon.de/LOr%C3%A9al-Paris-Wimpertusche-gleichm%C3%A4%C3%9Figes-empfindliche/dp/B0DHCYVSHG/ref=sr_1_1?dib=eyJ2IjoiMSJ9.W7zeQ1cM3Y3hoQmqv3hJDa7qmtEhqe1h2q_zCKscKCHGjHj071QN20LucGBJIEps.Qxwz67EPhcmqxmTCgZJpRYY49xGthO5FWXUKfDLJhSQ&amp;dib_tag=se&amp;keywords=000030189096&amp;qid=1753537793&amp;sr=8-1&amp;th=1</t>
        </is>
      </c>
      <c r="L435" s="18" t="inlineStr">
        <is>
          <t>B0DHCYVSHG</t>
        </is>
      </c>
      <c r="M435" s="19" t="n">
        <v>17.5</v>
      </c>
      <c r="N435" s="19" t="n"/>
      <c r="O435" s="19" t="n">
        <v>16.99</v>
      </c>
      <c r="P435" s="19">
        <f>O435/1.19</f>
        <v/>
      </c>
      <c r="Q435" s="19">
        <f>O435-P435</f>
        <v/>
      </c>
      <c r="R435" s="19">
        <f>O435*0.15</f>
        <v/>
      </c>
      <c r="S435" s="19" t="n">
        <v>9.18</v>
      </c>
      <c r="T435" s="19">
        <f>S435*0.2</f>
        <v/>
      </c>
      <c r="U435" s="19" t="n">
        <v>0.400000000000002</v>
      </c>
      <c r="V435" s="19" t="n">
        <v>2</v>
      </c>
      <c r="W435" s="19">
        <f>V435*0.2</f>
        <v/>
      </c>
      <c r="X435" s="21">
        <f>O435-Q435-R435-S435-U435-V435+T435+W435</f>
        <v/>
      </c>
      <c r="Y435" s="18" t="n"/>
      <c r="Z435" s="19">
        <f>O435+1.5</f>
        <v/>
      </c>
      <c r="AA435" s="19" t="n"/>
      <c r="AB435" s="19" t="n"/>
      <c r="AC435" s="18" t="n"/>
      <c r="AD435" s="18" t="n"/>
      <c r="AE435" s="13" t="inlineStr">
        <is>
          <t>NOT_UPLOADED</t>
        </is>
      </c>
    </row>
    <row r="436" ht="16" customHeight="1">
      <c r="A436" s="12" t="n">
        <v>3600522066798</v>
      </c>
      <c r="B436" s="12" t="n">
        <v>3600522066798</v>
      </c>
      <c r="C436" s="13" t="n"/>
      <c r="D436" s="14" t="n"/>
      <c r="E436" s="14" t="inlineStr">
        <is>
          <t>FOR-3600522066798</t>
        </is>
      </c>
      <c r="F436" s="12" t="inlineStr">
        <is>
          <t>L2721</t>
        </is>
      </c>
      <c r="G436" s="14" t="inlineStr">
        <is>
          <t>Fortuna</t>
        </is>
      </c>
      <c r="H436" s="14" t="inlineStr">
        <is>
          <t>Loreal</t>
        </is>
      </c>
      <c r="I436" s="14" t="inlineStr">
        <is>
          <t>L'Oréal Paris Mega Volume Collagene 24h Mascara schwarz, 9 ml</t>
        </is>
      </c>
      <c r="J436" s="14" t="inlineStr">
        <is>
          <t>No</t>
        </is>
      </c>
      <c r="K436" s="14" t="inlineStr">
        <is>
          <t>https://www.amazon.de/LOr%C3%A9al-Paris-Collagene-Mascara-schwarz/dp/B07FDHR2QM/ref=sr_1_1?__mk_de_DE=%C3%85M%C3%85%C5%BD%C3%95%C3%91&amp;crid=1ABZBXNLD7J76&amp;dib=eyJ2IjoiMSJ9.y9iX2c_xOn1Pqt5EQmqhHYXt6KH-zM18zeXexBcBDhHGjHj071QN20LucGBJIEps.jz9VLxcMYLOub8yMWEuLWUClNJIuWLfnHQALxfM0T5c&amp;dib_tag=se&amp;keywords=3600522066798&amp;qid=1753540084&amp;sprefix=3600522066798%2Caps%2C153&amp;sr=8-1&amp;th=1</t>
        </is>
      </c>
      <c r="L436" s="14" t="inlineStr">
        <is>
          <t>B07FDHR2QM</t>
        </is>
      </c>
      <c r="M436" s="15" t="n">
        <v>18.25</v>
      </c>
      <c r="N436" s="15" t="n"/>
      <c r="O436" s="15" t="n">
        <v>16.55</v>
      </c>
      <c r="P436" s="15">
        <f>O436/1.19</f>
        <v/>
      </c>
      <c r="Q436" s="15">
        <f>O436-P436</f>
        <v/>
      </c>
      <c r="R436" s="15">
        <f>O436*0.15</f>
        <v/>
      </c>
      <c r="S436" s="15" t="n">
        <v>7.91</v>
      </c>
      <c r="T436" s="15">
        <f>S436*0.2</f>
        <v/>
      </c>
      <c r="U436" s="15" t="n">
        <v>0.400000000000002</v>
      </c>
      <c r="V436" s="15" t="n">
        <v>2</v>
      </c>
      <c r="W436" s="15">
        <f>V436*0.2</f>
        <v/>
      </c>
      <c r="X436" s="21">
        <f>O436-Q436-R436-S436-U436-V436+T436+W436</f>
        <v/>
      </c>
      <c r="Y436" s="14" t="n"/>
      <c r="Z436" s="15">
        <f>O436+1.5</f>
        <v/>
      </c>
      <c r="AA436" s="15" t="n">
        <v>7.67</v>
      </c>
      <c r="AB436" s="15" t="n"/>
      <c r="AC436" s="14" t="n"/>
      <c r="AD436" s="14" t="n"/>
      <c r="AE436" s="13" t="inlineStr">
        <is>
          <t>NOT_UPLOADED</t>
        </is>
      </c>
    </row>
    <row r="437" ht="16" customHeight="1">
      <c r="A437" s="17" t="n">
        <v>8008035219253</v>
      </c>
      <c r="B437" s="17" t="n">
        <v>3600522066798</v>
      </c>
      <c r="C437" s="13" t="n"/>
      <c r="D437" s="18" t="n"/>
      <c r="E437" s="18" t="inlineStr">
        <is>
          <t>FOR-8008035219253</t>
        </is>
      </c>
      <c r="F437" s="17" t="inlineStr">
        <is>
          <t>L2721</t>
        </is>
      </c>
      <c r="G437" s="18" t="inlineStr">
        <is>
          <t>Fortuna</t>
        </is>
      </c>
      <c r="H437" s="18" t="inlineStr">
        <is>
          <t>Loreal</t>
        </is>
      </c>
      <c r="I437" s="18" t="inlineStr">
        <is>
          <t>L'Oréal Paris Mega Volume Collagene 24h Mascara, schwarz - Wimperntusche für mega voluminöse Wimpern - 1er Pack (1 x 9 ml)</t>
        </is>
      </c>
      <c r="J437" s="18" t="inlineStr">
        <is>
          <t>No</t>
        </is>
      </c>
      <c r="K437" s="18" t="inlineStr">
        <is>
          <t>https://www.amazon.de/LOr%C3%A9al-Paris-Volumen-Mascara-aufpolsterndem-langanhaltende/dp/B0077HAQJE/ref=sr_1_1?__mk_de_DE=%C3%85M%C3%85%C5%BD%C3%95%C3%91&amp;crid=7GSFGJCPS9TA&amp;dib=eyJ2IjoiMSJ9.5E0qUeRdGt5iUJBjwE4Uvg.oo966to1wW5Yjf5ENsvGCdlUvNl-74mKyu_HO8lM8h0&amp;dib_tag=se&amp;keywords=B0077HAQJE&amp;qid=1753540592&amp;sprefix=b0077haqje%2Caps%2C90&amp;sr=8-1&amp;th=1</t>
        </is>
      </c>
      <c r="L437" s="18" t="inlineStr">
        <is>
          <t>B0077HAQJE</t>
        </is>
      </c>
      <c r="M437" s="19" t="n">
        <v>16.5</v>
      </c>
      <c r="N437" s="19" t="n"/>
      <c r="O437" s="19" t="n">
        <v>15.99</v>
      </c>
      <c r="P437" s="19">
        <f>O437/1.19</f>
        <v/>
      </c>
      <c r="Q437" s="19">
        <f>O437-P437</f>
        <v/>
      </c>
      <c r="R437" s="19">
        <f>O437*0.15</f>
        <v/>
      </c>
      <c r="S437" s="19" t="n">
        <v>7.91</v>
      </c>
      <c r="T437" s="19">
        <f>S437*0.2</f>
        <v/>
      </c>
      <c r="U437" s="19" t="n">
        <v>0.400000000000002</v>
      </c>
      <c r="V437" s="19" t="n">
        <v>2</v>
      </c>
      <c r="W437" s="19">
        <f>V437*0.2</f>
        <v/>
      </c>
      <c r="X437" s="21">
        <f>O437-Q437-R437-S437-U437-V437+T437+W437</f>
        <v/>
      </c>
      <c r="Y437" s="18" t="n"/>
      <c r="Z437" s="19">
        <f>O437+1.5</f>
        <v/>
      </c>
      <c r="AA437" s="19" t="n"/>
      <c r="AB437" s="19" t="n"/>
      <c r="AC437" s="18" t="n"/>
      <c r="AD437" s="18" t="n"/>
      <c r="AE437" s="13" t="inlineStr">
        <is>
          <t>NOT_UPLOADED</t>
        </is>
      </c>
    </row>
    <row r="438" ht="16" customHeight="1">
      <c r="A438" s="12" t="n">
        <v>3600522066842</v>
      </c>
      <c r="B438" s="12" t="n">
        <v>3600522066798</v>
      </c>
      <c r="C438" s="13" t="n"/>
      <c r="D438" s="14" t="n"/>
      <c r="E438" s="14" t="inlineStr">
        <is>
          <t>FOR-3600522066842</t>
        </is>
      </c>
      <c r="F438" s="12" t="inlineStr">
        <is>
          <t>L2721</t>
        </is>
      </c>
      <c r="G438" s="14" t="inlineStr">
        <is>
          <t>Fortuna</t>
        </is>
      </c>
      <c r="H438" s="14" t="inlineStr">
        <is>
          <t>Loreal</t>
        </is>
      </c>
      <c r="I438" s="14" t="inlineStr">
        <is>
          <t>LOREAL Mascaras, 1 Stück</t>
        </is>
      </c>
      <c r="J438" s="14" t="inlineStr">
        <is>
          <t>No</t>
        </is>
      </c>
      <c r="K438" s="14" t="inlineStr">
        <is>
          <t>https://www.amazon.de/Loreal-LOREAL-MASCARA-VOLUMEN-COLAGENO/dp/B009H08JE8/ref=sr_1_1?__mk_de_DE=%C3%85M%C3%85%C5%BD%C3%95%C3%91&amp;crid=3G8M8IPC1DE03&amp;dib=eyJ2IjoiMSJ9.xsYN5WqM7CEsoJcgKI6ohw.sDmg7U9X_wUocPnctQOZJpFZl-o_-sCMx5lFQFcJ-Lk&amp;dib_tag=se&amp;keywords=B009H08JE8&amp;qid=1753541370&amp;sprefix=b009h08je8%2Caps%2C170&amp;sr=8-1</t>
        </is>
      </c>
      <c r="L438" s="14" t="inlineStr">
        <is>
          <t>B009H08JE8</t>
        </is>
      </c>
      <c r="M438" s="15" t="n"/>
      <c r="N438" s="15" t="n"/>
      <c r="O438" s="15" t="n">
        <v>16.17</v>
      </c>
      <c r="P438" s="15">
        <f>O438/1.19</f>
        <v/>
      </c>
      <c r="Q438" s="15">
        <f>O438-P438</f>
        <v/>
      </c>
      <c r="R438" s="15">
        <f>O438*0.15</f>
        <v/>
      </c>
      <c r="S438" s="15" t="n">
        <v>7.91</v>
      </c>
      <c r="T438" s="15">
        <f>S438*0.2</f>
        <v/>
      </c>
      <c r="U438" s="15" t="n">
        <v>0.400000000000002</v>
      </c>
      <c r="V438" s="15" t="n">
        <v>2</v>
      </c>
      <c r="W438" s="15">
        <f>V438*0.2</f>
        <v/>
      </c>
      <c r="X438" s="21">
        <f>O438-Q438-R438-S438-U438-V438+T438+W438</f>
        <v/>
      </c>
      <c r="Y438" s="14" t="n"/>
      <c r="Z438" s="15">
        <f>O438+1.5</f>
        <v/>
      </c>
      <c r="AA438" s="15" t="n"/>
      <c r="AB438" s="15" t="n"/>
      <c r="AC438" s="14" t="n"/>
      <c r="AD438" s="14" t="n"/>
      <c r="AE438" s="13" t="inlineStr">
        <is>
          <t>NOT_UPLOADED</t>
        </is>
      </c>
    </row>
    <row r="439" ht="16" customHeight="1">
      <c r="A439" s="17" t="n">
        <v>3600522066842</v>
      </c>
      <c r="B439" s="17" t="n">
        <v>3600522066798</v>
      </c>
      <c r="C439" s="13" t="n"/>
      <c r="D439" s="18" t="n"/>
      <c r="E439" s="18" t="inlineStr">
        <is>
          <t>FOR- 36005220668421</t>
        </is>
      </c>
      <c r="F439" s="17" t="inlineStr">
        <is>
          <t>L2721</t>
        </is>
      </c>
      <c r="G439" s="18" t="inlineStr">
        <is>
          <t>Fortuna</t>
        </is>
      </c>
      <c r="H439" s="18" t="inlineStr">
        <is>
          <t>Loreal</t>
        </is>
      </c>
      <c r="I439" s="18" t="inlineStr">
        <is>
          <t>L'Oréal Paris Mega Volume Collagen Mascara, lang anhaltend, Volumengebend mit Maxi Applikator aus Borsten, Schwarz</t>
        </is>
      </c>
      <c r="J439" s="18" t="inlineStr">
        <is>
          <t>No</t>
        </is>
      </c>
      <c r="K439" s="18" t="inlineStr">
        <is>
          <t>https://www.amazon.de/LOr%C3%A9al-Paris-anhaltend-Volumengebend-Applikator/dp/B01M0MY03Y/ref=sr_1_1?__mk_de_DE=%C3%85M%C3%85%C5%BD%C3%95%C3%91&amp;crid=3RPWVD1WWFPGX&amp;dib=eyJ2IjoiMSJ9.nTpAjjBPxmp6leVYZmS8qg.jq4lwBcUyfCE-vzBjqgqP-7sRoYXJdT67lyv9L_bE7Y&amp;dib_tag=se&amp;keywords=B01M0MY03Y&amp;qid=1753541492&amp;sprefix=b01m0my03y%2Caps%2C90&amp;sr=8-1</t>
        </is>
      </c>
      <c r="L439" s="18" t="inlineStr">
        <is>
          <t>B01M0MY03Y</t>
        </is>
      </c>
      <c r="M439" s="19" t="n"/>
      <c r="N439" s="19" t="n"/>
      <c r="O439" s="19" t="n">
        <v>16.39</v>
      </c>
      <c r="P439" s="19">
        <f>O439/1.19</f>
        <v/>
      </c>
      <c r="Q439" s="19">
        <f>O439-P439</f>
        <v/>
      </c>
      <c r="R439" s="19">
        <f>O439*0.15</f>
        <v/>
      </c>
      <c r="S439" s="19" t="n">
        <v>7.91</v>
      </c>
      <c r="T439" s="19">
        <f>S439*0.2</f>
        <v/>
      </c>
      <c r="U439" s="19" t="n">
        <v>0.400000000000002</v>
      </c>
      <c r="V439" s="19" t="n">
        <v>2</v>
      </c>
      <c r="W439" s="19">
        <f>V439*0.2</f>
        <v/>
      </c>
      <c r="X439" s="21">
        <f>O439-Q439-R439-S439-U439-V439+T439+W439</f>
        <v/>
      </c>
      <c r="Y439" s="18" t="n"/>
      <c r="Z439" s="19">
        <f>O439+1.5</f>
        <v/>
      </c>
      <c r="AA439" s="19" t="n"/>
      <c r="AB439" s="19" t="n"/>
      <c r="AC439" s="18" t="n"/>
      <c r="AD439" s="18" t="n"/>
      <c r="AE439" s="13" t="inlineStr">
        <is>
          <t>NOT_UPLOADED</t>
        </is>
      </c>
    </row>
    <row r="440" ht="16" customHeight="1">
      <c r="A440" s="12" t="n">
        <v>30161443</v>
      </c>
      <c r="B440" s="12" t="n">
        <v>30161443</v>
      </c>
      <c r="C440" s="13" t="n"/>
      <c r="D440" s="14" t="n"/>
      <c r="E440" s="14" t="inlineStr">
        <is>
          <t>FOR-0000030161443</t>
        </is>
      </c>
      <c r="F440" s="12" t="inlineStr">
        <is>
          <t>L2728</t>
        </is>
      </c>
      <c r="G440" s="14" t="inlineStr">
        <is>
          <t>Fortuna</t>
        </is>
      </c>
      <c r="H440" s="14" t="inlineStr">
        <is>
          <t>Loreal</t>
        </is>
      </c>
      <c r="I440" s="14" t="inlineStr">
        <is>
          <t>L'Oréal Paris Mascara, Wimperntusche für intensive Schwärze, extra Volumen und spektakulärer Länge, Für empfindliche Augen geeignet, Lash Paradise, Farbton: Forever Noir (Schwarz), 1 x 6,4 ml</t>
        </is>
      </c>
      <c r="J440" s="14" t="inlineStr">
        <is>
          <t>No</t>
        </is>
      </c>
      <c r="K440" s="14" t="inlineStr">
        <is>
          <t>https://www.amazon.de/LOr%C3%A9al-Paris-Wimperntusche-spektakul%C3%A4rer-empfindliche/dp/B0CX1NB8XV/ref=sr_1_1?__mk_de_DE=%C3%85M%C3%85%C5%BD%C3%95%C3%91&amp;crid=10IIH2M1V05IW&amp;dib=eyJ2IjoiMSJ9.xjSMRc4KGIOz2F_Rr8szpw.0IKrr1YWaucYP1COBjmf1kydkIFp7gUlirL7EhA_OWs&amp;dib_tag=se&amp;keywords=000030161443&amp;qid=1753541713&amp;sprefix=000030161443%2Caps%2C111&amp;sr=8-1&amp;th=1</t>
        </is>
      </c>
      <c r="L440" s="14" t="inlineStr">
        <is>
          <t>B0CX1NB8XV</t>
        </is>
      </c>
      <c r="M440" s="15" t="n">
        <v>17.5</v>
      </c>
      <c r="N440" s="15" t="n"/>
      <c r="O440" s="15" t="n">
        <v>16.77</v>
      </c>
      <c r="P440" s="15">
        <f>O440/1.19</f>
        <v/>
      </c>
      <c r="Q440" s="15">
        <f>O440-P440</f>
        <v/>
      </c>
      <c r="R440" s="15">
        <f>O440*0.15</f>
        <v/>
      </c>
      <c r="S440" s="15" t="n">
        <v>8.58</v>
      </c>
      <c r="T440" s="15">
        <f>S440*0.2</f>
        <v/>
      </c>
      <c r="U440" s="15" t="n">
        <v>0.400000000000002</v>
      </c>
      <c r="V440" s="15" t="n">
        <v>2</v>
      </c>
      <c r="W440" s="15">
        <f>V440*0.2</f>
        <v/>
      </c>
      <c r="X440" s="21">
        <f>O440-Q440-R440-S440-U440-V440+T440+W440</f>
        <v/>
      </c>
      <c r="Y440" s="14" t="n"/>
      <c r="Z440" s="15">
        <f>O440+1.5</f>
        <v/>
      </c>
      <c r="AA440" s="15" t="n">
        <v>7.24</v>
      </c>
      <c r="AB440" s="15" t="n"/>
      <c r="AC440" s="14" t="n">
        <v>1454475</v>
      </c>
      <c r="AD440" s="14" t="n"/>
      <c r="AE440" s="13" t="inlineStr">
        <is>
          <t>NOT_UPLOADED</t>
        </is>
      </c>
    </row>
    <row r="441" ht="16" customHeight="1">
      <c r="A441" s="17" t="n">
        <v>3600531686727</v>
      </c>
      <c r="B441" s="17" t="n">
        <v>30161443</v>
      </c>
      <c r="C441" s="20" t="inlineStr">
        <is>
          <t>PACK X 2</t>
        </is>
      </c>
      <c r="D441" s="18" t="n"/>
      <c r="E441" s="18" t="inlineStr">
        <is>
          <t>FOR-3600531686727</t>
        </is>
      </c>
      <c r="F441" s="17" t="inlineStr">
        <is>
          <t>L2728</t>
        </is>
      </c>
      <c r="G441" s="18" t="inlineStr">
        <is>
          <t>Fortuna</t>
        </is>
      </c>
      <c r="H441" s="18" t="inlineStr">
        <is>
          <t>Loreal</t>
        </is>
      </c>
      <c r="I441" s="18" t="inlineStr">
        <is>
          <t>L'Oréal Paris Lash Paradise Forever Noir Mascara, verlängern und Volumen, tiefschwarz, mit weicher Bürste, homogener Effekt, ohne zu verklumpen, leichte Textur für empfindliche Augen, 24-Stunden-Halt</t>
        </is>
      </c>
      <c r="J441" s="18" t="inlineStr">
        <is>
          <t>No</t>
        </is>
      </c>
      <c r="K441" s="18" t="inlineStr">
        <is>
          <t>https://www.amazon.de/verl%C3%A4ngern-tiefschwarz-verklumpen-empfindliche-24-Stunden-Halt/dp/B0DGL9WYVX/ref=sr_1_1?__mk_de_DE=%C3%85M%C3%85%C5%BD%C3%95%C3%91&amp;crid=2HM5GP6Y6FWT7&amp;dib=eyJ2IjoiMSJ9.Fho4Ev7GfqP0MfRkMQZ-Gw.1Ozjcud2yWWfSDldLJd-yj21OYRfwNvA6o77-gte4zo&amp;dib_tag=se&amp;keywords=B0DGL9WYVX&amp;qid=1753542301&amp;sprefix=b0dgl9wyvx%2Caps%2C139&amp;sr=8-1&amp;th=1</t>
        </is>
      </c>
      <c r="L441" s="18" t="inlineStr">
        <is>
          <t>B0DGL9WYVX</t>
        </is>
      </c>
      <c r="M441" s="19" t="n"/>
      <c r="N441" s="19" t="n"/>
      <c r="O441" s="19" t="n">
        <v>33.79</v>
      </c>
      <c r="P441" s="19">
        <f>O441/1.19</f>
        <v/>
      </c>
      <c r="Q441" s="19">
        <f>O441-P441</f>
        <v/>
      </c>
      <c r="R441" s="19">
        <f>O441*0.15</f>
        <v/>
      </c>
      <c r="S441" s="19" t="n">
        <v>17.14</v>
      </c>
      <c r="T441" s="19">
        <f>S441*0.2</f>
        <v/>
      </c>
      <c r="U441" s="19" t="n">
        <v>0.400000000000002</v>
      </c>
      <c r="V441" s="19" t="n">
        <v>5</v>
      </c>
      <c r="W441" s="19">
        <f>V441*0.2</f>
        <v/>
      </c>
      <c r="X441" s="21">
        <f>O441-Q441-R441-S441-U441-V441+T441+W441</f>
        <v/>
      </c>
      <c r="Y441" s="18" t="n"/>
      <c r="Z441" s="19">
        <f>O441+1.5</f>
        <v/>
      </c>
      <c r="AA441" s="19" t="n">
        <v>14.48</v>
      </c>
      <c r="AB441" s="19" t="n"/>
      <c r="AC441" s="18" t="n">
        <v>1454475</v>
      </c>
      <c r="AD441" s="18" t="n"/>
      <c r="AE441" s="13" t="inlineStr">
        <is>
          <t>NOT_UPLOADED</t>
        </is>
      </c>
    </row>
    <row r="442" ht="16" customHeight="1">
      <c r="A442" s="12" t="n">
        <v>3600523503285</v>
      </c>
      <c r="B442" s="12" t="n">
        <v>3600523503285</v>
      </c>
      <c r="C442" s="13" t="n"/>
      <c r="D442" s="14" t="n"/>
      <c r="E442" s="14" t="inlineStr">
        <is>
          <t>FOR-3600523503285</t>
        </is>
      </c>
      <c r="F442" s="12" t="inlineStr">
        <is>
          <t>L2735</t>
        </is>
      </c>
      <c r="G442" s="14" t="inlineStr">
        <is>
          <t>Fortuna</t>
        </is>
      </c>
      <c r="H442" s="14" t="inlineStr">
        <is>
          <t>Loreal</t>
        </is>
      </c>
      <c r="I442" s="14" t="inlineStr">
        <is>
          <t>L'Oréal Paris Paradise Extatic Mascara, schwarze Wimperntusche, für Länge und Volumen mit pflegendem Rizinusöl (1 x 6, 4ml)</t>
        </is>
      </c>
      <c r="J442" s="14" t="inlineStr">
        <is>
          <t>No</t>
        </is>
      </c>
      <c r="K442" s="14" t="inlineStr">
        <is>
          <t>https://www.amazon.de/LOr%C3%A9al-Paris-Paradise-Extatic-Mascara/dp/B073QRTKV6/ref=sr_1_1?__mk_de_DE=%C3%85M%C3%85%C5%BD%C3%95%C3%91&amp;crid=3AIM0W4QHKPKO&amp;dib=eyJ2IjoiMSJ9.ZsnUg3Igg4y9YShd2DcYV9nXJ32gZB9j97zk4QpymoPtGxKM2COQvu1ckb6UkJMH.KMaHp7HAOW0_fwUzHnJwsUFB8pponvyT85sPJH5T-qs&amp;dib_tag=se&amp;keywords=3600523503285&amp;qid=1753542457&amp;sprefix=3600523503285%2Caps%2C108&amp;sr=8-1&amp;th=1</t>
        </is>
      </c>
      <c r="L442" s="14" t="inlineStr">
        <is>
          <t>B073QRTKV6</t>
        </is>
      </c>
      <c r="M442" s="15" t="n">
        <v>17.5</v>
      </c>
      <c r="N442" s="15" t="n"/>
      <c r="O442" s="15" t="n">
        <v>16.77</v>
      </c>
      <c r="P442" s="15">
        <f>O442/1.19</f>
        <v/>
      </c>
      <c r="Q442" s="15">
        <f>O442-P442</f>
        <v/>
      </c>
      <c r="R442" s="15">
        <f>O442*0.15</f>
        <v/>
      </c>
      <c r="S442" s="15" t="n">
        <v>9.18</v>
      </c>
      <c r="T442" s="15">
        <f>S442*0.2</f>
        <v/>
      </c>
      <c r="U442" s="15" t="n">
        <v>0.400000000000002</v>
      </c>
      <c r="V442" s="15" t="n">
        <v>2</v>
      </c>
      <c r="W442" s="15">
        <f>V442*0.2</f>
        <v/>
      </c>
      <c r="X442" s="21">
        <f>O442-Q442-R442-S442-U442-V442+T442+W442</f>
        <v/>
      </c>
      <c r="Y442" s="14" t="n"/>
      <c r="Z442" s="15">
        <f>O442+1.5</f>
        <v/>
      </c>
      <c r="AA442" s="15" t="n"/>
      <c r="AB442" s="15" t="n"/>
      <c r="AC442" s="14" t="n"/>
      <c r="AD442" s="14" t="n"/>
      <c r="AE442" s="13" t="inlineStr">
        <is>
          <t>NOT_UPLOADED</t>
        </is>
      </c>
    </row>
    <row r="443" ht="16" customHeight="1">
      <c r="A443" s="17" t="n">
        <v>3600523897308</v>
      </c>
      <c r="B443" s="17" t="n">
        <v>3600523503285</v>
      </c>
      <c r="C443" s="13" t="n"/>
      <c r="D443" s="18" t="n"/>
      <c r="E443" s="18" t="inlineStr">
        <is>
          <t>FOR-3600523897308</t>
        </is>
      </c>
      <c r="F443" s="17" t="inlineStr">
        <is>
          <t>L2735</t>
        </is>
      </c>
      <c r="G443" s="18" t="inlineStr">
        <is>
          <t>Fortuna</t>
        </is>
      </c>
      <c r="H443" s="18" t="inlineStr">
        <is>
          <t>Loreal</t>
        </is>
      </c>
      <c r="I443" s="18" t="inlineStr">
        <is>
          <t>L'Oréal Paris Mascara, Schwarze Wimperntusche für Länge und Volumen, Lash Paradise, Intense Black, 6,4 ml</t>
        </is>
      </c>
      <c r="J443" s="18" t="inlineStr">
        <is>
          <t>No</t>
        </is>
      </c>
      <c r="K443" s="18" t="inlineStr">
        <is>
          <t>https://www.amazon.de/LOr%C3%A9al-Paris-tiefschwarze-Wimperntusche-spektakul%C3%A4re/dp/B08522ZYXN/ref=sr_1_1?__mk_de_DE=%C3%85M%C3%85%C5%BD%C3%95%C3%91&amp;crid=1E4PR3UTANHHK&amp;dib=eyJ2IjoiMSJ9.9EpI1NyDlhnBR-wm0YHTdQ.GJIG2J5YrcVgjavcuGIHBQfoxm9_05057BtE7JLEqU0&amp;dib_tag=se&amp;keywords=B08522ZYXN&amp;qid=1753543134&amp;sprefix=b08522zyxn%2Caps%2C74&amp;sr=8-1&amp;th=1</t>
        </is>
      </c>
      <c r="L443" s="18" t="inlineStr">
        <is>
          <t>B08522ZYXN</t>
        </is>
      </c>
      <c r="M443" s="19" t="n"/>
      <c r="N443" s="19" t="n"/>
      <c r="O443" s="19" t="n">
        <v>15.27</v>
      </c>
      <c r="P443" s="19">
        <f>O443/1.19</f>
        <v/>
      </c>
      <c r="Q443" s="19">
        <f>O443-P443</f>
        <v/>
      </c>
      <c r="R443" s="19">
        <f>O443*0.15</f>
        <v/>
      </c>
      <c r="S443" s="19" t="n">
        <v>8.57</v>
      </c>
      <c r="T443" s="19">
        <f>S443*0.2</f>
        <v/>
      </c>
      <c r="U443" s="19" t="n">
        <v>0.400000000000002</v>
      </c>
      <c r="V443" s="19" t="n">
        <v>2</v>
      </c>
      <c r="W443" s="19">
        <f>V443*0.2</f>
        <v/>
      </c>
      <c r="X443" s="16">
        <f>O443-Q443-R443-S443-U443-V443+T443+W443</f>
        <v/>
      </c>
      <c r="Y443" s="18" t="n"/>
      <c r="Z443" s="19">
        <f>O443+1.5</f>
        <v/>
      </c>
      <c r="AA443" s="19" t="n">
        <v>7.25</v>
      </c>
      <c r="AB443" s="19" t="n"/>
      <c r="AC443" s="18" t="n"/>
      <c r="AD443" s="18" t="n"/>
      <c r="AE443" s="13" t="inlineStr">
        <is>
          <t>NOT_UPLOADED</t>
        </is>
      </c>
    </row>
    <row r="444" ht="16" customHeight="1">
      <c r="A444" s="12" t="n">
        <v>3600523553082</v>
      </c>
      <c r="B444" s="12" t="n">
        <v>3600523553082</v>
      </c>
      <c r="C444" s="13" t="n"/>
      <c r="D444" s="14" t="n"/>
      <c r="E444" s="14" t="inlineStr">
        <is>
          <t>FOR-3600523553082</t>
        </is>
      </c>
      <c r="F444" s="12" t="inlineStr">
        <is>
          <t>L2737</t>
        </is>
      </c>
      <c r="G444" s="14" t="inlineStr">
        <is>
          <t>Fortuna</t>
        </is>
      </c>
      <c r="H444" s="14" t="inlineStr">
        <is>
          <t>Loreal</t>
        </is>
      </c>
      <c r="I444" s="14" t="inlineStr">
        <is>
          <t>L'Oréal Paris Mascara, Wimperntusche, 3x mehr Volumen und kräftige Wimpern, Klar Definierte Wimpern, Zusätzliche Geschmeidigkeit, Royaler Make-up-Look, Volumissime Royale, Nr. 01 Schwarz, 1 x 7,5 ml</t>
        </is>
      </c>
      <c r="J444" s="14" t="inlineStr">
        <is>
          <t>No</t>
        </is>
      </c>
      <c r="K444" s="14" t="inlineStr">
        <is>
          <t>https://www.amazon.de/LOr%C3%A9al-Paris-LORMAK035-Volumissime-Mascara/dp/B07D16FZCF/ref=sr_1_1?__mk_de_DE=%C3%85M%C3%85%C5%BD%C3%95%C3%91&amp;crid=6LR7931DIJYB&amp;dib=eyJ2IjoiMSJ9.WkFZT9JtPf1GL3ErBlo4c0g2dcDbMlrTMyeV55kYNm0.74K4Zc_zc5ZEnQbRsdjWPkNRIZOy3nX43NHguCAWOSs&amp;dib_tag=se&amp;keywords=3600523553082&amp;qid=1753607506&amp;sprefix=3600523553082%2Caps%2C104&amp;sr=8-1</t>
        </is>
      </c>
      <c r="L444" s="14" t="inlineStr">
        <is>
          <t>B07D16FZCF</t>
        </is>
      </c>
      <c r="M444" s="15" t="n">
        <v>12.8</v>
      </c>
      <c r="N444" s="15" t="n"/>
      <c r="O444" s="15" t="n">
        <v>12.49</v>
      </c>
      <c r="P444" s="15">
        <f>O444/1.19</f>
        <v/>
      </c>
      <c r="Q444" s="15">
        <f>O444-P444</f>
        <v/>
      </c>
      <c r="R444" s="15">
        <f>O444*0.15</f>
        <v/>
      </c>
      <c r="S444" s="15" t="n">
        <v>6</v>
      </c>
      <c r="T444" s="15">
        <f>S444*0.2</f>
        <v/>
      </c>
      <c r="U444" s="15" t="n">
        <v>0.400000000000002</v>
      </c>
      <c r="V444" s="15" t="n">
        <v>2</v>
      </c>
      <c r="W444" s="15">
        <f>V444*0.2</f>
        <v/>
      </c>
      <c r="X444" s="16">
        <f>O444-Q444-R444-S444-U444-V444+T444+W444</f>
        <v/>
      </c>
      <c r="Y444" s="14" t="n"/>
      <c r="Z444" s="15">
        <f>O444+1.5</f>
        <v/>
      </c>
      <c r="AA444" s="15" t="n"/>
      <c r="AB444" s="15" t="n"/>
      <c r="AC444" s="14" t="n"/>
      <c r="AD444" s="14" t="n"/>
      <c r="AE444" s="13" t="inlineStr">
        <is>
          <t>NOT_UPLOADED</t>
        </is>
      </c>
    </row>
    <row r="445" ht="16" customHeight="1">
      <c r="A445" s="17" t="n">
        <v>30179493</v>
      </c>
      <c r="B445" s="17" t="n">
        <v>30179493</v>
      </c>
      <c r="C445" s="13" t="n"/>
      <c r="D445" s="18" t="n"/>
      <c r="E445" s="18" t="inlineStr">
        <is>
          <t>FOR-0000030179493</t>
        </is>
      </c>
      <c r="F445" s="17" t="inlineStr">
        <is>
          <t>L2742</t>
        </is>
      </c>
      <c r="G445" s="18" t="inlineStr">
        <is>
          <t>Fortuna</t>
        </is>
      </c>
      <c r="H445" s="18" t="inlineStr">
        <is>
          <t>Loreal</t>
        </is>
      </c>
      <c r="I445" s="18" t="inlineStr">
        <is>
          <t>L'Oréal Paris Mascara, Schwarze Wimperntusche für intensives und luftig leichtes Mega Volumen, Air Volume Mega Mascara, Nr. 00 Schwarz, 1 x 9,4 ml</t>
        </is>
      </c>
      <c r="J445" s="18" t="inlineStr">
        <is>
          <t>No</t>
        </is>
      </c>
      <c r="K445" s="18" t="inlineStr">
        <is>
          <t>https://www.amazon.de/LOr%C3%A9al-Paris-Mega-Mascara-Schwarz/dp/B08CCKF5GX/ref=sr_1_1?__mk_de_DE=%C3%85M%C3%85%C5%BD%C3%95%C3%91&amp;crid=2UOA65ZSC9IZE&amp;dib=eyJ2IjoiMSJ9.RdBzgjug7KMUEA-vsXfNmzML-O2pNrfRUqBaAkul6R7GjHj071QN20LucGBJIEps.cmKpwb-g0G_gHky6705DhV5VUkel79d4Xzv-B98a0jI&amp;dib_tag=se&amp;keywords=000030179493&amp;qid=1753607993&amp;sprefix=000030179493%2Caps%2C91&amp;sr=8-1&amp;th=1</t>
        </is>
      </c>
      <c r="L445" s="18" t="inlineStr">
        <is>
          <t>B08CCKF5GX</t>
        </is>
      </c>
      <c r="M445" s="19" t="n">
        <v>16.5</v>
      </c>
      <c r="N445" s="19" t="n"/>
      <c r="O445" s="19" t="n">
        <v>15.59</v>
      </c>
      <c r="P445" s="19">
        <f>O445/1.19</f>
        <v/>
      </c>
      <c r="Q445" s="19">
        <f>O445-P445</f>
        <v/>
      </c>
      <c r="R445" s="19">
        <f>O445*0.15</f>
        <v/>
      </c>
      <c r="S445" s="19" t="n">
        <v>8.460000000000001</v>
      </c>
      <c r="T445" s="19">
        <f>S445*0.2</f>
        <v/>
      </c>
      <c r="U445" s="19" t="n">
        <v>0.400000000000002</v>
      </c>
      <c r="V445" s="19" t="n">
        <v>2</v>
      </c>
      <c r="W445" s="19">
        <f>V445*0.2</f>
        <v/>
      </c>
      <c r="X445" s="16">
        <f>O445-Q445-R445-S445-U445-V445+T445+W445</f>
        <v/>
      </c>
      <c r="Y445" s="18" t="n"/>
      <c r="Z445" s="19">
        <f>O445+1.5</f>
        <v/>
      </c>
      <c r="AA445" s="19" t="n"/>
      <c r="AB445" s="19" t="n"/>
      <c r="AC445" s="18" t="n"/>
      <c r="AD445" s="18" t="n"/>
      <c r="AE445" s="13" t="inlineStr">
        <is>
          <t>NOT_UPLOADED</t>
        </is>
      </c>
    </row>
    <row r="446" ht="16" customHeight="1">
      <c r="A446" s="12" t="n">
        <v>30179493</v>
      </c>
      <c r="B446" s="12" t="n">
        <v>30179493</v>
      </c>
      <c r="C446" s="20" t="inlineStr">
        <is>
          <t>PACK X 2</t>
        </is>
      </c>
      <c r="D446" s="14" t="n"/>
      <c r="E446" s="14" t="inlineStr">
        <is>
          <t>FOR-00000301794932</t>
        </is>
      </c>
      <c r="F446" s="12" t="inlineStr">
        <is>
          <t>L2742</t>
        </is>
      </c>
      <c r="G446" s="14" t="inlineStr">
        <is>
          <t>Fortuna</t>
        </is>
      </c>
      <c r="H446" s="14" t="inlineStr">
        <is>
          <t>Loreal</t>
        </is>
      </c>
      <c r="I446" s="14" t="inlineStr">
        <is>
          <t>2 x L'Oreal Paris Air Volume Mega Mascara 9.4ml - Black</t>
        </is>
      </c>
      <c r="J446" s="14" t="inlineStr">
        <is>
          <t>No</t>
        </is>
      </c>
      <c r="K446" s="14" t="inlineStr">
        <is>
          <t>https://www.amazon.de/LOreal-Paris-Mega-Mascara-9-4ml/dp/B09B141CMJ/ref=sr_1_2?__mk_de_DE=%C3%85M%C3%85%C5%BD%C3%95%C3%91&amp;crid=2UOA65ZSC9IZE&amp;dib=eyJ2IjoiMSJ9.RdBzgjug7KMUEA-vsXfNmzML-O2pNrfRUqBaAkul6R7GjHj071QN20LucGBJIEps.cmKpwb-g0G_gHky6705DhV5VUkel79d4Xzv-B98a0jI&amp;dib_tag=se&amp;keywords=000030179493&amp;qid=1753608447&amp;sprefix=000030179493%2Caps%2C91&amp;sr=8-2&amp;th=1</t>
        </is>
      </c>
      <c r="L446" s="14" t="inlineStr">
        <is>
          <t>B09B141CMJ</t>
        </is>
      </c>
      <c r="M446" s="15" t="n">
        <v>31.63</v>
      </c>
      <c r="N446" s="15" t="n"/>
      <c r="O446" s="15" t="n">
        <v>30.2</v>
      </c>
      <c r="P446" s="15">
        <f>O446/1.19</f>
        <v/>
      </c>
      <c r="Q446" s="15">
        <f>O446-P446</f>
        <v/>
      </c>
      <c r="R446" s="15">
        <f>O446*0.15</f>
        <v/>
      </c>
      <c r="S446" s="15" t="n">
        <v>16.92</v>
      </c>
      <c r="T446" s="15">
        <f>S446*0.2</f>
        <v/>
      </c>
      <c r="U446" s="15" t="n">
        <v>0.400000000000002</v>
      </c>
      <c r="V446" s="15" t="n">
        <v>2.2</v>
      </c>
      <c r="W446" s="15">
        <f>V446*0.2</f>
        <v/>
      </c>
      <c r="X446" s="21">
        <f>O446-Q446-R446-S446-U446-V446+T446+W446</f>
        <v/>
      </c>
      <c r="Y446" s="14" t="n"/>
      <c r="Z446" s="15">
        <f>O446+1.5</f>
        <v/>
      </c>
      <c r="AA446" s="15" t="n"/>
      <c r="AB446" s="15" t="n"/>
      <c r="AC446" s="14" t="n"/>
      <c r="AD446" s="14" t="n"/>
      <c r="AE446" s="13" t="inlineStr">
        <is>
          <t>NOT_UPLOADED</t>
        </is>
      </c>
    </row>
    <row r="447" ht="16" customHeight="1">
      <c r="A447" s="17" t="n">
        <v>30179493</v>
      </c>
      <c r="B447" s="17" t="n">
        <v>30179493</v>
      </c>
      <c r="C447" s="20" t="inlineStr">
        <is>
          <t>APPROVAL PACKX3</t>
        </is>
      </c>
      <c r="D447" s="18" t="n"/>
      <c r="E447" s="18" t="inlineStr">
        <is>
          <t>FOR-00000301794933</t>
        </is>
      </c>
      <c r="F447" s="17" t="inlineStr">
        <is>
          <t>L2742</t>
        </is>
      </c>
      <c r="G447" s="18" t="inlineStr">
        <is>
          <t>Fortuna</t>
        </is>
      </c>
      <c r="H447" s="18" t="inlineStr">
        <is>
          <t>Loreal</t>
        </is>
      </c>
      <c r="I447" s="18" t="inlineStr">
        <is>
          <t>3 x L'Oreal Paris Air Volume Mega Mascara 9.4ml - Black</t>
        </is>
      </c>
      <c r="J447" s="18" t="inlineStr">
        <is>
          <t>No</t>
        </is>
      </c>
      <c r="K447" s="18" t="inlineStr">
        <is>
          <t>https://www.amazon.de/LOreal-Paris-Mega-Mascara-9-4ml/dp/B09B13XRHR/ref=sr_1_1?__mk_de_DE=%C3%85M%C3%85%C5%BD%C3%95%C3%91&amp;crid=2EG7J3Q8BHB67&amp;dib=eyJ2IjoiMSJ9.F3_0jIPLkHd4vBIzBT28fQ.yUJouL0jCe2FMjJqFoA5JScQYefq4CyPllQWYQQ6AyI&amp;dib_tag=se&amp;keywords=B09B13XRHR&amp;qid=1753609028&amp;sprefix=b09b13xrhr%2Caps%2C124&amp;sr=8-1</t>
        </is>
      </c>
      <c r="L447" s="18" t="inlineStr">
        <is>
          <t>B09B13XRHR</t>
        </is>
      </c>
      <c r="M447" s="19" t="n">
        <v>44.9</v>
      </c>
      <c r="N447" s="19" t="n"/>
      <c r="O447" s="19" t="n">
        <v>42.9</v>
      </c>
      <c r="P447" s="19">
        <f>O447/1.19</f>
        <v/>
      </c>
      <c r="Q447" s="19">
        <f>O447-P447</f>
        <v/>
      </c>
      <c r="R447" s="19">
        <f>O447*0.15</f>
        <v/>
      </c>
      <c r="S447" s="19" t="n">
        <v>25.38</v>
      </c>
      <c r="T447" s="19">
        <f>S447*0.2</f>
        <v/>
      </c>
      <c r="U447" s="19" t="n">
        <v>0.400000000000002</v>
      </c>
      <c r="V447" s="19" t="n">
        <v>2.5</v>
      </c>
      <c r="W447" s="19">
        <f>V447*0.2</f>
        <v/>
      </c>
      <c r="X447" s="21">
        <f>O447-Q447-R447-S447-U447-V447+T447+W447</f>
        <v/>
      </c>
      <c r="Y447" s="18" t="n"/>
      <c r="Z447" s="19">
        <f>O447+1.5</f>
        <v/>
      </c>
      <c r="AA447" s="19" t="n"/>
      <c r="AB447" s="19" t="n"/>
      <c r="AC447" s="18" t="n"/>
      <c r="AD447" s="18" t="n"/>
      <c r="AE447" s="13" t="inlineStr">
        <is>
          <t>NOT_UPLOADED</t>
        </is>
      </c>
    </row>
    <row r="448" ht="16" customHeight="1">
      <c r="A448" s="12" t="n">
        <v>30160903</v>
      </c>
      <c r="B448" s="12" t="n">
        <v>30160903</v>
      </c>
      <c r="C448" s="13" t="n"/>
      <c r="D448" s="14" t="n"/>
      <c r="E448" s="14" t="inlineStr">
        <is>
          <t>FOR-0000030160903</t>
        </is>
      </c>
      <c r="F448" s="12" t="inlineStr">
        <is>
          <t>L2746</t>
        </is>
      </c>
      <c r="G448" s="14" t="inlineStr">
        <is>
          <t>Fortuna</t>
        </is>
      </c>
      <c r="H448" s="14" t="inlineStr">
        <is>
          <t>Loreal</t>
        </is>
      </c>
      <c r="I448" s="14" t="inlineStr">
        <is>
          <t>L'Oréal Paris Mascara, Schwarze Wimperntusche mit 30h Halt für langanhaltendes, intensives und luftig leichtes Mega Volumen, Air Volume 30H Mega Mascara, Nr. 00 Schwarz, 1 x 9,4 ml</t>
        </is>
      </c>
      <c r="J448" s="14" t="inlineStr">
        <is>
          <t>No</t>
        </is>
      </c>
      <c r="K448" s="14" t="inlineStr">
        <is>
          <t>https://www.amazon.de/LOr%C3%A9al-Paris-Wimperntusche-langanhaltendes-intensives/dp/B09FTDDZ3W/ref=sr_1_1?__mk_de_DE=%C3%85M%C3%85%C5%BD%C3%95%C3%91&amp;crid=1K3L30H1T0B1&amp;dib=eyJ2IjoiMSJ9.CIIlvdxXImF5X_kVZDHQL9EmKWmjpqvhYAroQRhF80s.OVHkbbunv0K2R5PEzWSyfXW_b20JiF4BZmMtB6IJsno&amp;dib_tag=se&amp;keywords=000030160903&amp;qid=1753609189&amp;sprefix=000030160903%2Caps%2C77&amp;sr=8-1&amp;th=1</t>
        </is>
      </c>
      <c r="L448" s="14" t="inlineStr">
        <is>
          <t>B09FTDDZ3W</t>
        </is>
      </c>
      <c r="M448" s="15" t="n">
        <v>16.5</v>
      </c>
      <c r="N448" s="15" t="n"/>
      <c r="O448" s="15" t="n">
        <v>15.59</v>
      </c>
      <c r="P448" s="15">
        <f>O448/1.19</f>
        <v/>
      </c>
      <c r="Q448" s="15">
        <f>O448-P448</f>
        <v/>
      </c>
      <c r="R448" s="15">
        <f>O448*0.15</f>
        <v/>
      </c>
      <c r="S448" s="15" t="n">
        <v>8.460000000000001</v>
      </c>
      <c r="T448" s="15">
        <f>S448*0.2</f>
        <v/>
      </c>
      <c r="U448" s="15" t="n">
        <v>0.400000000000002</v>
      </c>
      <c r="V448" s="15" t="n">
        <v>2</v>
      </c>
      <c r="W448" s="15">
        <f>V448*0.2</f>
        <v/>
      </c>
      <c r="X448" s="16">
        <f>O448-Q448-R448-S448-U448-V448+T448+W448</f>
        <v/>
      </c>
      <c r="Y448" s="14" t="n"/>
      <c r="Z448" s="15">
        <f>O448+1.5</f>
        <v/>
      </c>
      <c r="AA448" s="15" t="n"/>
      <c r="AB448" s="15" t="n"/>
      <c r="AC448" s="14" t="n"/>
      <c r="AD448" s="14" t="n"/>
      <c r="AE448" s="13" t="inlineStr">
        <is>
          <t>NOT_UPLOADED</t>
        </is>
      </c>
    </row>
    <row r="449" ht="16" customHeight="1">
      <c r="A449" s="17" t="n">
        <v>3600523954780</v>
      </c>
      <c r="B449" s="17" t="n">
        <v>30160903</v>
      </c>
      <c r="C449" s="20" t="inlineStr">
        <is>
          <t>PACK X 2</t>
        </is>
      </c>
      <c r="D449" s="18" t="n"/>
      <c r="E449" s="18" t="inlineStr">
        <is>
          <t>FOR-3600523954780</t>
        </is>
      </c>
      <c r="F449" s="17" t="inlineStr">
        <is>
          <t>L2746</t>
        </is>
      </c>
      <c r="G449" s="18" t="inlineStr">
        <is>
          <t>Fortuna</t>
        </is>
      </c>
      <c r="H449" s="18" t="inlineStr">
        <is>
          <t>Loreal</t>
        </is>
      </c>
      <c r="I449" s="18" t="inlineStr">
        <is>
          <t>L'Oréal Paris Air Volume Volumizierende Mascara 30H Mega Black mit Bürste mit Doppelborsten und hypoallergener Formel für empfindliche Augen und Kontaktlinsenträger, Farbe Extra Schwarz - 2 Mascara</t>
        </is>
      </c>
      <c r="J449" s="18" t="inlineStr">
        <is>
          <t>No</t>
        </is>
      </c>
      <c r="K449" s="18" t="inlineStr">
        <is>
          <t>https://www.amazon.de/Volumizierende-Doppelborsten-hypoallergener-empfindliche-Kontaktlinsentr%C3%A4ger/dp/B0CXTB8HZK/ref=sr_1_1?__mk_de_DE=%C3%85M%C3%85%C5%BD%C3%95%C3%91&amp;crid=1ASMF7R2JIWJE&amp;dib=eyJ2IjoiMSJ9.DxTgFPBXQdb_Jo6k7euVRA.2TBBhrU1lIpCIwC_J_wU90KjDmhNppdKpn0VyBM_WYY&amp;dib_tag=se&amp;keywords=B0CXTB8HZK&amp;qid=1753609508&amp;sprefix=b0cxtb8hzk%2Caps%2C111&amp;sr=8-1</t>
        </is>
      </c>
      <c r="L449" s="18" t="inlineStr">
        <is>
          <t>B0CXTB8HZK</t>
        </is>
      </c>
      <c r="M449" s="19" t="n"/>
      <c r="N449" s="19" t="n"/>
      <c r="O449" s="19" t="n">
        <v>30.2</v>
      </c>
      <c r="P449" s="19">
        <f>O449/1.19</f>
        <v/>
      </c>
      <c r="Q449" s="19">
        <f>O449-P449</f>
        <v/>
      </c>
      <c r="R449" s="19">
        <f>O449*0.15</f>
        <v/>
      </c>
      <c r="S449" s="19" t="n">
        <v>16.92</v>
      </c>
      <c r="T449" s="19">
        <f>S449*0.2</f>
        <v/>
      </c>
      <c r="U449" s="19" t="n">
        <v>0.400000000000002</v>
      </c>
      <c r="V449" s="19" t="n">
        <v>2.2</v>
      </c>
      <c r="W449" s="19">
        <f>V449*0.2</f>
        <v/>
      </c>
      <c r="X449" s="21">
        <f>O449-Q449-R449-S449-U449-V449+T449+W449</f>
        <v/>
      </c>
      <c r="Y449" s="18" t="n"/>
      <c r="Z449" s="19">
        <f>O449+1.5</f>
        <v/>
      </c>
      <c r="AA449" s="19" t="n"/>
      <c r="AB449" s="19" t="n"/>
      <c r="AC449" s="18" t="n"/>
      <c r="AD449" s="18" t="n"/>
      <c r="AE449" s="13" t="inlineStr">
        <is>
          <t>NOT_UPLOADED</t>
        </is>
      </c>
    </row>
    <row r="450" ht="16" customHeight="1">
      <c r="A450" s="12" t="n">
        <v>30160903</v>
      </c>
      <c r="B450" s="12" t="n">
        <v>30160903</v>
      </c>
      <c r="C450" s="20" t="inlineStr">
        <is>
          <t>APPROVAL PACKX3</t>
        </is>
      </c>
      <c r="D450" s="14" t="n"/>
      <c r="E450" s="14" t="inlineStr">
        <is>
          <t>FOR-0000030160903
3</t>
        </is>
      </c>
      <c r="F450" s="12" t="inlineStr">
        <is>
          <t>L2746</t>
        </is>
      </c>
      <c r="G450" s="14" t="inlineStr">
        <is>
          <t>Fortuna</t>
        </is>
      </c>
      <c r="H450" s="14" t="inlineStr">
        <is>
          <t>Loreal</t>
        </is>
      </c>
      <c r="I450" s="14" t="inlineStr">
        <is>
          <t>L'ORÉAL 3 x Air Volume 30H Mega Black Mascara 9,4 ml - Schwarz</t>
        </is>
      </c>
      <c r="J450" s="14" t="inlineStr">
        <is>
          <t>No</t>
        </is>
      </c>
      <c r="K450" s="14" t="inlineStr">
        <is>
          <t>https://www.amazon.de/LOR%C3%89AL-Air-Mega-Black-Mascara/dp/B09W1DKJQN/ref=sr_1_1?__mk_de_DE=%C3%85M%C3%85%C5%BD%C3%95%C3%91&amp;crid=1CTXS77LVO9ZT&amp;dib=eyJ2IjoiMSJ9.uDOcFJvdR9Dk_lVMmO_Rvw.Dv4OXQ2WHpBxH1ObyKZA0bOoPuXDAUPYqDeKOKc7xF4&amp;dib_tag=se&amp;keywords=B09W1DKJQN&amp;qid=1753624689&amp;sprefix=b09w1dkjqn%2Caps%2C100&amp;sr=8-1&amp;th=1</t>
        </is>
      </c>
      <c r="L450" s="14" t="inlineStr">
        <is>
          <t>B09W1DKJQN</t>
        </is>
      </c>
      <c r="M450" s="15" t="n">
        <v>45.11</v>
      </c>
      <c r="N450" s="15" t="n"/>
      <c r="O450" s="15" t="n">
        <v>40.77</v>
      </c>
      <c r="P450" s="15">
        <f>O450/1.19</f>
        <v/>
      </c>
      <c r="Q450" s="15">
        <f>O450-P450</f>
        <v/>
      </c>
      <c r="R450" s="15">
        <f>O450*0.15</f>
        <v/>
      </c>
      <c r="S450" s="15" t="n">
        <v>25.38</v>
      </c>
      <c r="T450" s="15">
        <f>S450*0.2</f>
        <v/>
      </c>
      <c r="U450" s="15" t="n">
        <v>0.400000000000002</v>
      </c>
      <c r="V450" s="15" t="n">
        <v>2.5</v>
      </c>
      <c r="W450" s="15">
        <f>V450*0.2</f>
        <v/>
      </c>
      <c r="X450" s="21">
        <f>O450-Q450-R450-S450-U450-V450+T450+W450</f>
        <v/>
      </c>
      <c r="Y450" s="14" t="n"/>
      <c r="Z450" s="15">
        <f>O450+1.5</f>
        <v/>
      </c>
      <c r="AA450" s="15" t="n"/>
      <c r="AB450" s="15" t="n"/>
      <c r="AC450" s="14" t="n"/>
      <c r="AD450" s="14" t="n"/>
      <c r="AE450" s="13" t="inlineStr">
        <is>
          <t>NOT_UPLOADED</t>
        </is>
      </c>
    </row>
    <row r="451" ht="16" customHeight="1">
      <c r="A451" s="17" t="n">
        <v>3600524013462</v>
      </c>
      <c r="B451" s="17" t="n">
        <v>3600524013462</v>
      </c>
      <c r="C451" s="13" t="n"/>
      <c r="D451" s="18" t="n"/>
      <c r="E451" s="18" t="inlineStr">
        <is>
          <t>FOR-3600524013462</t>
        </is>
      </c>
      <c r="F451" s="17" t="inlineStr">
        <is>
          <t>L4002</t>
        </is>
      </c>
      <c r="G451" s="18" t="inlineStr">
        <is>
          <t>Fortuna</t>
        </is>
      </c>
      <c r="H451" s="18" t="inlineStr">
        <is>
          <t>Loreal</t>
        </is>
      </c>
      <c r="I451" s="18" t="inlineStr">
        <is>
          <t>L'OREAL PARIS AGE PERFECT CELL RENEW CREMA DE DÍA 50 ML</t>
        </is>
      </c>
      <c r="J451" s="18" t="inlineStr">
        <is>
          <t>No</t>
        </is>
      </c>
      <c r="K451" s="18" t="inlineStr">
        <is>
          <t>https://www.amazon.de/LOREAL-PARIS-PERFECT-RENEW-CREMA/dp/B09NRRPRZZ/ref=sr_1_1?__mk_de_DE=%C3%85M%C3%85%C5%BD%C3%95%C3%91&amp;crid=3R549K8M24MYN&amp;dib=eyJ2IjoiMSJ9.XcurpfkoGoibyvjpaaFLNw.Yvx4Gk1HmX9NmV0BVcaxUkJt9MkZbY6aNpUjZ_QNxbw&amp;dib_tag=se&amp;keywords=3600524013462&amp;qid=1753625147&amp;sprefix=3600524013462%2Caps%2C96&amp;sr=8-1</t>
        </is>
      </c>
      <c r="L451" s="18" t="inlineStr">
        <is>
          <t>B09NRRPRZZ</t>
        </is>
      </c>
      <c r="M451" s="19" t="n">
        <v>24.6</v>
      </c>
      <c r="N451" s="19" t="n"/>
      <c r="O451" s="19" t="n">
        <v>24.3</v>
      </c>
      <c r="P451" s="19">
        <f>O451/1.19</f>
        <v/>
      </c>
      <c r="Q451" s="19">
        <f>O451-P451</f>
        <v/>
      </c>
      <c r="R451" s="19">
        <f>O451*0.15</f>
        <v/>
      </c>
      <c r="S451" s="19" t="n">
        <v>12.59</v>
      </c>
      <c r="T451" s="19">
        <f>S451*0.2</f>
        <v/>
      </c>
      <c r="U451" s="19" t="n">
        <v>0.400000000000002</v>
      </c>
      <c r="V451" s="19" t="n">
        <v>3.64</v>
      </c>
      <c r="W451" s="19">
        <f>V451*0.2</f>
        <v/>
      </c>
      <c r="X451" s="21">
        <f>O451-Q451-R451-S451-U451-V451+T451+W451</f>
        <v/>
      </c>
      <c r="Y451" s="18" t="n"/>
      <c r="Z451" s="19">
        <f>O451+1.5</f>
        <v/>
      </c>
      <c r="AA451" s="19" t="n"/>
      <c r="AB451" s="19" t="n"/>
      <c r="AC451" s="18" t="n"/>
      <c r="AD451" s="18" t="n"/>
      <c r="AE451" s="13" t="inlineStr">
        <is>
          <t>NOT_UPLOADED</t>
        </is>
      </c>
    </row>
    <row r="452" ht="16" customHeight="1">
      <c r="A452" s="12" t="n">
        <v>3600523525249</v>
      </c>
      <c r="B452" s="12" t="n">
        <v>3600524013462</v>
      </c>
      <c r="C452" s="13" t="n"/>
      <c r="D452" s="14" t="n"/>
      <c r="E452" s="14" t="inlineStr">
        <is>
          <t>FOR-3600523525249</t>
        </is>
      </c>
      <c r="F452" s="12" t="inlineStr">
        <is>
          <t>L4002</t>
        </is>
      </c>
      <c r="G452" s="14" t="inlineStr">
        <is>
          <t>Fortuna</t>
        </is>
      </c>
      <c r="H452" s="14" t="inlineStr">
        <is>
          <t>Loreal</t>
        </is>
      </c>
      <c r="I452" s="14" t="inlineStr">
        <is>
          <t>L'Oréal Paris Tagespflege für Frauen: schützt die Hautzellen vor freien Radikalen und mildert Faltenmit Neohesperidin und Vitamin E, Age Perfect Zell Renaissance1x 50ml</t>
        </is>
      </c>
      <c r="J452" s="14" t="inlineStr">
        <is>
          <t>No</t>
        </is>
      </c>
      <c r="K452" s="14" t="inlineStr">
        <is>
          <t>https://www.amazon.de/LOr%C3%A9al-Paris-Renaissance-Regenerierende-Tagespflege/dp/B0756YSR2P/ref=sr_1_1?__mk_de_DE=%C3%85M%C3%85%C5%BD%C3%95%C3%91&amp;crid=3EU67KY8XP2WE&amp;dib=eyJ2IjoiMSJ9.qVE-z3etYxlfJfhcvlVzug.DezGXzHv5U3EfTiKjszLTDUCbF2zt7QOQ3hdhYV8W2Q&amp;dib_tag=se&amp;keywords=B0756YSR2P&amp;qid=1753625586&amp;sprefix=b0756ysr2p%2Caps%2C120&amp;sr=8-1</t>
        </is>
      </c>
      <c r="L452" s="14" t="inlineStr">
        <is>
          <t>B0756YSR2P</t>
        </is>
      </c>
      <c r="M452" s="15" t="n"/>
      <c r="N452" s="15" t="n"/>
      <c r="O452" s="15" t="n">
        <v>24.3</v>
      </c>
      <c r="P452" s="15">
        <f>O452/1.19</f>
        <v/>
      </c>
      <c r="Q452" s="15">
        <f>O452-P452</f>
        <v/>
      </c>
      <c r="R452" s="15">
        <f>O452*0.15</f>
        <v/>
      </c>
      <c r="S452" s="15" t="n">
        <v>12.59</v>
      </c>
      <c r="T452" s="15">
        <f>S452*0.2</f>
        <v/>
      </c>
      <c r="U452" s="15" t="n">
        <v>0.400000000000002</v>
      </c>
      <c r="V452" s="15" t="n">
        <v>3.64</v>
      </c>
      <c r="W452" s="15">
        <f>V452*0.2</f>
        <v/>
      </c>
      <c r="X452" s="21">
        <f>O452-Q452-R452-S452-U452-V452+T452+W452</f>
        <v/>
      </c>
      <c r="Y452" s="14" t="n"/>
      <c r="Z452" s="15">
        <f>O452+1.5</f>
        <v/>
      </c>
      <c r="AA452" s="15" t="n"/>
      <c r="AB452" s="15" t="n"/>
      <c r="AC452" s="14" t="n"/>
      <c r="AD452" s="14" t="n"/>
      <c r="AE452" s="13" t="inlineStr">
        <is>
          <t>NOT_UPLOADED</t>
        </is>
      </c>
    </row>
    <row r="453" ht="16" customHeight="1">
      <c r="A453" s="17" t="n">
        <v>3600522323617</v>
      </c>
      <c r="B453" s="17" t="n">
        <v>3600524013462</v>
      </c>
      <c r="C453" s="13" t="n"/>
      <c r="D453" s="18" t="n"/>
      <c r="E453" s="18" t="inlineStr">
        <is>
          <t>FOR-3600522323617</t>
        </is>
      </c>
      <c r="F453" s="17" t="inlineStr">
        <is>
          <t>L4002</t>
        </is>
      </c>
      <c r="G453" s="18" t="inlineStr">
        <is>
          <t>Fortuna</t>
        </is>
      </c>
      <c r="H453" s="18" t="inlineStr">
        <is>
          <t>Loreal</t>
        </is>
      </c>
      <c r="I453" s="18" t="inlineStr">
        <is>
          <t>L'ORÉAL PARIS - Age Perfect Renaissance Cellulaire Creme de Jour Anti-Âge - 50 ml</t>
        </is>
      </c>
      <c r="J453" s="18" t="inlineStr">
        <is>
          <t>No</t>
        </is>
      </c>
      <c r="K453" s="18" t="inlineStr">
        <is>
          <t>https://www.amazon.de/LOR%C3%89AL-PARIS-Renaissance-Cellulaire-Anti-%C3%82ge/dp/B00N1RHE8U/ref=sr_1_1?__mk_de_DE=%C3%85M%C3%85%C5%BD%C3%95%C3%91&amp;crid=XDRMS2GWZYZN&amp;dib=eyJ2IjoiMSJ9.3RRzzEU6MtZw305RrUtPsw.6Le4jj_oqrd8YP9Vj0_QWMNmlNMDbCNSQRQWDY9Hli0&amp;dib_tag=se&amp;keywords=B00N1RHE8U&amp;qid=1753626198&amp;sprefix=b00n1rhe8u%2Caps%2C101&amp;sr=8-1&amp;th=1</t>
        </is>
      </c>
      <c r="L453" s="18" t="inlineStr">
        <is>
          <t>B00N1RHE8U</t>
        </is>
      </c>
      <c r="M453" s="19" t="n"/>
      <c r="N453" s="19" t="n"/>
      <c r="O453" s="19" t="n">
        <v>24.3</v>
      </c>
      <c r="P453" s="19">
        <f>O453/1.19</f>
        <v/>
      </c>
      <c r="Q453" s="19">
        <f>O453-P453</f>
        <v/>
      </c>
      <c r="R453" s="19">
        <f>O453*0.15</f>
        <v/>
      </c>
      <c r="S453" s="19" t="n">
        <v>12.59</v>
      </c>
      <c r="T453" s="19">
        <f>S453*0.2</f>
        <v/>
      </c>
      <c r="U453" s="19" t="n">
        <v>0.400000000000002</v>
      </c>
      <c r="V453" s="19" t="n">
        <v>3.64</v>
      </c>
      <c r="W453" s="19">
        <f>V453*0.2</f>
        <v/>
      </c>
      <c r="X453" s="21">
        <f>O453-Q453-R453-S453-U453-V453+T453+W453</f>
        <v/>
      </c>
      <c r="Y453" s="18" t="n"/>
      <c r="Z453" s="19">
        <f>O453+1.5</f>
        <v/>
      </c>
      <c r="AA453" s="19" t="n"/>
      <c r="AB453" s="19" t="n"/>
      <c r="AC453" s="18" t="n"/>
      <c r="AD453" s="18" t="n"/>
      <c r="AE453" s="13" t="inlineStr">
        <is>
          <t>NOT_UPLOADED</t>
        </is>
      </c>
    </row>
    <row r="454" ht="16" customHeight="1">
      <c r="A454" s="12" t="n">
        <v>3600522416906</v>
      </c>
      <c r="B454" s="12" t="n">
        <v>3600522416906</v>
      </c>
      <c r="C454" s="13" t="n"/>
      <c r="D454" s="14" t="n"/>
      <c r="E454" s="14" t="inlineStr">
        <is>
          <t>FOR-3600522416906</t>
        </is>
      </c>
      <c r="F454" s="12" t="inlineStr">
        <is>
          <t>L4005</t>
        </is>
      </c>
      <c r="G454" s="14" t="inlineStr">
        <is>
          <t>Fortuna</t>
        </is>
      </c>
      <c r="H454" s="14" t="inlineStr">
        <is>
          <t>Loreal</t>
        </is>
      </c>
      <c r="I454" s="14" t="inlineStr">
        <is>
          <t>L'oreal - Revitalift, factor de protección solar 30, crema de día (el embalaje puede variar)</t>
        </is>
      </c>
      <c r="J454" s="14" t="inlineStr">
        <is>
          <t>No</t>
        </is>
      </c>
      <c r="K454" s="14" t="inlineStr">
        <is>
          <t>https://www.amazon.es/dp/B00E62G3AO</t>
        </is>
      </c>
      <c r="L454" s="14" t="inlineStr">
        <is>
          <t>B00E62G3AO</t>
        </is>
      </c>
      <c r="M454" s="15" t="n">
        <v>22.18</v>
      </c>
      <c r="N454" s="15" t="n"/>
      <c r="O454" s="15" t="n">
        <v>21.4</v>
      </c>
      <c r="P454" s="15">
        <f>O454/1.19</f>
        <v/>
      </c>
      <c r="Q454" s="15">
        <f>O454-P454</f>
        <v/>
      </c>
      <c r="R454" s="15">
        <f>O454*0.15</f>
        <v/>
      </c>
      <c r="S454" s="15" t="n">
        <v>9.449999999999999</v>
      </c>
      <c r="T454" s="15">
        <f>S454*0.2</f>
        <v/>
      </c>
      <c r="U454" s="15" t="n">
        <v>0.400000000000002</v>
      </c>
      <c r="V454" s="15" t="n">
        <v>3.3</v>
      </c>
      <c r="W454" s="15">
        <f>V454*0.2</f>
        <v/>
      </c>
      <c r="X454" s="21">
        <f>O454-Q454-R454-S454-U454-V454+T454+W454</f>
        <v/>
      </c>
      <c r="Y454" s="14" t="n"/>
      <c r="Z454" s="15">
        <f>O454+1.5</f>
        <v/>
      </c>
      <c r="AA454" s="15" t="n"/>
      <c r="AB454" s="15" t="n"/>
      <c r="AC454" s="14" t="n"/>
      <c r="AD454" s="14" t="n"/>
      <c r="AE454" s="13" t="inlineStr">
        <is>
          <t>NOT_UPLOADED</t>
        </is>
      </c>
    </row>
    <row r="455" ht="16" customHeight="1">
      <c r="A455" s="17" t="n">
        <v>3600522417101</v>
      </c>
      <c r="B455" s="17" t="n">
        <v>3600522416906</v>
      </c>
      <c r="C455" s="13" t="n"/>
      <c r="D455" s="18" t="n"/>
      <c r="E455" s="18" t="inlineStr">
        <is>
          <t>FOR-3600522417101</t>
        </is>
      </c>
      <c r="F455" s="17" t="inlineStr">
        <is>
          <t>L4005</t>
        </is>
      </c>
      <c r="G455" s="18" t="inlineStr">
        <is>
          <t>Fortuna</t>
        </is>
      </c>
      <c r="H455" s="18" t="inlineStr">
        <is>
          <t>Loreal</t>
        </is>
      </c>
      <c r="I455" s="18" t="inlineStr">
        <is>
          <t>L'Oreal Paris Dermo Expertise Revital Tagescreme Mit LSF30, 1 x 50ml</t>
        </is>
      </c>
      <c r="J455" s="18" t="inlineStr">
        <is>
          <t>No</t>
        </is>
      </c>
      <c r="K455" s="18" t="inlineStr">
        <is>
          <t>https://www.amazon.de/LOreal-Paris-Dermo-Expertise-Revital/dp/B00STBWRSA/ref=sr_1_1?__mk_de_DE=%C3%85M%C3%85%C5%BD%C3%95%C3%91&amp;crid=2NM2YTJUIWNQO&amp;dib=eyJ2IjoiMSJ9.h_HGyi9BjB6BD7yHw6HZnQ.MAYs8DNDRR-_xedr49f7YJIKDjQVkvd2ZEkOx5LXyYg&amp;dib_tag=se&amp;keywords=B00STBWRSA&amp;qid=1753815165&amp;sprefix=b00stbwrsa%2Caps%2C97&amp;sr=8-1</t>
        </is>
      </c>
      <c r="L455" s="18" t="inlineStr">
        <is>
          <t>B00STBWRSA</t>
        </is>
      </c>
      <c r="M455" s="19" t="n"/>
      <c r="N455" s="19" t="n"/>
      <c r="O455" s="19" t="n">
        <v>20.7</v>
      </c>
      <c r="P455" s="19">
        <f>O455/1.19</f>
        <v/>
      </c>
      <c r="Q455" s="19">
        <f>O455-P455</f>
        <v/>
      </c>
      <c r="R455" s="19">
        <f>O455*0.15</f>
        <v/>
      </c>
      <c r="S455" s="19" t="n">
        <v>9.449999999999999</v>
      </c>
      <c r="T455" s="19">
        <f>S455*0.2</f>
        <v/>
      </c>
      <c r="U455" s="19" t="n">
        <v>0.400000000000002</v>
      </c>
      <c r="V455" s="19" t="n">
        <v>3.3</v>
      </c>
      <c r="W455" s="19">
        <f>V455*0.2</f>
        <v/>
      </c>
      <c r="X455" s="21">
        <f>O455-Q455-R455-S455-U455-V455+T455+W455</f>
        <v/>
      </c>
      <c r="Y455" s="18" t="n"/>
      <c r="Z455" s="19">
        <f>O455+1.5</f>
        <v/>
      </c>
      <c r="AA455" s="19" t="n"/>
      <c r="AB455" s="19" t="n"/>
      <c r="AC455" s="18" t="n"/>
      <c r="AD455" s="18" t="n"/>
      <c r="AE455" s="13" t="inlineStr">
        <is>
          <t>NOT_UPLOADED</t>
        </is>
      </c>
    </row>
    <row r="456" ht="16" customHeight="1">
      <c r="A456" s="12" t="n">
        <v>3600523670642</v>
      </c>
      <c r="B456" s="12" t="n">
        <v>3600522416906</v>
      </c>
      <c r="C456" s="13" t="n"/>
      <c r="D456" s="14" t="n"/>
      <c r="E456" s="14" t="inlineStr">
        <is>
          <t>FOR-3600523670642</t>
        </is>
      </c>
      <c r="F456" s="12" t="inlineStr">
        <is>
          <t>L4005</t>
        </is>
      </c>
      <c r="G456" s="14" t="inlineStr">
        <is>
          <t>Fortuna</t>
        </is>
      </c>
      <c r="H456" s="14" t="inlineStr">
        <is>
          <t>Loreal</t>
        </is>
      </c>
      <c r="I456" s="14" t="inlineStr">
        <is>
          <t>L'Oréal Paris Feuchtigkeitspflege Tag LSF 30 für Frauen: für eine elastische und besonders straffe Haut &amp; schützt vor UV-Strahlen mit Pro-Elastin &amp; Adenosin, Revitalift, 1x 50ml</t>
        </is>
      </c>
      <c r="J456" s="14" t="inlineStr">
        <is>
          <t>No</t>
        </is>
      </c>
      <c r="K456" s="14" t="inlineStr">
        <is>
          <t>https://www.amazon.de/LOr%C3%A9al-Paris-Tagespflege-Pro-Elastin-Bienenwachs/dp/B0055WX3OI/ref=sr_1_1?__mk_de_DE=%C3%85M%C3%85%C5%BD%C3%95%C3%91&amp;crid=1NHUWTQXPBGER&amp;dib=eyJ2IjoiMSJ9.PckRVGajxaOcQXlyakMLbw.QVal8A2GNFMirMqXNHg4o4u_fKDhf9Md53SygTM7qow&amp;dib_tag=se&amp;keywords=B0055WX3OI&amp;qid=1753820570&amp;s=beauty&amp;sprefix=b0055wx3oi%2Cbeauty%2C132&amp;sr=1-1</t>
        </is>
      </c>
      <c r="L456" s="14" t="inlineStr">
        <is>
          <t>B0055WX3OI</t>
        </is>
      </c>
      <c r="M456" s="15" t="n"/>
      <c r="N456" s="15" t="n"/>
      <c r="O456" s="15" t="n">
        <v>20.7</v>
      </c>
      <c r="P456" s="15">
        <f>O456/1.19</f>
        <v/>
      </c>
      <c r="Q456" s="15">
        <f>O456-P456</f>
        <v/>
      </c>
      <c r="R456" s="15">
        <f>O456*0.15</f>
        <v/>
      </c>
      <c r="S456" s="15" t="n">
        <v>9.449999999999999</v>
      </c>
      <c r="T456" s="15">
        <f>S456*0.2</f>
        <v/>
      </c>
      <c r="U456" s="15" t="n">
        <v>0.400000000000002</v>
      </c>
      <c r="V456" s="15" t="n">
        <v>3.3</v>
      </c>
      <c r="W456" s="15">
        <f>V456*0.2</f>
        <v/>
      </c>
      <c r="X456" s="21">
        <f>O456-Q456-R456-S456-U456-V456+T456+W456</f>
        <v/>
      </c>
      <c r="Y456" s="14" t="n"/>
      <c r="Z456" s="15">
        <f>O456+1.5</f>
        <v/>
      </c>
      <c r="AA456" s="15" t="n"/>
      <c r="AB456" s="15" t="n"/>
      <c r="AC456" s="14" t="n"/>
      <c r="AD456" s="14" t="n"/>
      <c r="AE456" s="13" t="inlineStr">
        <is>
          <t>NOT_UPLOADED</t>
        </is>
      </c>
    </row>
    <row r="457" ht="16" customHeight="1">
      <c r="A457" s="17" t="n">
        <v>3600523279111</v>
      </c>
      <c r="B457" s="17" t="n">
        <v>3600523279111</v>
      </c>
      <c r="C457" s="13" t="n"/>
      <c r="D457" s="18" t="n"/>
      <c r="E457" s="18" t="inlineStr">
        <is>
          <t>FOR-3600523279111</t>
        </is>
      </c>
      <c r="F457" s="17" t="inlineStr">
        <is>
          <t>L4006</t>
        </is>
      </c>
      <c r="G457" s="18" t="inlineStr">
        <is>
          <t>Fortuna</t>
        </is>
      </c>
      <c r="H457" s="18" t="inlineStr">
        <is>
          <t>Loreal</t>
        </is>
      </c>
      <c r="I457" s="18" t="inlineStr">
        <is>
          <t>Dermo Expertise Revitalift Core White Serum 30 ml</t>
        </is>
      </c>
      <c r="J457" s="18" t="inlineStr">
        <is>
          <t>No</t>
        </is>
      </c>
      <c r="K457" s="18" t="inlineStr">
        <is>
          <t>https://www.amazon.de/dp/B01G3FRCK6</t>
        </is>
      </c>
      <c r="L457" s="18" t="inlineStr">
        <is>
          <t>B01G3FRCK6</t>
        </is>
      </c>
      <c r="M457" s="19" t="n">
        <v>23.88</v>
      </c>
      <c r="N457" s="19" t="n"/>
      <c r="O457" s="19" t="n">
        <v>19.8</v>
      </c>
      <c r="P457" s="19">
        <f>O457/1.19</f>
        <v/>
      </c>
      <c r="Q457" s="19">
        <f>O457-P457</f>
        <v/>
      </c>
      <c r="R457" s="19">
        <f>O457*0.15</f>
        <v/>
      </c>
      <c r="S457" s="19" t="n">
        <v>9.98</v>
      </c>
      <c r="T457" s="19">
        <f>S457*0.2</f>
        <v/>
      </c>
      <c r="U457" s="19" t="n">
        <v>0.400000000000002</v>
      </c>
      <c r="V457" s="19" t="n">
        <v>2.15</v>
      </c>
      <c r="W457" s="19">
        <f>V457*0.2</f>
        <v/>
      </c>
      <c r="X457" s="21">
        <f>O457-Q457-R457-S457-U457-V457+T457+W457</f>
        <v/>
      </c>
      <c r="Y457" s="18" t="n"/>
      <c r="Z457" s="19">
        <f>O457+1.5</f>
        <v/>
      </c>
      <c r="AA457" s="19" t="n"/>
      <c r="AB457" s="19" t="n"/>
      <c r="AC457" s="18" t="n"/>
      <c r="AD457" s="18" t="n"/>
      <c r="AE457" s="13" t="inlineStr">
        <is>
          <t>NOT_UPLOADED</t>
        </is>
      </c>
    </row>
    <row r="458" ht="16" customHeight="1">
      <c r="A458" s="12" t="n">
        <v>3600523670659</v>
      </c>
      <c r="B458" s="12" t="n">
        <v>3600523279111</v>
      </c>
      <c r="C458" s="13" t="n"/>
      <c r="D458" s="14" t="n"/>
      <c r="E458" s="14" t="inlineStr">
        <is>
          <t>FOR- 3600523670659</t>
        </is>
      </c>
      <c r="F458" s="12" t="inlineStr">
        <is>
          <t>L4006</t>
        </is>
      </c>
      <c r="G458" s="14" t="inlineStr">
        <is>
          <t>Fortuna</t>
        </is>
      </c>
      <c r="H458" s="14" t="inlineStr">
        <is>
          <t>Loreal</t>
        </is>
      </c>
      <c r="I458" s="14" t="inlineStr">
        <is>
          <t>L'Oréal Paris Straffendes Serum für Frauen: verleiht der Haut mehr Elastizität &amp; Straffheit &amp; Feuchtigkeit mit Pro-Elastin &amp; Hyaluronsäure &amp; Adenosin, Revitalift, 1x 30ml</t>
        </is>
      </c>
      <c r="J458" s="14" t="inlineStr">
        <is>
          <t>No</t>
        </is>
      </c>
      <c r="K458" s="14" t="inlineStr">
        <is>
          <t>https://www.amazon.de/LOr%C3%A9al-Paris-Feuchtigkeits-Serum-Hyalurons%C3%A4ure-Anti-Falten-Aktivstoff/dp/B07N6JYLVP/ref=sr_1_1?__mk_de_DE=%C3%85M%C3%85%C5%BD%C3%95%C3%91&amp;crid=2C1RG3UN5MM7E&amp;dib=eyJ2IjoiMSJ9.AF1RresdatQZHYVKszQ8ng.KD3LZKSktwrF24ZgaeXfHFlBeYxR8v8L0k4xY0j0TJo&amp;dib_tag=se&amp;keywords=B07N6JYLVP&amp;qid=1753819189&amp;rdc=1&amp;s=beauty&amp;sprefix=b07n6jylvp%2Cbeauty%2C113&amp;sr=1-1&amp;th=1</t>
        </is>
      </c>
      <c r="L458" s="14" t="inlineStr">
        <is>
          <t>B07N6JYLVP</t>
        </is>
      </c>
      <c r="M458" s="15" t="n"/>
      <c r="N458" s="15" t="n"/>
      <c r="O458" s="15" t="n">
        <v>18.8</v>
      </c>
      <c r="P458" s="15">
        <f>O458/1.19</f>
        <v/>
      </c>
      <c r="Q458" s="15">
        <f>O458-P458</f>
        <v/>
      </c>
      <c r="R458" s="15">
        <f>O458*0.15</f>
        <v/>
      </c>
      <c r="S458" s="15" t="n">
        <v>9.98</v>
      </c>
      <c r="T458" s="15">
        <f>S458*0.2</f>
        <v/>
      </c>
      <c r="U458" s="15" t="n">
        <v>0.400000000000002</v>
      </c>
      <c r="V458" s="15" t="n">
        <v>2.15</v>
      </c>
      <c r="W458" s="15">
        <f>V458*0.2</f>
        <v/>
      </c>
      <c r="X458" s="21">
        <f>O458-Q458-R458-S458-U458-V458+T458+W458</f>
        <v/>
      </c>
      <c r="Y458" s="14" t="n"/>
      <c r="Z458" s="15">
        <f>O458+1.5</f>
        <v/>
      </c>
      <c r="AA458" s="15" t="n"/>
      <c r="AB458" s="15" t="n"/>
      <c r="AC458" s="14" t="n"/>
      <c r="AD458" s="14" t="n"/>
      <c r="AE458" s="13" t="inlineStr">
        <is>
          <t>NOT_UPLOADED</t>
        </is>
      </c>
    </row>
    <row r="459" ht="16" customHeight="1">
      <c r="A459" s="17" t="n">
        <v>3600524012601</v>
      </c>
      <c r="B459" s="17" t="n">
        <v>3600524012601</v>
      </c>
      <c r="C459" s="13" t="n"/>
      <c r="D459" s="18" t="n"/>
      <c r="E459" s="18" t="inlineStr">
        <is>
          <t>FOR-3600524012601</t>
        </is>
      </c>
      <c r="F459" s="17" t="inlineStr">
        <is>
          <t>L4004</t>
        </is>
      </c>
      <c r="G459" s="18" t="inlineStr">
        <is>
          <t>Fortuna</t>
        </is>
      </c>
      <c r="H459" s="18" t="inlineStr">
        <is>
          <t>Loreal</t>
        </is>
      </c>
      <c r="I459" s="18" t="inlineStr">
        <is>
          <t>L'Oreal Paris Midnight Serum Cell Renew, Age Perfect Anti-Oxidant Recovery Complex Nachtserum gegen Falten, Festigkeit und Ausstrahlung, 30 ml</t>
        </is>
      </c>
      <c r="J459" s="18" t="inlineStr">
        <is>
          <t>No</t>
        </is>
      </c>
      <c r="K459" s="18" t="inlineStr">
        <is>
          <t>https://www.amazon.de/LOreal-Paris-Anti-Oxidant-Nachtserum-Ausstrahlung/dp/B09NT5KWL5/ref=sr_1_1?__mk_de_DE=%C3%85M%C3%85%C5%BD%C3%95%C3%91&amp;crid=FA3EQN3JEHJE&amp;dib=eyJ2IjoiMSJ9.evJid8ph_Suhafw9tfObHw.ryoirQB3AtYoKHU8rZvYN8xrUOqWV7MQdZhoYUepBAw&amp;dib_tag=se&amp;keywords=3600524012601&amp;qid=1753816116&amp;sprefix=3600524012601%2Caps%2C138&amp;sr=8-1</t>
        </is>
      </c>
      <c r="L459" s="18" t="inlineStr">
        <is>
          <t>B09NT5KWL5</t>
        </is>
      </c>
      <c r="M459" s="19" t="n"/>
      <c r="N459" s="19" t="n"/>
      <c r="O459" s="19" t="n">
        <v>26.4</v>
      </c>
      <c r="P459" s="19">
        <f>O459/1.19</f>
        <v/>
      </c>
      <c r="Q459" s="19">
        <f>O459-P459</f>
        <v/>
      </c>
      <c r="R459" s="19">
        <f>O459*0.15</f>
        <v/>
      </c>
      <c r="S459" s="19" t="n">
        <v>14.71</v>
      </c>
      <c r="T459" s="19">
        <f>S459*0.2</f>
        <v/>
      </c>
      <c r="U459" s="19" t="n">
        <v>0.400000000000002</v>
      </c>
      <c r="V459" s="19" t="n">
        <v>3.3</v>
      </c>
      <c r="W459" s="19">
        <f>V459*0.2</f>
        <v/>
      </c>
      <c r="X459" s="21">
        <f>O459-Q459-R459-S459-U459-V459+T459+W459</f>
        <v/>
      </c>
      <c r="Y459" s="18" t="n"/>
      <c r="Z459" s="19">
        <f>O459+1.5</f>
        <v/>
      </c>
      <c r="AA459" s="19" t="n">
        <v>14.01</v>
      </c>
      <c r="AB459" s="19" t="n">
        <v>2127565</v>
      </c>
      <c r="AC459" s="18" t="n"/>
      <c r="AD459" s="18" t="n"/>
      <c r="AE459" s="13" t="inlineStr">
        <is>
          <t>NOT_UPLOADED</t>
        </is>
      </c>
    </row>
    <row r="460" ht="16" customHeight="1">
      <c r="A460" s="12" t="n">
        <v>3600524012618</v>
      </c>
      <c r="B460" s="12" t="n">
        <v>3600524012601</v>
      </c>
      <c r="C460" s="13" t="n"/>
      <c r="D460" s="14" t="n"/>
      <c r="E460" s="14" t="inlineStr">
        <is>
          <t>FOR-3600524012618</t>
        </is>
      </c>
      <c r="F460" s="12" t="inlineStr">
        <is>
          <t>L4004</t>
        </is>
      </c>
      <c r="G460" s="14" t="inlineStr">
        <is>
          <t>Fortuna</t>
        </is>
      </c>
      <c r="H460" s="14" t="inlineStr">
        <is>
          <t>Loreal</t>
        </is>
      </c>
      <c r="I460" s="14" t="inlineStr">
        <is>
          <t>L'Oréal Paris Midnight Serum für Frauen: Zell-Regeneration über Nacht &amp; schützt vor freien Radikalen am Tag für weniger Falten, glattere und jüngere Haut, Age Perfect Zell Renaissance, 1x 30ml</t>
        </is>
      </c>
      <c r="J460" s="14" t="inlineStr">
        <is>
          <t>No</t>
        </is>
      </c>
      <c r="K460" s="14" t="inlineStr">
        <is>
          <t>https://www.amazon.de/LOr%C3%A9al-Paris-Zellregeneration-Antioxidantien-Renaissance/dp/B09J1SNSVV/ref=sr_1_1?__mk_de_DE=%C3%85M%C3%85%C5%BD%C3%95%C3%91&amp;crid=125O1G2RUBBK0&amp;dib=eyJ2IjoiMSJ9.oefizvNG8cPRefc66bfqNA.zTfnk7DQp2bKvr3pIOuMXhFK_wMZbYlHttKYzc3LoUY&amp;dib_tag=se&amp;keywords=B09J1SNSVV&amp;qid=1753817046&amp;rdc=1&amp;sprefix=b09j1snsvv%2Caps%2C119&amp;sr=8-1&amp;th=1</t>
        </is>
      </c>
      <c r="L460" s="14" t="inlineStr">
        <is>
          <t>B09J1SNSVV</t>
        </is>
      </c>
      <c r="M460" s="15" t="n"/>
      <c r="N460" s="15" t="n"/>
      <c r="O460" s="15" t="n">
        <v>24.85</v>
      </c>
      <c r="P460" s="15">
        <f>O460/1.19</f>
        <v/>
      </c>
      <c r="Q460" s="15">
        <f>O460-P460</f>
        <v/>
      </c>
      <c r="R460" s="15">
        <f>O460*0.15</f>
        <v/>
      </c>
      <c r="S460" s="15" t="n">
        <v>14.71</v>
      </c>
      <c r="T460" s="15">
        <f>S460*0.2</f>
        <v/>
      </c>
      <c r="U460" s="15" t="n">
        <v>0.400000000000002</v>
      </c>
      <c r="V460" s="15" t="n">
        <v>3</v>
      </c>
      <c r="W460" s="15">
        <f>V460*0.2</f>
        <v/>
      </c>
      <c r="X460" s="21">
        <f>O460-Q460-R460-S460-U460-V460+T460+W460</f>
        <v/>
      </c>
      <c r="Y460" s="14" t="n"/>
      <c r="Z460" s="15">
        <f>O460+1.5</f>
        <v/>
      </c>
      <c r="AA460" s="15" t="n">
        <v>14.01</v>
      </c>
      <c r="AB460" s="15" t="n">
        <v>2127565</v>
      </c>
      <c r="AC460" s="14" t="n"/>
      <c r="AD460" s="14" t="n"/>
      <c r="AE460" s="13" t="inlineStr">
        <is>
          <t>NOT_UPLOADED</t>
        </is>
      </c>
    </row>
    <row r="461" ht="16" customHeight="1">
      <c r="A461" s="17" t="n">
        <v>3600524034023</v>
      </c>
      <c r="B461" s="17" t="n">
        <v>3600524012601</v>
      </c>
      <c r="C461" s="13" t="n"/>
      <c r="D461" s="18" t="n"/>
      <c r="E461" s="18" t="inlineStr">
        <is>
          <t>FOR-3600524034023</t>
        </is>
      </c>
      <c r="F461" s="17" t="inlineStr">
        <is>
          <t>L4004</t>
        </is>
      </c>
      <c r="G461" s="18" t="inlineStr">
        <is>
          <t>Fortuna</t>
        </is>
      </c>
      <c r="H461" s="18" t="inlineStr">
        <is>
          <t>Loreal</t>
        </is>
      </c>
      <c r="I461" s="18" t="inlineStr">
        <is>
          <t>L'Oréal Paris Midnight Age Perfect Renaissance Cellulaire Gesichtsserum für die Zellerneuerung und Anti-Aging-Wirkung, jünger aussehende Haut, Antioxidationskomplex, 30 ml</t>
        </is>
      </c>
      <c r="J461" s="18" t="inlineStr">
        <is>
          <t>No</t>
        </is>
      </c>
      <c r="K461" s="18" t="inlineStr">
        <is>
          <t>https://www.amazon.de/LOr%C3%A9al-Paris-Zellerneuerung-Anti-Aging-Wirkung-Antioxidationskomplex/dp/B09NCM9P2W/ref=sr_1_1?__mk_de_DE=%C3%85M%C3%85%C5%BD%C3%95%C3%91&amp;crid=1Q6X4MDSBYDRB&amp;dib=eyJ2IjoiMSJ9.08dnJFveb-N84Th3ANEWog.zXxBFjoXDNl7Z5taY8hVI3KD8BgvGvnQFw5jxH9rJiQ&amp;dib_tag=se&amp;keywords=B09NCM9P2W&amp;qid=1753817089&amp;sprefix=b09ncm9p2w%2Caps%2C79&amp;sr=8-1</t>
        </is>
      </c>
      <c r="L461" s="18" t="inlineStr">
        <is>
          <t>B09NCM9P2W</t>
        </is>
      </c>
      <c r="M461" s="19" t="n"/>
      <c r="N461" s="19" t="n"/>
      <c r="O461" s="19" t="n">
        <v>26.4</v>
      </c>
      <c r="P461" s="19">
        <f>O461/1.19</f>
        <v/>
      </c>
      <c r="Q461" s="19">
        <f>O461-P461</f>
        <v/>
      </c>
      <c r="R461" s="19">
        <f>O461*0.15</f>
        <v/>
      </c>
      <c r="S461" s="19" t="n">
        <v>14.71</v>
      </c>
      <c r="T461" s="19">
        <f>S461*0.2</f>
        <v/>
      </c>
      <c r="U461" s="19" t="n">
        <v>0.400000000000002</v>
      </c>
      <c r="V461" s="19" t="n">
        <v>3.3</v>
      </c>
      <c r="W461" s="19">
        <f>V461*0.2</f>
        <v/>
      </c>
      <c r="X461" s="21">
        <f>O461-Q461-R461-S461-U461-V461+T461+W461</f>
        <v/>
      </c>
      <c r="Y461" s="18" t="n"/>
      <c r="Z461" s="19">
        <f>O461+1.5</f>
        <v/>
      </c>
      <c r="AA461" s="19" t="n"/>
      <c r="AB461" s="19" t="n"/>
      <c r="AC461" s="18" t="n"/>
      <c r="AD461" s="18" t="n"/>
      <c r="AE461" s="13" t="inlineStr">
        <is>
          <t>NOT_UPLOADED</t>
        </is>
      </c>
    </row>
    <row r="462" ht="16" customHeight="1">
      <c r="A462" s="12" t="n">
        <v>3600524066475</v>
      </c>
      <c r="B462" s="12" t="n">
        <v>3600524066475</v>
      </c>
      <c r="C462" s="13" t="n"/>
      <c r="D462" s="14" t="n"/>
      <c r="E462" s="14" t="inlineStr">
        <is>
          <t>FOR-3600524066475</t>
        </is>
      </c>
      <c r="F462" s="12" t="inlineStr">
        <is>
          <t>L4003</t>
        </is>
      </c>
      <c r="G462" s="14" t="inlineStr">
        <is>
          <t>Fortuna</t>
        </is>
      </c>
      <c r="H462" s="14" t="inlineStr">
        <is>
          <t>Loreal</t>
        </is>
      </c>
      <c r="I462" s="14" t="inlineStr">
        <is>
          <t>L'OREAL PARIS AGE PERFECT CELL RENEW MIDNIGHT CREAM NIGHT SKIN CREAM W 50 ML 50 ML 50 ML</t>
        </is>
      </c>
      <c r="J462" s="14" t="inlineStr">
        <is>
          <t>No</t>
        </is>
      </c>
      <c r="K462" s="14" t="inlineStr">
        <is>
          <t>https://www.amazon.de/LOREAL-PARIS-PERFECT-RENEW-MIDNIGHT/dp/B0BMGL5LX8/ref=sr_1_1?__mk_de_DE=%C3%85M%C3%85%C5%BD%C3%95%C3%91&amp;crid=3TMQRBHSJYXM1&amp;dib=eyJ2IjoiMSJ9.B-WZLQ-wS8S0t10vZ7z0cA.qwHmnFFtjWxwD05qWo5TcZAMpXhw0XKrCzk8W7dny_8&amp;dib_tag=se&amp;keywords=3600524066475&amp;qid=1753817298&amp;sprefix=3600524066475%2Caps%2C105&amp;sr=8-1</t>
        </is>
      </c>
      <c r="L462" s="14" t="inlineStr">
        <is>
          <t>B0BMGL5LX8</t>
        </is>
      </c>
      <c r="M462" s="15" t="n">
        <v>29.9</v>
      </c>
      <c r="N462" s="15" t="n"/>
      <c r="O462" s="15" t="n">
        <v>26.7</v>
      </c>
      <c r="P462" s="15">
        <f>O462/1.19</f>
        <v/>
      </c>
      <c r="Q462" s="15">
        <f>O462-P462</f>
        <v/>
      </c>
      <c r="R462" s="15">
        <f>O462*0.15</f>
        <v/>
      </c>
      <c r="S462" s="15" t="n">
        <v>12.59</v>
      </c>
      <c r="T462" s="15">
        <f>S462*0.2</f>
        <v/>
      </c>
      <c r="U462" s="15" t="n">
        <v>0.400000000000002</v>
      </c>
      <c r="V462" s="15" t="n">
        <v>3.3</v>
      </c>
      <c r="W462" s="15">
        <f>V462*0.2</f>
        <v/>
      </c>
      <c r="X462" s="21">
        <f>O462-Q462-R462-S462-U462-V462+T462+W462</f>
        <v/>
      </c>
      <c r="Y462" s="14" t="n"/>
      <c r="Z462" s="15">
        <f>O462+1.5</f>
        <v/>
      </c>
      <c r="AA462" s="15" t="n"/>
      <c r="AB462" s="15" t="n"/>
      <c r="AC462" s="14" t="n"/>
      <c r="AD462" s="14" t="n"/>
      <c r="AE462" s="13" t="inlineStr">
        <is>
          <t>NOT_UPLOADED</t>
        </is>
      </c>
    </row>
    <row r="463" ht="16" customHeight="1">
      <c r="A463" s="17" t="n">
        <v>3600524066512</v>
      </c>
      <c r="B463" s="17" t="n">
        <v>3600524066475</v>
      </c>
      <c r="C463" s="13" t="n"/>
      <c r="D463" s="18" t="n"/>
      <c r="E463" s="18" t="inlineStr">
        <is>
          <t>FOR-3600524066512</t>
        </is>
      </c>
      <c r="F463" s="17" t="inlineStr">
        <is>
          <t>L4003</t>
        </is>
      </c>
      <c r="G463" s="18" t="inlineStr">
        <is>
          <t>Fortuna</t>
        </is>
      </c>
      <c r="H463" s="18" t="inlineStr">
        <is>
          <t>Loreal</t>
        </is>
      </c>
      <c r="I463" s="18" t="inlineStr">
        <is>
          <t>L'Oréal Paris Midnight Creme für Frauen: Regeneriert die Haut über Nacht &amp; schützt tagsüber mit einzigartiger Antioxidantien-Regenerationsformel, Age Perfect Zell Renaissance, 1x 50ml</t>
        </is>
      </c>
      <c r="J463" s="18" t="inlineStr">
        <is>
          <t>No</t>
        </is>
      </c>
      <c r="K463" s="18" t="inlineStr">
        <is>
          <t>https://www.amazon.de/LOr%C3%A9al-Paris-Regenerierende-Zell-Renaissance-Gesichtspflege/dp/B0BH8HVFTZ/ref=sr_1_1?__mk_de_DE=%C3%85M%C3%85%C5%BD%C3%95%C3%91&amp;crid=3TI4XRINREKJ&amp;dib=eyJ2IjoiMSJ9.64KIjTxt41aEgep-0fn0fw.kz0Ipad3ICvY4lRx0-Qzik4cSQUmrVIIGy6eG7lipfw&amp;dib_tag=se&amp;keywords=B0BH8HVFTZ&amp;qid=1753817894&amp;rdc=1&amp;sprefix=b0bh8hvftz%2Caps%2C108&amp;sr=8-1</t>
        </is>
      </c>
      <c r="L463" s="18" t="inlineStr">
        <is>
          <t>B0BH8HVFTZ</t>
        </is>
      </c>
      <c r="M463" s="19" t="n"/>
      <c r="N463" s="19" t="n"/>
      <c r="O463" s="19" t="n">
        <v>24.77</v>
      </c>
      <c r="P463" s="19">
        <f>O463/1.19</f>
        <v/>
      </c>
      <c r="Q463" s="19">
        <f>O463-P463</f>
        <v/>
      </c>
      <c r="R463" s="19">
        <f>O463*0.15</f>
        <v/>
      </c>
      <c r="S463" s="19" t="n">
        <v>12.59</v>
      </c>
      <c r="T463" s="19">
        <f>S463*0.2</f>
        <v/>
      </c>
      <c r="U463" s="19" t="n">
        <v>0.400000000000002</v>
      </c>
      <c r="V463" s="19" t="n">
        <v>3.3</v>
      </c>
      <c r="W463" s="19">
        <f>V463*0.2</f>
        <v/>
      </c>
      <c r="X463" s="21">
        <f>O463-Q463-R463-S463-U463-V463+T463+W463</f>
        <v/>
      </c>
      <c r="Y463" s="18" t="n"/>
      <c r="Z463" s="19">
        <f>O463+1.5</f>
        <v/>
      </c>
      <c r="AA463" s="19" t="n"/>
      <c r="AB463" s="19" t="n"/>
      <c r="AC463" s="18" t="n"/>
      <c r="AD463" s="18" t="n"/>
      <c r="AE463" s="13" t="inlineStr">
        <is>
          <t>NOT_UPLOADED</t>
        </is>
      </c>
    </row>
    <row r="464" ht="16" customHeight="1">
      <c r="A464" s="12" t="n">
        <v>3600524069650</v>
      </c>
      <c r="B464" s="12" t="n">
        <v>3600524104719</v>
      </c>
      <c r="C464" s="13" t="n"/>
      <c r="D464" s="14" t="n"/>
      <c r="E464" s="14" t="inlineStr">
        <is>
          <t>FOR-3600524069650</t>
        </is>
      </c>
      <c r="F464" s="12" t="inlineStr">
        <is>
          <t>L4009</t>
        </is>
      </c>
      <c r="G464" s="14" t="inlineStr">
        <is>
          <t>Fortuna</t>
        </is>
      </c>
      <c r="H464" s="14" t="inlineStr">
        <is>
          <t>Loreal</t>
        </is>
      </c>
      <c r="I464" s="14" t="inlineStr">
        <is>
          <t>L'Oréal Paris - Anti-UV-Fluide LSF 50+ Vitamin C + Vitamin E + Hyaluronsäure - Taches, Rides &amp; Teint Irrégulier - Fini Invisible - UVB &amp; UVA Longs - Revitalift Clinical - 50 ml</t>
        </is>
      </c>
      <c r="J464" s="14" t="inlineStr">
        <is>
          <t>No</t>
        </is>
      </c>
      <c r="K464" s="14" t="inlineStr">
        <is>
          <t>https://www.amazon.de/LOr%C3%A9al-Paris-Anti-UV-Fluide-Hyalurons%C3%A4ure-Irr%C3%A9gulier/dp/B0BNJ5G6TG/ref=sr_1_6?__mk_de_DE=%C3%85M%C3%85%C5%BD%C3%95%C3%91&amp;crid=2IQL3JSDN1O1T&amp;dib=eyJ2IjoiMSJ9.hQXGlixy5UpCGDffxIPm-rSBVVKcM0a1L3oYEugPPAYDMf3nawk89DhzOgl8xf_2YJdKBlR9WX45aowV7KGAhSaPm8BYPtxo5GfZ9DWbovABkbesXGXfXpzSgZpJavM4KbTI5pzJR1dITFlrXtMnz87jKgiaV6gCjGmBBSmJn3QHkYAAn0940BCy3m6A2RxlMIJR0JWvb-ZkghFnqWIPXJKZ714jApJztaUKA7gL84zxvSbYuI81xchE9km2B1DcIO9Z8BPAd5Vio-TYmGLwgk-h6TYeFBTrdFik8kRie8I.HrHKpM6MqSpZiomFmPCr0oSbwEVWSJfqjQ8XXbpAQVo&amp;dib_tag=se&amp;keywords=loreal+d+revitalift+vit+c+spf+50&amp;qid=1753905736&amp;sprefix=loreal+d+revitalift+vit+c+spf+50%2Caps%2C87&amp;sr=8-6</t>
        </is>
      </c>
      <c r="L464" s="14" t="inlineStr">
        <is>
          <t>B0BNJ5G6TG</t>
        </is>
      </c>
      <c r="M464" s="15" t="n"/>
      <c r="N464" s="15" t="n"/>
      <c r="O464" s="15" t="n">
        <v>24.7</v>
      </c>
      <c r="P464" s="15">
        <f>O464/1.19</f>
        <v/>
      </c>
      <c r="Q464" s="15">
        <f>O464-P464</f>
        <v/>
      </c>
      <c r="R464" s="15">
        <f>O464*0.15</f>
        <v/>
      </c>
      <c r="S464" s="15" t="n">
        <v>12.95</v>
      </c>
      <c r="T464" s="15">
        <f>S464*0.2</f>
        <v/>
      </c>
      <c r="U464" s="15" t="n">
        <v>0.400000000000002</v>
      </c>
      <c r="V464" s="15" t="n">
        <v>2.4</v>
      </c>
      <c r="W464" s="15">
        <f>V464*0.2</f>
        <v/>
      </c>
      <c r="X464" s="21">
        <f>O464-Q464-R464-S464-U464-V464+T464+W464</f>
        <v/>
      </c>
      <c r="Y464" s="14" t="n"/>
      <c r="Z464" s="15">
        <f>O464+1.5</f>
        <v/>
      </c>
      <c r="AA464" s="15" t="n"/>
      <c r="AB464" s="15" t="n"/>
      <c r="AC464" s="14" t="n"/>
      <c r="AD464" s="14" t="n"/>
      <c r="AE464" s="13" t="inlineStr">
        <is>
          <t>NOT_UPLOADED</t>
        </is>
      </c>
    </row>
    <row r="465" ht="16" customHeight="1">
      <c r="A465" s="17" t="n">
        <v>3600524069681</v>
      </c>
      <c r="B465" s="17" t="n">
        <v>3600524104719</v>
      </c>
      <c r="C465" s="20" t="inlineStr">
        <is>
          <t>APPROVAL</t>
        </is>
      </c>
      <c r="D465" s="18" t="n"/>
      <c r="E465" s="18" t="inlineStr">
        <is>
          <t>FOR-3600524069681</t>
        </is>
      </c>
      <c r="F465" s="17" t="inlineStr">
        <is>
          <t>L4009</t>
        </is>
      </c>
      <c r="G465" s="18" t="inlineStr">
        <is>
          <t>Fortuna</t>
        </is>
      </c>
      <c r="H465" s="18" t="inlineStr">
        <is>
          <t>Loreal</t>
        </is>
      </c>
      <c r="I465" s="18" t="inlineStr">
        <is>
          <t>L'ORÉAL REVITALIFT CLINICAL Vitamin C Moisturizing Fluid Anti-UV SPF50+ 50 ml</t>
        </is>
      </c>
      <c r="J465" s="18" t="inlineStr">
        <is>
          <t>No</t>
        </is>
      </c>
      <c r="K465" s="18" t="inlineStr">
        <is>
          <t>https://www.amazon.de/REVITALIFT-CLINICAL-moisturizing-fluid-anti-uv/dp/B0BRCRN87Z/ref=sr_1_1?__mk_de_DE=%C3%85M%C3%85%C5%BD%C3%95%C3%91&amp;crid=26FA84OW0JIHT&amp;dib=eyJ2IjoiMSJ9.cU41KKdg8tRPqPj2TIxYZg.9nVToW0KwGQQs95ck4o0IZXnklMVLcYl7WGM7JLVKdY&amp;dib_tag=se&amp;keywords=B0BRCRN87Z&amp;qid=1753906411&amp;sprefix=b0brcrn87z%2Caps%2C96&amp;sr=8-1</t>
        </is>
      </c>
      <c r="L465" s="18" t="inlineStr">
        <is>
          <t>B0BRCRN87Z</t>
        </is>
      </c>
      <c r="M465" s="19" t="n"/>
      <c r="N465" s="19" t="n"/>
      <c r="O465" s="19" t="n">
        <v>24.7</v>
      </c>
      <c r="P465" s="19">
        <f>O465/1.19</f>
        <v/>
      </c>
      <c r="Q465" s="19">
        <f>O465-P465</f>
        <v/>
      </c>
      <c r="R465" s="19">
        <f>O465*0.15</f>
        <v/>
      </c>
      <c r="S465" s="19" t="n">
        <v>12.95</v>
      </c>
      <c r="T465" s="19">
        <f>S465*0.2</f>
        <v/>
      </c>
      <c r="U465" s="19" t="n">
        <v>0.400000000000002</v>
      </c>
      <c r="V465" s="19" t="n">
        <v>2.4</v>
      </c>
      <c r="W465" s="19">
        <f>V465*0.2</f>
        <v/>
      </c>
      <c r="X465" s="21">
        <f>O465-Q465-R465-S465-U465-V465+T465+W465</f>
        <v/>
      </c>
      <c r="Y465" s="18" t="n"/>
      <c r="Z465" s="19">
        <f>O465+1.5</f>
        <v/>
      </c>
      <c r="AA465" s="19" t="n"/>
      <c r="AB465" s="19" t="n"/>
      <c r="AC465" s="18" t="n"/>
      <c r="AD465" s="18" t="n"/>
      <c r="AE465" s="13" t="inlineStr">
        <is>
          <t>NOT_UPLOADED</t>
        </is>
      </c>
    </row>
    <row r="466" ht="16" customHeight="1">
      <c r="A466" s="12" t="n">
        <v>3600524069742</v>
      </c>
      <c r="B466" s="12" t="n">
        <v>3600524104702</v>
      </c>
      <c r="C466" s="13" t="n"/>
      <c r="D466" s="14" t="n"/>
      <c r="E466" s="14" t="inlineStr">
        <is>
          <t>FOR-3600524069742</t>
        </is>
      </c>
      <c r="F466" s="12" t="inlineStr">
        <is>
          <t>L4010</t>
        </is>
      </c>
      <c r="G466" s="14" t="inlineStr">
        <is>
          <t>Fortuna</t>
        </is>
      </c>
      <c r="H466" s="14" t="inlineStr">
        <is>
          <t>Loreal</t>
        </is>
      </c>
      <c r="I466" s="14" t="inlineStr">
        <is>
          <t>L'Oréal Paris Pures 12% Vitamin C Serum für Frauen: verbessertes Hautbild mit 12% Pure Vitamin C + Vitamin E + Salicylsäure, Revitalift Clinical, 1x 30ml</t>
        </is>
      </c>
      <c r="J466" s="14" t="inlineStr">
        <is>
          <t>No</t>
        </is>
      </c>
      <c r="K466" s="14" t="inlineStr">
        <is>
          <t>https://www.amazon.de/LOr%C3%A9al-Paris-strahlenden-verkleinerte-Hautalterung/dp/B0BPMJCD4J/ref=pd_rhf_se_s_pd_sbs_rvi_d_sccl_1_6/257-6913182-8673145?pd_rd_w=tU1A9&amp;content-id=amzn1.sym.d95c9896-f01c-4d4b-b9f5-65a13021c181&amp;pf_rd_p=d95c9896-f01c-4d4b-b9f5-65a13021c181&amp;pf_rd_r=17HMAPSHZR24TJSRE7NJ&amp;pd_rd_wg=fFW4D&amp;pd_rd_r=fc1fb8d2-0861-40d1-8537-2662da9eac17&amp;pd_rd_i=B0BPMJCD4J&amp;th=1</t>
        </is>
      </c>
      <c r="L466" s="14" t="inlineStr">
        <is>
          <t>B0BPMJCD4J</t>
        </is>
      </c>
      <c r="M466" s="15" t="n">
        <v>25.9</v>
      </c>
      <c r="N466" s="15" t="n"/>
      <c r="O466" s="15" t="n">
        <v>25.67</v>
      </c>
      <c r="P466" s="15">
        <f>O466/1.19</f>
        <v/>
      </c>
      <c r="Q466" s="15">
        <f>O466-P466</f>
        <v/>
      </c>
      <c r="R466" s="15">
        <f>O466*0.15</f>
        <v/>
      </c>
      <c r="S466" s="15" t="n">
        <v>13.66</v>
      </c>
      <c r="T466" s="15">
        <f>S466*0.2</f>
        <v/>
      </c>
      <c r="U466" s="15" t="n">
        <v>0.400000000000002</v>
      </c>
      <c r="V466" s="15" t="n">
        <v>2.82</v>
      </c>
      <c r="W466" s="15">
        <f>V466*0.2</f>
        <v/>
      </c>
      <c r="X466" s="21">
        <f>O466-Q466-R466-S466-U466-V466+T466+W466</f>
        <v/>
      </c>
      <c r="Y466" s="14" t="n"/>
      <c r="Z466" s="15">
        <f>O466+1.5</f>
        <v/>
      </c>
      <c r="AA466" s="15" t="n"/>
      <c r="AB466" s="15" t="n"/>
      <c r="AC466" s="14" t="n"/>
      <c r="AD466" s="14" t="n"/>
      <c r="AE466" s="13" t="inlineStr">
        <is>
          <t>NOT_UPLOADED</t>
        </is>
      </c>
    </row>
    <row r="467" ht="16" customHeight="1">
      <c r="A467" s="17" t="n">
        <v>3600524069827</v>
      </c>
      <c r="B467" s="17" t="n">
        <v>3600524104702</v>
      </c>
      <c r="C467" s="13" t="n"/>
      <c r="D467" s="18" t="n"/>
      <c r="E467" s="18" t="inlineStr">
        <is>
          <t>FOR-3600524069827</t>
        </is>
      </c>
      <c r="F467" s="17" t="inlineStr">
        <is>
          <t>L4010</t>
        </is>
      </c>
      <c r="G467" s="18" t="inlineStr">
        <is>
          <t>Fortuna</t>
        </is>
      </c>
      <c r="H467" s="18" t="inlineStr">
        <is>
          <t>Loreal</t>
        </is>
      </c>
      <c r="I467" s="18" t="inlineStr">
        <is>
          <t>L'Oréal Paris Serum 12 % reines Vitamin C + Salicylsäure + Vitamin E – Antioxidans &amp; Anti-Aging – ungleichmäßiger Teint, Poren und feine Linien – UV-Schutz-Flasche – Revitalift Clinical – 30 ml</t>
        </is>
      </c>
      <c r="J467" s="18" t="inlineStr">
        <is>
          <t>No</t>
        </is>
      </c>
      <c r="K467" s="18" t="inlineStr">
        <is>
          <t>https://www.amazon.de/LOr%C3%A9al-Paris-reines-Vitamin-Salicyls%C3%A4ure/dp/B0BKH4VLB5/ref=sr_1_1?__mk_de_DE=%C3%85M%C3%85%C5%BD%C3%95%C3%91&amp;crid=KD7EJOIXC0JI&amp;dib=eyJ2IjoiMSJ9.m0-HpjHVt_bi133pwngmKQ.tzHaxyZYUOb27VMpXiVNevOpUfYCG3cACLGMPWbm1JY&amp;dib_tag=se&amp;keywords=B0BKH4VLB5&amp;qid=1753907144&amp;s=beauty&amp;sprefix=b0bkh4vlb5%2Cbeauty%2C118&amp;sr=1-1&amp;th=1</t>
        </is>
      </c>
      <c r="L467" s="18" t="inlineStr">
        <is>
          <t>B0BKH4VLB5</t>
        </is>
      </c>
      <c r="M467" s="19" t="n"/>
      <c r="N467" s="19" t="n"/>
      <c r="O467" s="19" t="n">
        <v>25.67</v>
      </c>
      <c r="P467" s="19">
        <f>O467/1.19</f>
        <v/>
      </c>
      <c r="Q467" s="19">
        <f>O467-P467</f>
        <v/>
      </c>
      <c r="R467" s="19">
        <f>O467*0.15</f>
        <v/>
      </c>
      <c r="S467" s="19" t="n">
        <v>13.66</v>
      </c>
      <c r="T467" s="19">
        <f>S467*0.2</f>
        <v/>
      </c>
      <c r="U467" s="19" t="n">
        <v>0.400000000000002</v>
      </c>
      <c r="V467" s="19" t="n">
        <v>2.82</v>
      </c>
      <c r="W467" s="19">
        <f>V467*0.2</f>
        <v/>
      </c>
      <c r="X467" s="21">
        <f>O467-Q467-R467-S467-U467-V467+T467+W467</f>
        <v/>
      </c>
      <c r="Y467" s="18" t="n"/>
      <c r="Z467" s="19">
        <f>O467+1.5</f>
        <v/>
      </c>
      <c r="AA467" s="19" t="n"/>
      <c r="AB467" s="19" t="n"/>
      <c r="AC467" s="18" t="n"/>
      <c r="AD467" s="18" t="n"/>
      <c r="AE467" s="13" t="inlineStr">
        <is>
          <t>NOT_UPLOADED</t>
        </is>
      </c>
    </row>
    <row r="468" ht="16" customHeight="1">
      <c r="A468" s="12" t="n">
        <v>3600524069780</v>
      </c>
      <c r="B468" s="12" t="n">
        <v>3600524104702</v>
      </c>
      <c r="C468" s="13" t="n"/>
      <c r="D468" s="14" t="n"/>
      <c r="E468" s="14" t="inlineStr">
        <is>
          <t>FOR-3600524069780</t>
        </is>
      </c>
      <c r="F468" s="12" t="inlineStr">
        <is>
          <t>L4010</t>
        </is>
      </c>
      <c r="G468" s="14" t="inlineStr">
        <is>
          <t>Fortuna</t>
        </is>
      </c>
      <c r="H468" s="14" t="inlineStr">
        <is>
          <t>Loreal</t>
        </is>
      </c>
      <c r="I468" s="14" t="inlineStr">
        <is>
          <t>L'Oréal Paris Revitalift Clinical 12% reines Vitamin C Aufhellungsserum</t>
        </is>
      </c>
      <c r="J468" s="14" t="inlineStr">
        <is>
          <t>No</t>
        </is>
      </c>
      <c r="K468" s="14" t="inlineStr">
        <is>
          <t>https://www.amazon.de/LOr%C3%A9al-Paris-Revitalift-Clinical-Aufhellungsserum/dp/B0BSV61X77/ref=sr_1_1?__mk_de_DE=%C3%85M%C3%85%C5%BD%C3%95%C3%91&amp;crid=39GHXPVZ8JUA4&amp;dib=eyJ2IjoiMSJ9.0bbZzFMOsoppnkUZ4GKA5A.A9yjKrFnFumcil27cMQlf_6IUgQ4HnleiwaRvOmUx70&amp;dib_tag=se&amp;keywords=B0BSV61X77&amp;qid=1753907863&amp;s=beauty&amp;sprefix=b0bsv61x77%2Cbeauty%2C178&amp;sr=1-1</t>
        </is>
      </c>
      <c r="L468" s="14" t="inlineStr">
        <is>
          <t>B0BSV61X77</t>
        </is>
      </c>
      <c r="M468" s="15" t="n">
        <v>29.23</v>
      </c>
      <c r="N468" s="15" t="n"/>
      <c r="O468" s="15" t="n">
        <v>25.5</v>
      </c>
      <c r="P468" s="15">
        <f>O468/1.19</f>
        <v/>
      </c>
      <c r="Q468" s="15">
        <f>O468-P468</f>
        <v/>
      </c>
      <c r="R468" s="15">
        <f>O468*0.15</f>
        <v/>
      </c>
      <c r="S468" s="15" t="n">
        <v>13.66</v>
      </c>
      <c r="T468" s="15">
        <f>S468*0.2</f>
        <v/>
      </c>
      <c r="U468" s="15" t="n">
        <v>0.400000000000002</v>
      </c>
      <c r="V468" s="15" t="n">
        <v>2.82</v>
      </c>
      <c r="W468" s="15">
        <f>V468*0.2</f>
        <v/>
      </c>
      <c r="X468" s="21">
        <f>O468-Q468-R468-S468-U468-V468+T468+W468</f>
        <v/>
      </c>
      <c r="Y468" s="14" t="n"/>
      <c r="Z468" s="15">
        <f>O468+1.5</f>
        <v/>
      </c>
      <c r="AA468" s="15" t="n"/>
      <c r="AB468" s="15" t="n"/>
      <c r="AC468" s="14" t="n"/>
      <c r="AD468" s="14" t="n"/>
      <c r="AE468" s="13" t="inlineStr">
        <is>
          <t>NOT_UPLOADED</t>
        </is>
      </c>
    </row>
    <row r="469" ht="16" customHeight="1">
      <c r="A469" s="17" t="n">
        <v>3600524169626</v>
      </c>
      <c r="B469" s="17" t="n">
        <v>3600524169688</v>
      </c>
      <c r="C469" s="13" t="n"/>
      <c r="D469" s="18" t="n"/>
      <c r="E469" s="18" t="inlineStr">
        <is>
          <t>FOR-3600524169626</t>
        </is>
      </c>
      <c r="F469" s="17" t="inlineStr">
        <is>
          <t>L4011</t>
        </is>
      </c>
      <c r="G469" s="18" t="inlineStr">
        <is>
          <t>Fortuna</t>
        </is>
      </c>
      <c r="H469" s="18" t="inlineStr">
        <is>
          <t>Loreal</t>
        </is>
      </c>
      <c r="I469" s="18" t="inlineStr">
        <is>
          <t>L'Oréal Paris Glow Creme für Frauen: für strahlende Haut, verfeinerte Poren &amp; gemilderte Falten mit Vitamin C &amp; SalicylsäureRevitalift Clinical, 1x 50ml</t>
        </is>
      </c>
      <c r="J469" s="18" t="inlineStr">
        <is>
          <t>No</t>
        </is>
      </c>
      <c r="K469" s="18" t="inlineStr">
        <is>
          <t>https://www.amazon.de/LOr%C3%A9al-Paris-Creme-Frauen-Salicyls%C3%A4ureRevitalift/dp/B0DCC6XR9W/ref=sr_1_1?__mk_de_DE=%C3%85M%C3%85%C5%BD%C3%95%C3%91&amp;crid=1L1YD64IVFBL0&amp;dib=eyJ2IjoiMSJ9.sZRClCEwsDAL53PAHXiTsQ.rTUHNp-ojzghM0lVGnG7jA2lx7_FZUqdVG9Lk9XvwYs&amp;dib_tag=se&amp;keywords=B0DCC6XR9W&amp;qid=1753908083&amp;rdc=1&amp;s=beauty&amp;sprefix=b0dcc6xr9w%2Cbeauty%2C99&amp;sr=1-1</t>
        </is>
      </c>
      <c r="L469" s="18" t="inlineStr">
        <is>
          <t>B0DCC6XR9W</t>
        </is>
      </c>
      <c r="M469" s="19" t="n">
        <v>17.95</v>
      </c>
      <c r="N469" s="19" t="n"/>
      <c r="O469" s="19" t="n">
        <v>23.79</v>
      </c>
      <c r="P469" s="19">
        <f>O469/1.19</f>
        <v/>
      </c>
      <c r="Q469" s="19">
        <f>O469-P469</f>
        <v/>
      </c>
      <c r="R469" s="19">
        <f>O469*0.15</f>
        <v/>
      </c>
      <c r="S469" s="19" t="n">
        <v>12.6</v>
      </c>
      <c r="T469" s="19">
        <f>S469*0.2</f>
        <v/>
      </c>
      <c r="U469" s="19" t="n">
        <v>0.400000000000002</v>
      </c>
      <c r="V469" s="19" t="n">
        <v>3.64</v>
      </c>
      <c r="W469" s="19">
        <f>V469*0.2</f>
        <v/>
      </c>
      <c r="X469" s="21">
        <f>O469-Q469-R469-S469-U469-V469+T469+W469</f>
        <v/>
      </c>
      <c r="Y469" s="18" t="n"/>
      <c r="Z469" s="19">
        <f>O469+1.5</f>
        <v/>
      </c>
      <c r="AA469" s="19" t="n"/>
      <c r="AB469" s="19" t="n"/>
      <c r="AC469" s="18" t="n"/>
      <c r="AD469" s="18" t="n"/>
      <c r="AE469" s="13" t="inlineStr">
        <is>
          <t>NOT_UPLOADED</t>
        </is>
      </c>
    </row>
    <row r="470" ht="16" customHeight="1">
      <c r="A470" s="12" t="n">
        <v>3600522251750</v>
      </c>
      <c r="B470" s="12" t="n">
        <v>3600522251750</v>
      </c>
      <c r="C470" s="13" t="n"/>
      <c r="D470" s="14" t="n"/>
      <c r="E470" s="14" t="inlineStr">
        <is>
          <t>FOR-3600522251750</t>
        </is>
      </c>
      <c r="F470" s="12" t="inlineStr">
        <is>
          <t>L4050</t>
        </is>
      </c>
      <c r="G470" s="14" t="inlineStr">
        <is>
          <t>Fortuna</t>
        </is>
      </c>
      <c r="H470" s="14" t="inlineStr">
        <is>
          <t>Loreal</t>
        </is>
      </c>
      <c r="I470" s="14" t="inlineStr">
        <is>
          <t>L'Oreal Revitalift Laser Renew Eyes Tube 15Ml</t>
        </is>
      </c>
      <c r="J470" s="14" t="inlineStr">
        <is>
          <t>No</t>
        </is>
      </c>
      <c r="K470" s="14" t="inlineStr">
        <is>
          <t>https://www.amazon.de/dp/B008H3TWNS?th=1</t>
        </is>
      </c>
      <c r="L470" s="14" t="inlineStr">
        <is>
          <t>B008H3TWNS</t>
        </is>
      </c>
      <c r="M470" s="15" t="n">
        <v>25.6</v>
      </c>
      <c r="N470" s="15" t="n"/>
      <c r="O470" s="15" t="n">
        <v>21.95</v>
      </c>
      <c r="P470" s="15">
        <f>O470/1.19</f>
        <v/>
      </c>
      <c r="Q470" s="15">
        <f>O470-P470</f>
        <v/>
      </c>
      <c r="R470" s="15">
        <f>O470*0.15</f>
        <v/>
      </c>
      <c r="S470" s="15" t="n">
        <v>12.6</v>
      </c>
      <c r="T470" s="15">
        <f>S470*0.2</f>
        <v/>
      </c>
      <c r="U470" s="15" t="n">
        <v>0.400000000000002</v>
      </c>
      <c r="V470" s="15" t="n">
        <v>3.2</v>
      </c>
      <c r="W470" s="15">
        <f>V470*0.2</f>
        <v/>
      </c>
      <c r="X470" s="21">
        <f>O470-Q470-R470-S470-U470-V470+T470+W470</f>
        <v/>
      </c>
      <c r="Y470" s="14" t="n"/>
      <c r="Z470" s="15">
        <f>O470+1.5</f>
        <v/>
      </c>
      <c r="AA470" s="15" t="n"/>
      <c r="AB470" s="15" t="n"/>
      <c r="AC470" s="14" t="n"/>
      <c r="AD470" s="14" t="n"/>
      <c r="AE470" s="13" t="inlineStr">
        <is>
          <t>NOT_UPLOADED</t>
        </is>
      </c>
    </row>
    <row r="471" ht="16" customHeight="1">
      <c r="A471" s="17" t="n">
        <v>3600522251750</v>
      </c>
      <c r="B471" s="17" t="n">
        <v>3600522251750</v>
      </c>
      <c r="C471" s="13" t="n"/>
      <c r="D471" s="18" t="n"/>
      <c r="E471" s="18" t="inlineStr">
        <is>
          <t>FORT-3600522251750</t>
        </is>
      </c>
      <c r="F471" s="17" t="inlineStr">
        <is>
          <t>L4050</t>
        </is>
      </c>
      <c r="G471" s="18" t="inlineStr">
        <is>
          <t>Fortuna</t>
        </is>
      </c>
      <c r="H471" s="18" t="inlineStr">
        <is>
          <t>Loreal</t>
        </is>
      </c>
      <c r="I471" s="18" t="inlineStr">
        <is>
          <t>2 X L'Oreal Paris Revitalift Laser Anti Aging Augencreme 15ml</t>
        </is>
      </c>
      <c r="J471" s="18" t="inlineStr">
        <is>
          <t>No</t>
        </is>
      </c>
      <c r="K471" s="18" t="inlineStr">
        <is>
          <t>https://www.amazon.de/dp/B08LVY1RV3</t>
        </is>
      </c>
      <c r="L471" s="18" t="inlineStr">
        <is>
          <t>B08LVY1RV3</t>
        </is>
      </c>
      <c r="M471" s="19" t="n">
        <v>46.46</v>
      </c>
      <c r="N471" s="19" t="n"/>
      <c r="O471" s="19" t="n">
        <v>44</v>
      </c>
      <c r="P471" s="19">
        <f>O471/1.19</f>
        <v/>
      </c>
      <c r="Q471" s="19">
        <f>O471-P471</f>
        <v/>
      </c>
      <c r="R471" s="19">
        <f>O471*0.15</f>
        <v/>
      </c>
      <c r="S471" s="19" t="n">
        <v>25.2</v>
      </c>
      <c r="T471" s="19">
        <f>S471*0.2</f>
        <v/>
      </c>
      <c r="U471" s="19" t="n">
        <v>0.400000000000002</v>
      </c>
      <c r="V471" s="19" t="n">
        <v>6.4</v>
      </c>
      <c r="W471" s="19">
        <f>V471*0.2</f>
        <v/>
      </c>
      <c r="X471" s="21">
        <f>O471-Q471-R471-S471-U471-V471+T471+W471</f>
        <v/>
      </c>
      <c r="Y471" s="18" t="n"/>
      <c r="Z471" s="19">
        <f>O471+1.5</f>
        <v/>
      </c>
      <c r="AA471" s="19" t="n"/>
      <c r="AB471" s="19" t="n"/>
      <c r="AC471" s="18" t="n"/>
      <c r="AD471" s="18" t="n"/>
      <c r="AE471" s="13" t="inlineStr">
        <is>
          <t>NOT_UPLOADED</t>
        </is>
      </c>
    </row>
    <row r="472" ht="16" customHeight="1">
      <c r="A472" s="12" t="n">
        <v>3600523775712</v>
      </c>
      <c r="B472" s="12" t="n">
        <v>3600523775699</v>
      </c>
      <c r="C472" s="13" t="n"/>
      <c r="D472" s="14" t="n"/>
      <c r="E472" s="14" t="inlineStr">
        <is>
          <t>FOR-3600523775712</t>
        </is>
      </c>
      <c r="F472" s="12" t="inlineStr">
        <is>
          <t>L4012</t>
        </is>
      </c>
      <c r="G472" s="14" t="inlineStr">
        <is>
          <t>Fortuna</t>
        </is>
      </c>
      <c r="H472" s="14" t="inlineStr">
        <is>
          <t>Loreal</t>
        </is>
      </c>
      <c r="I472" s="14" t="inlineStr">
        <is>
          <t>Loreal-Care Hyal Replumping Moisturizing Day Cream 50ml 50ml</t>
        </is>
      </c>
      <c r="J472" s="14" t="inlineStr">
        <is>
          <t>No</t>
        </is>
      </c>
      <c r="K472" s="14" t="inlineStr">
        <is>
          <t>https://www.amazon.de/Loreal-Care-Hyal-Replumping-Moisturizing-Cream/dp/B08961GXJQ/ref=sr_1_1?__mk_de_DE=%C3%85M%C3%85%C5%BD%C3%95%C3%91&amp;crid=2INADVZWPG66W&amp;dib=eyJ2IjoiMSJ9.hCKwXwuWsG2MKTOiYfFnKw.RmtBr64Mz9wz_4FgtzfhVegpwHLHHDbTYWeLhCex9mE&amp;dib_tag=se&amp;keywords=B08961GXJQ&amp;qid=1753975117&amp;s=beauty&amp;sprefix=b08961gxjq%2Cbeauty%2C118&amp;sr=1-1</t>
        </is>
      </c>
      <c r="L472" s="14" t="inlineStr">
        <is>
          <t>B08961GXJQ</t>
        </is>
      </c>
      <c r="M472" s="15" t="n">
        <v>14.84</v>
      </c>
      <c r="N472" s="15" t="n"/>
      <c r="O472" s="15" t="n">
        <v>14.7</v>
      </c>
      <c r="P472" s="15">
        <f>O472/1.19</f>
        <v/>
      </c>
      <c r="Q472" s="15">
        <f>O472-P472</f>
        <v/>
      </c>
      <c r="R472" s="15">
        <f>O472*0.15</f>
        <v/>
      </c>
      <c r="S472" s="15" t="n">
        <v>5.78</v>
      </c>
      <c r="T472" s="15">
        <f>S472*0.2</f>
        <v/>
      </c>
      <c r="U472" s="15" t="n">
        <v>0.400000000000002</v>
      </c>
      <c r="V472" s="15" t="n">
        <v>2.4</v>
      </c>
      <c r="W472" s="15">
        <f>V472*0.2</f>
        <v/>
      </c>
      <c r="X472" s="21">
        <f>O472-Q472-R472-S472-U472-V472+T472+W472</f>
        <v/>
      </c>
      <c r="Y472" s="14" t="n"/>
      <c r="Z472" s="15">
        <f>O472+1.5</f>
        <v/>
      </c>
      <c r="AA472" s="15" t="n"/>
      <c r="AB472" s="15" t="n"/>
      <c r="AC472" s="14" t="n"/>
      <c r="AD472" s="14" t="n"/>
      <c r="AE472" s="13" t="inlineStr">
        <is>
          <t>NOT_UPLOADED</t>
        </is>
      </c>
    </row>
    <row r="473" ht="16" customHeight="1">
      <c r="A473" s="17" t="n">
        <v>3600524175429</v>
      </c>
      <c r="B473" s="17" t="n">
        <v>3600523775644</v>
      </c>
      <c r="C473" s="13" t="n"/>
      <c r="D473" s="18" t="n"/>
      <c r="E473" s="18" t="inlineStr">
        <is>
          <t>FOR-3600524175429</t>
        </is>
      </c>
      <c r="F473" s="17" t="inlineStr">
        <is>
          <t>L4013</t>
        </is>
      </c>
      <c r="G473" s="18" t="inlineStr">
        <is>
          <t>Fortuna</t>
        </is>
      </c>
      <c r="H473" s="18" t="inlineStr">
        <is>
          <t>Loreal</t>
        </is>
      </c>
      <c r="I473" s="18" t="inlineStr">
        <is>
          <t>L'Oréal Paris Hyaluron Experte Nachtcreme &amp; Gesichtsmaske mit zwei Arten von Hyaluronsäure für aufgepolsterte und hydratisierte Haut, 50 ml</t>
        </is>
      </c>
      <c r="J473" s="18" t="inlineStr">
        <is>
          <t>No</t>
        </is>
      </c>
      <c r="K473" s="18" t="inlineStr">
        <is>
          <t>https://www.amazon.de/LOr%C3%A9al-Paris-Gesichtsmaske-Hyalurons%C3%A4ure-aufgepolsterte/dp/B0DCCG548Q/ref=sr_1_1?__mk_de_DE=%C3%85M%C3%85%C5%BD%C3%95%C3%91&amp;crid=YM50OBJHQQJ7&amp;dib=eyJ2IjoiMSJ9.k-uKNsZZwedFHSTWuI-ysg.SJ33zFFIgiH_FWg6E7enm6s-f2ORaasENbmjiezXbbs&amp;dib_tag=se&amp;keywords=B0DCCG548Q&amp;qid=1753994153&amp;rdc=1&amp;s=beauty&amp;sprefix=b0dccg548q%2Cbeauty%2C133&amp;sr=1-1</t>
        </is>
      </c>
      <c r="L473" s="18" t="inlineStr">
        <is>
          <t>B0DCCG548Q</t>
        </is>
      </c>
      <c r="M473" s="19" t="n"/>
      <c r="N473" s="19" t="n">
        <v>6.95</v>
      </c>
      <c r="O473" s="19" t="n">
        <v>14.99</v>
      </c>
      <c r="P473" s="19">
        <f>O473/1.19</f>
        <v/>
      </c>
      <c r="Q473" s="19">
        <f>O473-P473</f>
        <v/>
      </c>
      <c r="R473" s="19">
        <f>O473*0.15</f>
        <v/>
      </c>
      <c r="S473" s="19" t="n">
        <v>5.78</v>
      </c>
      <c r="T473" s="19">
        <f>S473*0.2</f>
        <v/>
      </c>
      <c r="U473" s="19" t="n">
        <v>0.400000000000002</v>
      </c>
      <c r="V473" s="19" t="n">
        <v>2.4</v>
      </c>
      <c r="W473" s="19">
        <f>V473*0.2</f>
        <v/>
      </c>
      <c r="X473" s="21">
        <f>O473-Q473-R473-S473-U473-V473+T473+W473</f>
        <v/>
      </c>
      <c r="Y473" s="18" t="n"/>
      <c r="Z473" s="19">
        <f>O473+1.5</f>
        <v/>
      </c>
      <c r="AA473" s="19" t="n"/>
      <c r="AB473" s="19" t="n"/>
      <c r="AC473" s="18" t="n"/>
      <c r="AD473" s="18" t="n"/>
      <c r="AE473" s="13" t="inlineStr">
        <is>
          <t>NOT_UPLOADED</t>
        </is>
      </c>
    </row>
    <row r="474" ht="16" customHeight="1">
      <c r="A474" s="12" t="n">
        <v>3600523775668</v>
      </c>
      <c r="B474" s="12" t="n">
        <v>3600523775644</v>
      </c>
      <c r="C474" s="13" t="n"/>
      <c r="D474" s="14" t="n"/>
      <c r="E474" s="14" t="inlineStr">
        <is>
          <t>FOR-3600523775668</t>
        </is>
      </c>
      <c r="F474" s="12" t="inlineStr">
        <is>
          <t>L4013</t>
        </is>
      </c>
      <c r="G474" s="14" t="inlineStr">
        <is>
          <t>Fortuna</t>
        </is>
      </c>
      <c r="H474" s="14" t="inlineStr">
        <is>
          <t>Loreal</t>
        </is>
      </c>
      <c r="I474" s="14" t="inlineStr">
        <is>
          <t>L'Oréal Paris Hyaluron Specialist feuchtigkeitsspendende Gesichtscreme Nacht 25+, zwei Arten Hyaluronsäure, 50 ml</t>
        </is>
      </c>
      <c r="J474" s="14" t="inlineStr">
        <is>
          <t>No</t>
        </is>
      </c>
      <c r="K474" s="14" t="inlineStr">
        <is>
          <t>https://www.amazon.de/Loreal-Paris-Hyaluron-Specialist-Gesicht/dp/B08962TJN5/ref=sr_1_1?__mk_de_DE=%C3%85M%C3%85%C5%BD%C3%95%C3%91&amp;crid=11KQ6BUJT4W2Y&amp;dib=eyJ2IjoiMSJ9.edSbeWZxJHavF-uJTWA9cg.LHnklb6mRXTTS9ay0XH2-nvbNSMVoL-e3DhwH2irnMI&amp;dib_tag=se&amp;keywords=B08962TJN5&amp;qid=1753994743&amp;s=beauty&amp;sprefix=b08962tjn5%2Cbeauty%2C112&amp;sr=1-1</t>
        </is>
      </c>
      <c r="L474" s="14" t="inlineStr">
        <is>
          <t>B08962TJN5</t>
        </is>
      </c>
      <c r="M474" s="15" t="n">
        <v>12.6</v>
      </c>
      <c r="N474" s="15" t="n"/>
      <c r="O474" s="15" t="n">
        <v>13.55</v>
      </c>
      <c r="P474" s="15">
        <f>O474/1.19</f>
        <v/>
      </c>
      <c r="Q474" s="15">
        <f>O474-P474</f>
        <v/>
      </c>
      <c r="R474" s="15">
        <f>O474*0.15</f>
        <v/>
      </c>
      <c r="S474" s="15" t="n">
        <v>5.78</v>
      </c>
      <c r="T474" s="15">
        <f>S474*0.2</f>
        <v/>
      </c>
      <c r="U474" s="15" t="n">
        <v>0.400000000000002</v>
      </c>
      <c r="V474" s="15" t="n">
        <v>2.4</v>
      </c>
      <c r="W474" s="15">
        <f>V474*0.2</f>
        <v/>
      </c>
      <c r="X474" s="21">
        <f>O474-Q474-R474-S474-U474-V474+T474+W474</f>
        <v/>
      </c>
      <c r="Y474" s="14" t="n"/>
      <c r="Z474" s="15">
        <f>O474+1.5</f>
        <v/>
      </c>
      <c r="AA474" s="15" t="n"/>
      <c r="AB474" s="15" t="n"/>
      <c r="AC474" s="14" t="n"/>
      <c r="AD474" s="14" t="n"/>
      <c r="AE474" s="13" t="inlineStr">
        <is>
          <t>NOT_UPLOADED</t>
        </is>
      </c>
    </row>
    <row r="475" ht="16" customHeight="1">
      <c r="A475" s="17" t="n">
        <v>3600523775590</v>
      </c>
      <c r="B475" s="17" t="n">
        <v>3600523775590</v>
      </c>
      <c r="C475" s="20" t="inlineStr">
        <is>
          <t>need aprroval</t>
        </is>
      </c>
      <c r="D475" s="18" t="n"/>
      <c r="E475" s="18" t="inlineStr">
        <is>
          <t>FOR - 3600523775590</t>
        </is>
      </c>
      <c r="F475" s="17" t="inlineStr">
        <is>
          <t>L4014</t>
        </is>
      </c>
      <c r="G475" s="18" t="inlineStr">
        <is>
          <t>Fortuna</t>
        </is>
      </c>
      <c r="H475" s="18" t="inlineStr">
        <is>
          <t>Loreal</t>
        </is>
      </c>
      <c r="I475" s="18" t="inlineStr">
        <is>
          <t>Hyaluronic Specialist Replumping Moisturising Care</t>
        </is>
      </c>
      <c r="J475" s="18" t="inlineStr">
        <is>
          <t>No</t>
        </is>
      </c>
      <c r="K475" s="18" t="inlineStr">
        <is>
          <t>https://www.amazon.de/-/en/Hyaluronic-Specialist-Replumping-Moisturising-Care/dp/B09DWNPT21/ref=sr_1_1?crid=6VQOAF8BZV3X&amp;dib=eyJ2IjoiMSJ9.ijxE21k9ydvE7eSzRHnidQ.hcbzo8AZNijw_ESr0DM6Mw70W5oh-vfvyuPSPoIqZsg&amp;dib_tag=se&amp;keywords=3600523775590&amp;qid=1754047393&amp;s=beauty&amp;sprefix=3600523775590%2Cbeauty%2C193&amp;sr=1-1</t>
        </is>
      </c>
      <c r="L475" s="18" t="inlineStr">
        <is>
          <t>B09DWNPT21</t>
        </is>
      </c>
      <c r="M475" s="19" t="n"/>
      <c r="N475" s="19" t="n"/>
      <c r="O475" s="19" t="n"/>
      <c r="P475" s="19" t="n"/>
      <c r="Q475" s="19" t="n"/>
      <c r="R475" s="19" t="n"/>
      <c r="S475" s="19" t="n">
        <v>5.78</v>
      </c>
      <c r="T475" s="19">
        <f>S475*0.2</f>
        <v/>
      </c>
      <c r="U475" s="19" t="n">
        <v>0.400000000000002</v>
      </c>
      <c r="V475" s="19" t="n">
        <v>2.4</v>
      </c>
      <c r="W475" s="19">
        <f>V475*0.2</f>
        <v/>
      </c>
      <c r="X475" s="22" t="n"/>
      <c r="Y475" s="18" t="n"/>
      <c r="Z475" s="19" t="n"/>
      <c r="AA475" s="19" t="n"/>
      <c r="AB475" s="19" t="n"/>
      <c r="AC475" s="18" t="n"/>
      <c r="AD475" s="18" t="n"/>
      <c r="AE475" s="13" t="inlineStr">
        <is>
          <t>NOT_UPLOADED</t>
        </is>
      </c>
    </row>
    <row r="476" ht="16" customHeight="1">
      <c r="A476" s="12" t="n">
        <v>3600523775613</v>
      </c>
      <c r="B476" s="12" t="n">
        <v>3600523775590</v>
      </c>
      <c r="C476" s="13" t="n"/>
      <c r="D476" s="14" t="n"/>
      <c r="E476" s="14" t="inlineStr">
        <is>
          <t>FOR-3600523775613</t>
        </is>
      </c>
      <c r="F476" s="12" t="inlineStr">
        <is>
          <t>L4014</t>
        </is>
      </c>
      <c r="G476" s="14" t="inlineStr">
        <is>
          <t>Fortuna</t>
        </is>
      </c>
      <c r="H476" s="14" t="inlineStr">
        <is>
          <t>Loreal</t>
        </is>
      </c>
      <c r="I476" s="14" t="inlineStr">
        <is>
          <t>L'oreal Paris Hyaluron Specialist Moisturizing eye cream 15 ml</t>
        </is>
      </c>
      <c r="J476" s="14" t="inlineStr">
        <is>
          <t>No</t>
        </is>
      </c>
      <c r="K476" s="14" t="inlineStr">
        <is>
          <t>https://www.amazon.de/-/en/Loreal-Paris-Hyaluron-Specialist-Moisturizing/dp/B08963RG89/ref=sr_1_1?crid=YEM2T5OP2KTQ&amp;dib=eyJ2IjoiMSJ9.vSfcA_p5w49NkQN6jIgTCwwb5qpt04CwpUSp2_RH0QrxInMdAnCYeNvpifLhaIaNP6kdx2QSBcmMpTEb1itaS8Oi3Mw5yvgTGO7JxURvV1JBeXPAjERNO51lLygdbLFX9FqCPnpKFZ53qN0Ufsxnnqsi0olhfUwQOUeIZLKSoZRe-RzK6qXY5PhMAioYRQIkR2kYSJ0iXRwG2Osg8FsXKehN-P2QNBa5W1mA6PYOiSXwZFi5-eW0izinSpPpXSMJkegKTUri-Oy0sfIctqe_Ir-LiRW49caiBuR9pr_Qwrk.egUxPeZOLKy1PnYX9jK2t3i8Og_ydVSi6M0X7lODiq0&amp;dib_tag=se&amp;keywords=LOREAL+HYALURON+EYE+CREAM+15ML&amp;qid=1754049397&amp;sprefix=loreal+hyaluron+eye+cream+15ml%2Caps%2C125&amp;sr=8-1</t>
        </is>
      </c>
      <c r="L476" s="14" t="inlineStr">
        <is>
          <t>B08963RG89</t>
        </is>
      </c>
      <c r="M476" s="15" t="n">
        <v>12.6</v>
      </c>
      <c r="N476" s="15" t="n"/>
      <c r="O476" s="15" t="n">
        <v>12.55</v>
      </c>
      <c r="P476" s="15">
        <f>O476/1.19</f>
        <v/>
      </c>
      <c r="Q476" s="15">
        <f>O476-P476</f>
        <v/>
      </c>
      <c r="R476" s="15">
        <f>O476*0.15</f>
        <v/>
      </c>
      <c r="S476" s="15" t="n">
        <v>5.78</v>
      </c>
      <c r="T476" s="15">
        <f>S476*0.2</f>
        <v/>
      </c>
      <c r="U476" s="15" t="n">
        <v>0.400000000000002</v>
      </c>
      <c r="V476" s="15" t="n">
        <v>2</v>
      </c>
      <c r="W476" s="15">
        <f>V476*0.2</f>
        <v/>
      </c>
      <c r="X476" s="21">
        <f>O476-Q476-R476-S476-U476-V476+T476+W476</f>
        <v/>
      </c>
      <c r="Y476" s="14" t="n"/>
      <c r="Z476" s="15">
        <f>O476+1.5</f>
        <v/>
      </c>
      <c r="AA476" s="15" t="n"/>
      <c r="AB476" s="15" t="n"/>
      <c r="AC476" s="14" t="n"/>
      <c r="AD476" s="14" t="n"/>
      <c r="AE476" s="13" t="inlineStr">
        <is>
          <t>NOT_UPLOADED</t>
        </is>
      </c>
    </row>
    <row r="477" ht="16" customHeight="1">
      <c r="A477" s="17" t="n">
        <v>3600523997640</v>
      </c>
      <c r="B477" s="17" t="n">
        <v>3600523997640</v>
      </c>
      <c r="C477" s="13" t="n"/>
      <c r="D477" s="18" t="n"/>
      <c r="E477" s="18" t="inlineStr">
        <is>
          <t>FOR-3600523997640</t>
        </is>
      </c>
      <c r="F477" s="17" t="inlineStr">
        <is>
          <t>L4015</t>
        </is>
      </c>
      <c r="G477" s="18" t="inlineStr">
        <is>
          <t>Fortuna</t>
        </is>
      </c>
      <c r="H477" s="18" t="inlineStr">
        <is>
          <t>Loreal</t>
        </is>
      </c>
      <c r="I477" s="18" t="inlineStr">
        <is>
          <t>LOREAL PARIS Gesichtsseren und Flüssigkeiten, ideal für Damen</t>
        </is>
      </c>
      <c r="J477" s="18" t="inlineStr">
        <is>
          <t>No</t>
        </is>
      </c>
      <c r="K477" s="18" t="inlineStr">
        <is>
          <t>https://www.amazon.de/dp/B0CL6PDNSS</t>
        </is>
      </c>
      <c r="L477" s="18" t="inlineStr">
        <is>
          <t>B0CL6PDNSS</t>
        </is>
      </c>
      <c r="M477" s="19" t="n">
        <v>15</v>
      </c>
      <c r="N477" s="19" t="n"/>
      <c r="O477" s="19" t="n">
        <v>14.3</v>
      </c>
      <c r="P477" s="19">
        <f>O477/1.19</f>
        <v/>
      </c>
      <c r="Q477" s="19">
        <f>O477-P477</f>
        <v/>
      </c>
      <c r="R477" s="19">
        <f>O477*0.15</f>
        <v/>
      </c>
      <c r="S477" s="19" t="n">
        <v>5.77</v>
      </c>
      <c r="T477" s="19">
        <f>S477*0.2</f>
        <v/>
      </c>
      <c r="U477" s="19" t="n">
        <v>0.400000000000002</v>
      </c>
      <c r="V477" s="19" t="n">
        <v>2.82</v>
      </c>
      <c r="W477" s="19">
        <f>V477*0.2</f>
        <v/>
      </c>
      <c r="X477" s="21">
        <f>O477-Q477-R477-S477-U477-V477+T477+W477</f>
        <v/>
      </c>
      <c r="Y477" s="18" t="n"/>
      <c r="Z477" s="19">
        <f>O477+1.5</f>
        <v/>
      </c>
      <c r="AA477" s="19" t="n">
        <v>5.52</v>
      </c>
      <c r="AB477" s="19" t="n">
        <v>2124926</v>
      </c>
      <c r="AC477" s="18" t="n"/>
      <c r="AD477" s="18" t="n"/>
      <c r="AE477" s="13" t="inlineStr">
        <is>
          <t>NOT_UPLOADED</t>
        </is>
      </c>
    </row>
    <row r="478" ht="16" customHeight="1">
      <c r="A478" s="12" t="n">
        <v>3600524185428</v>
      </c>
      <c r="B478" s="12" t="n">
        <v>3600524185398</v>
      </c>
      <c r="C478" s="13" t="n"/>
      <c r="D478" s="14" t="n"/>
      <c r="E478" s="14" t="inlineStr">
        <is>
          <t>FOR-3600524185428</t>
        </is>
      </c>
      <c r="F478" s="12" t="inlineStr">
        <is>
          <t>L4018</t>
        </is>
      </c>
      <c r="G478" s="14" t="inlineStr">
        <is>
          <t>Fortuna</t>
        </is>
      </c>
      <c r="H478" s="14" t="inlineStr">
        <is>
          <t>Loreal</t>
        </is>
      </c>
      <c r="I478" s="14" t="inlineStr">
        <is>
          <t>L'Oréal Paris Anti-Age Serum, Wrinkle Reduction, Moisturising Anti-Ageing Serum with Glycerine and Vitamin C, Collagen Expert, 30 ml</t>
        </is>
      </c>
      <c r="J478" s="14" t="inlineStr">
        <is>
          <t>No</t>
        </is>
      </c>
      <c r="K478" s="14" t="inlineStr">
        <is>
          <t>https://www.amazon.de/-/en/Anti-Age-Reduction-Moisturising-Anti-Ageing-Glycerine/dp/B0DCCDWMHF/ref=sr_1_2?dib=eyJ2IjoiMSJ9.FuaDrfb9uTxnI90I-9sHwPcKHgwHn0oVqlpIM0MFl9kioYvHJXj39tMcuVHYCbu9Yt1e4TKvU5eySu-mn0S8TXHf1bBeeGHJ3CGZherqBNSrhTjU0Ix9N3e9-uvrwH71TFO3yaTdHyCDpxaQOFog3cBF40nUc3pXErGdQjWLd4Vewh49t9me126h50v6NaXDXL66bGKg8rcMapm32NslKsodNGVZdBeN5CyyEicb5uMtx_nF-UglDX_oIM7tiCtoI0zE3Wur3iw5PEJGZPQP0OJplaRYRr_yGPZoX_1Cy70.AkGzOH8JGsonr8alvqncySYDR3rW62J5F0H7_iCp9Sw&amp;dib_tag=se&amp;keywords=LOREAL%2BD.AGE%2BSPECIALIST%2BCOLLAGEN%2BSERUM%2B30ML&amp;qid=1754049881&amp;rdc=1&amp;sr=8-2&amp;th=1</t>
        </is>
      </c>
      <c r="L478" s="14" t="inlineStr">
        <is>
          <t>B0DCCDWMHF</t>
        </is>
      </c>
      <c r="M478" s="15" t="n">
        <v>12.9</v>
      </c>
      <c r="N478" s="15" t="n">
        <v>9.949999999999999</v>
      </c>
      <c r="O478" s="15" t="n">
        <v>15.75</v>
      </c>
      <c r="P478" s="15">
        <f>O478/1.19</f>
        <v/>
      </c>
      <c r="Q478" s="15">
        <f>O478-P478</f>
        <v/>
      </c>
      <c r="R478" s="15">
        <f>O478*0.15</f>
        <v/>
      </c>
      <c r="S478" s="15" t="n">
        <v>6.12</v>
      </c>
      <c r="T478" s="15">
        <f>S478*0.2</f>
        <v/>
      </c>
      <c r="U478" s="15" t="n">
        <v>0.400000000000002</v>
      </c>
      <c r="V478" s="15" t="n">
        <v>2.7</v>
      </c>
      <c r="W478" s="15">
        <f>V478*0.2</f>
        <v/>
      </c>
      <c r="X478" s="21">
        <f>O478-Q478-R478-S478-U478-V478+T478+W478</f>
        <v/>
      </c>
      <c r="Y478" s="14" t="n"/>
      <c r="Z478" s="15">
        <f>O478+1.5</f>
        <v/>
      </c>
      <c r="AA478" s="15" t="n"/>
      <c r="AB478" s="15" t="n"/>
      <c r="AC478" s="14" t="n"/>
      <c r="AD478" s="14" t="n"/>
      <c r="AE478" s="13" t="inlineStr">
        <is>
          <t>NOT_UPLOADED</t>
        </is>
      </c>
    </row>
    <row r="479" ht="16" customHeight="1">
      <c r="A479" s="17" t="n">
        <v>3600524185442</v>
      </c>
      <c r="B479" s="17" t="n">
        <v>3600524185398</v>
      </c>
      <c r="C479" s="13" t="n"/>
      <c r="D479" s="18" t="n"/>
      <c r="E479" s="18" t="inlineStr">
        <is>
          <t>FOR-3600524185442</t>
        </is>
      </c>
      <c r="F479" s="17" t="inlineStr">
        <is>
          <t>L4018</t>
        </is>
      </c>
      <c r="G479" s="18" t="inlineStr">
        <is>
          <t>Fortuna</t>
        </is>
      </c>
      <c r="H479" s="18" t="inlineStr">
        <is>
          <t>Loreal</t>
        </is>
      </c>
      <c r="I479" s="18" t="inlineStr">
        <is>
          <t>L'Oréal Paris Anti-Ageing Serum Age Perfect Collagen Expert</t>
        </is>
      </c>
      <c r="J479" s="18" t="inlineStr">
        <is>
          <t>No</t>
        </is>
      </c>
      <c r="K479" s="18" t="inlineStr">
        <is>
          <t>https://www.amazon.de/-/en/LOr%C3%A9al-Anti-Ageing-Perfect-Collagen-Expert/dp/B0DPMYTLQK/ref=sr_1_3?dib=eyJ2IjoiMSJ9.FuaDrfb9uTxnI90I-9sHwPcKHgwHn0oVqlpIM0MFl9kioYvHJXj39tMcuVHYCbu9Yt1e4TKvU5eySu-mn0S8TXHf1bBeeGHJ3CGZherqBNSrhTjU0Ix9N3e9-uvrwH71TFO3yaTdHyCDpxaQOFog3cBF40nUc3pXErGdQjWLd4Vewh49t9me126h50v6NaXDXL66bGKg8rcMapm32NslKsodNGVZdBeN5CyyEicb5uMtx_nF-UglDX_oIM7tiCtoI0zE3Wur3iw5PEJGZPQP0OJplaRYRr_yGPZoX_1Cy70.AkGzOH8JGsonr8alvqncySYDR3rW62J5F0H7_iCp9Sw&amp;dib_tag=se&amp;keywords=LOREAL+D.AGE+SPECIALIST+COLLAGEN+SERUM+30ML&amp;qid=1754050103&amp;sr=8-3</t>
        </is>
      </c>
      <c r="L479" s="18" t="inlineStr">
        <is>
          <t>B0DPMYTLQK</t>
        </is>
      </c>
      <c r="M479" s="19" t="n"/>
      <c r="N479" s="19" t="n">
        <v>16.06</v>
      </c>
      <c r="O479" s="19" t="n">
        <v>16</v>
      </c>
      <c r="P479" s="19">
        <f>O479/1.19</f>
        <v/>
      </c>
      <c r="Q479" s="19">
        <f>O479-P479</f>
        <v/>
      </c>
      <c r="R479" s="19">
        <f>O479*0.15</f>
        <v/>
      </c>
      <c r="S479" s="19" t="n">
        <v>6.12</v>
      </c>
      <c r="T479" s="19">
        <f>S479*0.2</f>
        <v/>
      </c>
      <c r="U479" s="19" t="n">
        <v>0.400000000000002</v>
      </c>
      <c r="V479" s="19" t="n">
        <v>2.7</v>
      </c>
      <c r="W479" s="19">
        <f>V479*0.2</f>
        <v/>
      </c>
      <c r="X479" s="21">
        <f>O479-Q479-R479-S479-U479-V479+T479+W479</f>
        <v/>
      </c>
      <c r="Y479" s="18" t="n"/>
      <c r="Z479" s="19">
        <f>O479+1.5</f>
        <v/>
      </c>
      <c r="AA479" s="19" t="n"/>
      <c r="AB479" s="19" t="n"/>
      <c r="AC479" s="18" t="n"/>
      <c r="AD479" s="18" t="n"/>
      <c r="AE479" s="13" t="inlineStr">
        <is>
          <t>NOT_UPLOADED</t>
        </is>
      </c>
    </row>
    <row r="480" ht="16" customHeight="1">
      <c r="A480" s="12" t="n">
        <v>3600524122669</v>
      </c>
      <c r="B480" s="12" t="n">
        <v>3600524123147</v>
      </c>
      <c r="C480" s="13" t="n"/>
      <c r="D480" s="14" t="n"/>
      <c r="E480" s="14" t="inlineStr">
        <is>
          <t>FOR-3600524122669</t>
        </is>
      </c>
      <c r="F480" s="12" t="inlineStr">
        <is>
          <t>L4025</t>
        </is>
      </c>
      <c r="G480" s="14" t="inlineStr">
        <is>
          <t>Fortuna</t>
        </is>
      </c>
      <c r="H480" s="14" t="inlineStr">
        <is>
          <t>Loreal</t>
        </is>
      </c>
      <c r="I480" s="14" t="inlineStr">
        <is>
          <t>L'Oréal Paris UV Fluid SPF 50 - Protects Against Sun Rays, Prevents Wrinkles &amp; Pigment Spots, with Vitamin C and E, Bright Reveal UV Fluid, 50 ml</t>
        </is>
      </c>
      <c r="J480" s="14" t="inlineStr">
        <is>
          <t>No</t>
        </is>
      </c>
      <c r="K480" s="14" t="inlineStr">
        <is>
          <t>https://www.amazon.de/-/en/LOr%C3%A9al-Paris-UV-Fluid-SPF/dp/B0CJ5G4P6G/ref=sr_1_1?crid=2CIJ10IYHKCOU&amp;dib=eyJ2IjoiMSJ9.fe4_xRKNROAFW29-kmleG6Ukn0JHsA9aA24lC_tqOxk0oE6Iw4HtogH_xSCimLHADRb816hDnW9MgTMNlUNt2GGwWATVslIq816rA5rWlG4BpsewlwXJnxhdUcznI5PV8vLK29a6jDjnkT61YqSVxxeQFo934ulUsUFaiCnrOJHSTTEgvlPJwxzyRbcHvLgpsuVVv595vDXhfY4VszYnNLwcOMLl8fB26keMk3Ulax-3KSpmHK2HUghEtAsrMBUivJNlJZz1D6FrXG79kl5Qd8TjcuovEWj73MC8q1PFYik.YmOomwoMw9At79k7t-tUwpucnxrLkNoPUSVSrySlIRk&amp;dib_tag=se&amp;keywords=LOREAL%2BD.BRIGHT%2BREVEAL%2BFLUID&amp;qid=1754051981&amp;sprefix=loreal%2Bd.bright%2Breveal%2Bfluid%2Caps%2C106&amp;sr=8-1&amp;th=1</t>
        </is>
      </c>
      <c r="L480" s="14" t="inlineStr">
        <is>
          <t>B0CJ5G4P6G</t>
        </is>
      </c>
      <c r="M480" s="15" t="n">
        <v>24.6</v>
      </c>
      <c r="N480" s="15" t="n"/>
      <c r="O480" s="15" t="n">
        <v>22.9</v>
      </c>
      <c r="P480" s="15">
        <f>O480/1.19</f>
        <v/>
      </c>
      <c r="Q480" s="15">
        <f>O480-P480</f>
        <v/>
      </c>
      <c r="R480" s="15">
        <f>O480*0.15</f>
        <v/>
      </c>
      <c r="S480" s="15" t="n">
        <v>12.95</v>
      </c>
      <c r="T480" s="15">
        <f>S480*0.2</f>
        <v/>
      </c>
      <c r="U480" s="15" t="n">
        <v>0.400000000000002</v>
      </c>
      <c r="V480" s="15" t="n">
        <v>2.2</v>
      </c>
      <c r="W480" s="15">
        <f>V480*0.2</f>
        <v/>
      </c>
      <c r="X480" s="21">
        <f>O480-Q480-R480-S480-U480-V480+T480+W480</f>
        <v/>
      </c>
      <c r="Y480" s="14" t="n"/>
      <c r="Z480" s="15">
        <f>O480+1.5</f>
        <v/>
      </c>
      <c r="AA480" s="15" t="n"/>
      <c r="AB480" s="15" t="n"/>
      <c r="AC480" s="14" t="n"/>
      <c r="AD480" s="14" t="n"/>
      <c r="AE480" s="13" t="inlineStr">
        <is>
          <t>NOT_UPLOADED</t>
        </is>
      </c>
    </row>
    <row r="481" ht="16" customHeight="1">
      <c r="A481" s="17" t="n">
        <v>3600524122676</v>
      </c>
      <c r="B481" s="17" t="n">
        <v>3600524123147</v>
      </c>
      <c r="C481" s="13" t="n"/>
      <c r="D481" s="18" t="n"/>
      <c r="E481" s="18" t="inlineStr">
        <is>
          <t>FOR-3600524122676</t>
        </is>
      </c>
      <c r="F481" s="17" t="inlineStr">
        <is>
          <t>L4025</t>
        </is>
      </c>
      <c r="G481" s="18" t="inlineStr">
        <is>
          <t>Fortuna</t>
        </is>
      </c>
      <c r="H481" s="18" t="inlineStr">
        <is>
          <t>Loreal</t>
        </is>
      </c>
      <c r="I481" s="18" t="inlineStr">
        <is>
          <t>L'Oréal Paris Bright Reveal Moisturising Anti-Stain Fluid with UV Filter SPF 50+ for All Skin Types, Protects and Reduces Stains, with Niacinamide and Vitamin E, 50 ml</t>
        </is>
      </c>
      <c r="J481" s="18" t="inlineStr">
        <is>
          <t>No</t>
        </is>
      </c>
      <c r="K481" s="18" t="inlineStr">
        <is>
          <t>https://www.amazon.de/-/en/Moisturising-Anti-Stain-Protects-Reduces-Niacinamide/dp/B0CNQ3F47D/ref=sr_1_8?crid=2CIJ10IYHKCOU&amp;dib=eyJ2IjoiMSJ9.fe4_xRKNROAFW29-kmleG6Ukn0JHsA9aA24lC_tqOxk0oE6Iw4HtogH_xSCimLHADRb816hDnW9MgTMNlUNt2GGwWATVslIq816rA5rWlG4BpsewlwXJnxhdUcznI5PV8vLK29a6jDjnkT61YqSVxxeQFo934ulUsUFaiCnrOJHSTTEgvlPJwxzyRbcHvLgplJ1dDLuahFr4hrAnSxpkAihbwCOTvdPkSCOdTDBJqke3KSpmHK2HUghEtAsrMBUiNLEDuiUlSQr1HTNSVv605Y5yRL00kTTq_bae6qkK88I.Y16LBHv_v9sEuIbxWZd6EIYnP0QvriVBSVrL6lk3vbo&amp;dib_tag=se&amp;keywords=LOREAL+D.BRIGHT+REVEAL+FLUID&amp;qid=1754052262&amp;sprefix=loreal+d.bright+reveal+fluid%2Caps%2C106&amp;sr=8-8</t>
        </is>
      </c>
      <c r="L481" s="18" t="inlineStr">
        <is>
          <t>B0CNQ3F47D</t>
        </is>
      </c>
      <c r="M481" s="19" t="n"/>
      <c r="N481" s="19" t="n"/>
      <c r="O481" s="19" t="n">
        <v>22.5</v>
      </c>
      <c r="P481" s="19">
        <f>O481/1.19</f>
        <v/>
      </c>
      <c r="Q481" s="19">
        <f>O481-P481</f>
        <v/>
      </c>
      <c r="R481" s="19">
        <f>O481*0.15</f>
        <v/>
      </c>
      <c r="S481" s="19" t="n">
        <v>12.95</v>
      </c>
      <c r="T481" s="19">
        <f>S481*0.2</f>
        <v/>
      </c>
      <c r="U481" s="19" t="n">
        <v>0.400000000000002</v>
      </c>
      <c r="V481" s="19" t="n">
        <v>2.57</v>
      </c>
      <c r="W481" s="19">
        <f>V481*0.2</f>
        <v/>
      </c>
      <c r="X481" s="21">
        <f>O481-Q481-R481-S481-U481-V481+T481+W481</f>
        <v/>
      </c>
      <c r="Y481" s="18" t="n"/>
      <c r="Z481" s="19">
        <f>O481+1.5</f>
        <v/>
      </c>
      <c r="AA481" s="19" t="n"/>
      <c r="AB481" s="19" t="n"/>
      <c r="AC481" s="18" t="n"/>
      <c r="AD481" s="18" t="n"/>
      <c r="AE481" s="13" t="inlineStr">
        <is>
          <t>NOT_UPLOADED</t>
        </is>
      </c>
    </row>
    <row r="482" ht="16" customHeight="1">
      <c r="A482" s="12" t="n">
        <v>3600524122720</v>
      </c>
      <c r="B482" s="12" t="n">
        <v>3600524123147</v>
      </c>
      <c r="C482" s="13" t="n"/>
      <c r="D482" s="14" t="n"/>
      <c r="E482" s="14" t="inlineStr">
        <is>
          <t>FOR-3600524122720</t>
        </is>
      </c>
      <c r="F482" s="12" t="inlineStr">
        <is>
          <t>L4025</t>
        </is>
      </c>
      <c r="G482" s="14" t="inlineStr">
        <is>
          <t>Fortuna</t>
        </is>
      </c>
      <c r="H482" s="14" t="inlineStr">
        <is>
          <t>Loreal</t>
        </is>
      </c>
      <c r="I482" s="14" t="inlineStr">
        <is>
          <t>L'Oreal Paris Bright Reveal Discolouration-Reducing UV Fluid with SPF 50+, 50 ml</t>
        </is>
      </c>
      <c r="J482" s="14" t="inlineStr">
        <is>
          <t>No</t>
        </is>
      </c>
      <c r="K482" s="14" t="inlineStr">
        <is>
          <t>https://www.amazon.de/-/en/LOreal-Paris-Bright-Reveal-Discolouration-Reducing/dp/B0CV5NHZG4/ref=sr_1_9?crid=2CIJ10IYHKCOU&amp;dib=eyJ2IjoiMSJ9.fe4_xRKNROAFW29-kmleG6Ukn0JHsA9aA24lC_tqOxk0oE6Iw4HtogH_xSCimLHADRb816hDnW9MgTMNlUNt2GGwWATVslIq816rA5rWlG4BpsewlwXJnxhdUcznI5PV8vLK29a6jDjnkT61YqSVxxeQFo934ulUsUFaiCnrOJHSTTEgvlPJwxzyRbcHvLgplJ1dDLuahFr4hrAnSxpkAihbwCOTvdPkSCOdTDBJqke3KSpmHK2HUghEtAsrMBUiNLEDuiUlSQr1HTNSVv605Y5yRL00kTTq_bae6qkK88I.Y16LBHv_v9sEuIbxWZd6EIYnP0QvriVBSVrL6lk3vbo&amp;dib_tag=se&amp;keywords=LOREAL+D.BRIGHT+REVEAL+FLUID&amp;qid=1754052262&amp;sprefix=loreal+d.bright+reveal+fluid%2Caps%2C106&amp;sr=8-9</t>
        </is>
      </c>
      <c r="L482" s="14" t="inlineStr">
        <is>
          <t>B0CV5NHZG4</t>
        </is>
      </c>
      <c r="M482" s="15" t="n"/>
      <c r="N482" s="15" t="n"/>
      <c r="O482" s="15" t="n">
        <v>22.4</v>
      </c>
      <c r="P482" s="15">
        <f>O482/1.19</f>
        <v/>
      </c>
      <c r="Q482" s="15">
        <f>O482-P482</f>
        <v/>
      </c>
      <c r="R482" s="15">
        <f>O482*0.15</f>
        <v/>
      </c>
      <c r="S482" s="15" t="n">
        <v>12.95</v>
      </c>
      <c r="T482" s="15">
        <f>S482*0.2</f>
        <v/>
      </c>
      <c r="U482" s="15" t="n">
        <v>0.400000000000002</v>
      </c>
      <c r="V482" s="15" t="n">
        <v>2.2</v>
      </c>
      <c r="W482" s="15">
        <f>V482*0.2</f>
        <v/>
      </c>
      <c r="X482" s="21">
        <f>O482-Q482-R482-S482-U482-V482+T482+W482</f>
        <v/>
      </c>
      <c r="Y482" s="14" t="n"/>
      <c r="Z482" s="15">
        <f>O482+1.5</f>
        <v/>
      </c>
      <c r="AA482" s="15" t="n"/>
      <c r="AB482" s="15" t="n"/>
      <c r="AC482" s="14" t="n"/>
      <c r="AD482" s="14" t="n"/>
      <c r="AE482" s="13" t="inlineStr">
        <is>
          <t>NOT_UPLOADED</t>
        </is>
      </c>
    </row>
    <row r="483" ht="16" customHeight="1">
      <c r="A483" s="17" t="n">
        <v>3600524119843</v>
      </c>
      <c r="B483" s="17" t="n">
        <v>3600524119898</v>
      </c>
      <c r="C483" s="13" t="n"/>
      <c r="D483" s="18" t="n"/>
      <c r="E483" s="18" t="inlineStr">
        <is>
          <t>FOR-3600524119843</t>
        </is>
      </c>
      <c r="F483" s="17" t="inlineStr">
        <is>
          <t>L4026</t>
        </is>
      </c>
      <c r="G483" s="18" t="inlineStr">
        <is>
          <t>Fortuna</t>
        </is>
      </c>
      <c r="H483" s="18" t="inlineStr">
        <is>
          <t>Loreal</t>
        </is>
      </c>
      <c r="I483" s="18" t="inlineStr">
        <is>
          <t>L'Oréal Paris Anti-pigment spot cleansing gel for women: clarifies the skin and refines pores and ensures radiant complexion with niacinamide and salicylic acid, bright reveal, 1 x 150 ml</t>
        </is>
      </c>
      <c r="J483" s="18" t="inlineStr">
        <is>
          <t>No</t>
        </is>
      </c>
      <c r="K483" s="18" t="inlineStr">
        <is>
          <t>https://www.amazon.de/-/en/LOr%C3%A9al-Paris-Anti-pigment-cleansing-women/dp/B0CJ5GN8R4/ref=sr_1_5?crid=14H6TYA4QY3M4&amp;dib=eyJ2IjoiMSJ9.Y7zFbtZU3Zmdze9WqntAa07amZyUYfqOWHVr4Xx-lJ5Fn_ld_2aqo3C5_g-JIpyrOTSpr3EUnWzoIHnBSdPxLm_ughoTI4vV5JO459hjECAZSz-_n8n3RMH9wbnanA3A9xIKyutAlTXEyjC3vWFa1EgzZniDY28E1G3u4_VD999thjma1StbHUa8jAbuXNhb4pBuKMMii-kAlaYKoxUO6kMstBtocw5lhjML9X8SbaDxvSbYuI81xchE9km2B1Dcb6I0wlJd1sZXTtdECE7RJYl9zoVpx6mf8GOtaKfJt-I.VOXeoEvq5SQWfGL6ZJ2jM64HuO0cMDcYEgI3ZNNhruI&amp;dib_tag=se&amp;keywords=loreal+d.bright+reveal+niacinamide+SERUM+30ML&amp;qid=1754053572&amp;sprefix=loreal+d.bright+reveal+niacinamide+serum+30ml%2Caps%2C154&amp;sr=8-5</t>
        </is>
      </c>
      <c r="L483" s="18" t="inlineStr">
        <is>
          <t>B0CJ5GN8R4</t>
        </is>
      </c>
      <c r="M483" s="19" t="n">
        <v>25</v>
      </c>
      <c r="N483" s="19" t="n"/>
      <c r="O483" s="19" t="n">
        <v>24.9</v>
      </c>
      <c r="P483" s="19">
        <f>O483/1.19</f>
        <v/>
      </c>
      <c r="Q483" s="19">
        <f>O483-P483</f>
        <v/>
      </c>
      <c r="R483" s="19">
        <f>O483*0.15</f>
        <v/>
      </c>
      <c r="S483" s="19" t="n">
        <v>13.66</v>
      </c>
      <c r="T483" s="19">
        <f>S483*0.2</f>
        <v/>
      </c>
      <c r="U483" s="19" t="n">
        <v>0.400000000000002</v>
      </c>
      <c r="V483" s="19" t="n">
        <v>2.7</v>
      </c>
      <c r="W483" s="19">
        <f>V483*0.2</f>
        <v/>
      </c>
      <c r="X483" s="21">
        <f>O483-Q483-R483-S483-U483-V483+T483+W483</f>
        <v/>
      </c>
      <c r="Y483" s="18" t="n"/>
      <c r="Z483" s="19">
        <f>O483+1.5</f>
        <v/>
      </c>
      <c r="AA483" s="19" t="n"/>
      <c r="AB483" s="19" t="n"/>
      <c r="AC483" s="18" t="n"/>
      <c r="AD483" s="18" t="n"/>
      <c r="AE483" s="13" t="inlineStr">
        <is>
          <t>NOT_UPLOADED</t>
        </is>
      </c>
    </row>
    <row r="484" ht="16" customHeight="1">
      <c r="A484" s="12" t="n">
        <v>3600524189259</v>
      </c>
      <c r="B484" s="12" t="n">
        <v>3600524186845</v>
      </c>
      <c r="C484" s="13" t="n"/>
      <c r="D484" s="14" t="n"/>
      <c r="E484" s="14" t="inlineStr">
        <is>
          <t>FOR-3600524189259</t>
        </is>
      </c>
      <c r="F484" s="12" t="inlineStr">
        <is>
          <t>L4027</t>
        </is>
      </c>
      <c r="G484" s="14" t="inlineStr">
        <is>
          <t>Fortuna</t>
        </is>
      </c>
      <c r="H484" s="14" t="inlineStr">
        <is>
          <t>Loreal</t>
        </is>
      </c>
      <c r="I484" s="14" t="inlineStr">
        <is>
          <t>L'Oréal Daily Tinted UV Glow Fluid SPF 50 Niacinamide + Glow Pigments Bright Reveal 1 x 50 ml</t>
        </is>
      </c>
      <c r="J484" s="14" t="inlineStr">
        <is>
          <t>No</t>
        </is>
      </c>
      <c r="K484" s="14" t="inlineStr">
        <is>
          <t>https://www.amazon.de/-/en/LOr%C3%A9al-Tinted-Niacinamide-Pigments-Bright/dp/B0DKTWLXDK/ref=sr_1_5?crid=1OHXXSOCTFG63&amp;dib=eyJ2IjoiMSJ9.LOXvuSuh9Yeh4tAJtbfnQGWaAMv2iw71FuwIjQrezZff-TVKM3p9Uem-AL1LBULVJMZ8cVcyqTaXWgLU1RY0aoN9ZBzPb7qxsnjhmiSu3rYz0RqWgcVWlgpz52iZvNfg4U_kln80mcO_7XISlXhE5GfUaWvg9FPNcIxgDM4q3c2uI9z1BDhkdsW_VA9mrnDr.UzjY2OyAS_D68DQQYGsSDGtSCY19-FgrYcqQnYssC8g&amp;dib_tag=se&amp;keywords=loreal%2Bd.bright%2Breveal%2Bniacinamide&amp;qid=1754053772&amp;sprefix=loreal%2Bd.bright%2Breveal%2Bniacimine%2B%2Caps%2C101&amp;sr=8-5&amp;th=1</t>
        </is>
      </c>
      <c r="L484" s="14" t="inlineStr">
        <is>
          <t>B0DKTWLXDK</t>
        </is>
      </c>
      <c r="M484" s="15" t="n"/>
      <c r="N484" s="15" t="n"/>
      <c r="O484" s="15" t="n">
        <v>22.85</v>
      </c>
      <c r="P484" s="15">
        <f>O484/1.19</f>
        <v/>
      </c>
      <c r="Q484" s="15">
        <f>O484-P484</f>
        <v/>
      </c>
      <c r="R484" s="15">
        <f>O484*0.15</f>
        <v/>
      </c>
      <c r="S484" s="15" t="n">
        <v>12.95</v>
      </c>
      <c r="T484" s="15">
        <f>S484*0.2</f>
        <v/>
      </c>
      <c r="U484" s="15" t="n">
        <v>0.400000000000002</v>
      </c>
      <c r="V484" s="15" t="n">
        <v>2.7</v>
      </c>
      <c r="W484" s="15">
        <f>V484*0.2</f>
        <v/>
      </c>
      <c r="X484" s="21">
        <f>O484-Q484-R484-S484-U484-V484+T484+W484</f>
        <v/>
      </c>
      <c r="Y484" s="14" t="n"/>
      <c r="Z484" s="15">
        <f>O484+1.5</f>
        <v/>
      </c>
      <c r="AA484" s="15" t="n"/>
      <c r="AB484" s="15" t="n"/>
      <c r="AC484" s="14" t="n"/>
      <c r="AD484" s="14" t="n"/>
      <c r="AE484" s="13" t="inlineStr">
        <is>
          <t>NOT_UPLOADED</t>
        </is>
      </c>
    </row>
    <row r="485" ht="16" customHeight="1">
      <c r="A485" s="17" t="n">
        <v>3600524186876</v>
      </c>
      <c r="B485" s="17" t="n">
        <v>3600524186845</v>
      </c>
      <c r="C485" s="13" t="n"/>
      <c r="D485" s="18" t="n"/>
      <c r="E485" s="18" t="inlineStr">
        <is>
          <t>FOR-3600524186876</t>
        </is>
      </c>
      <c r="F485" s="17" t="inlineStr">
        <is>
          <t>L4027</t>
        </is>
      </c>
      <c r="G485" s="18" t="inlineStr">
        <is>
          <t>Fortuna</t>
        </is>
      </c>
      <c r="H485" s="18" t="inlineStr">
        <is>
          <t>Loreal</t>
        </is>
      </c>
      <c r="I485" s="18" t="inlineStr">
        <is>
          <t>L'Oréal Paris 50ml UV Anti-Stain Liquid for All Skin Types, Radiant Complexion, Dark Spots and Less Visible Imperfections with Niacinamide and SPF50 Bright Light Shade</t>
        </is>
      </c>
      <c r="J485" s="18" t="inlineStr">
        <is>
          <t>No</t>
        </is>
      </c>
      <c r="K485" s="18" t="inlineStr">
        <is>
          <t>https://www.amazon.de/-/en/Anti-Stain-Complexion-Imperfections-Niacinamide-Bright/dp/B0DPMXDP3B/ref=sr_1_13?crid=1OHXXSOCTFG63&amp;dib=eyJ2IjoiMSJ9.LOXvuSuh9Yeh4tAJtbfnQGWaAMv2iw71FuwIjQrezZff-TVKM3p9Uem-AL1LBULVJMZ8cVcyqTaXWgLU1RY0aoN9ZBzPb7qxsnjhmiSu3rYz0RqWgcVWlgpz52iZvNfg4U_kln80mcO_7XISlXhE5GfUaWvg9FPNcIxgDM4q3c2uI9z1BDhkdsW_VA9mrnDr.UzjY2OyAS_D68DQQYGsSDGtSCY19-FgrYcqQnYssC8g&amp;dib_tag=se&amp;keywords=loreal+d.bright+reveal+niacinamide&amp;qid=1754053772&amp;sprefix=loreal+d.bright+reveal+niacimine+%2Caps%2C101&amp;sr=8-13</t>
        </is>
      </c>
      <c r="L485" s="18" t="inlineStr">
        <is>
          <t>B0DPMXDP3B</t>
        </is>
      </c>
      <c r="M485" s="19" t="n"/>
      <c r="N485" s="19" t="n">
        <v>22.09</v>
      </c>
      <c r="O485" s="19" t="n">
        <v>22.9</v>
      </c>
      <c r="P485" s="19">
        <f>O485/1.19</f>
        <v/>
      </c>
      <c r="Q485" s="19">
        <f>O485-P485</f>
        <v/>
      </c>
      <c r="R485" s="19">
        <f>O485*0.15</f>
        <v/>
      </c>
      <c r="S485" s="19" t="n">
        <v>12.95</v>
      </c>
      <c r="T485" s="19">
        <f>S485*0.2</f>
        <v/>
      </c>
      <c r="U485" s="19" t="n">
        <v>0.400000000000002</v>
      </c>
      <c r="V485" s="19" t="n">
        <v>2.7</v>
      </c>
      <c r="W485" s="19">
        <f>V485*0.2</f>
        <v/>
      </c>
      <c r="X485" s="21">
        <f>O485-Q485-R485-S485-U485-V485+T485+W485</f>
        <v/>
      </c>
      <c r="Y485" s="18" t="n"/>
      <c r="Z485" s="19">
        <f>O485+1.5</f>
        <v/>
      </c>
      <c r="AA485" s="19" t="n"/>
      <c r="AB485" s="19" t="n"/>
      <c r="AC485" s="18" t="n"/>
      <c r="AD485" s="18" t="n"/>
      <c r="AE485" s="13" t="inlineStr">
        <is>
          <t>NOT_UPLOADED</t>
        </is>
      </c>
    </row>
    <row r="486" ht="16" customHeight="1">
      <c r="A486" s="12" t="n">
        <v>3600524189266</v>
      </c>
      <c r="B486" s="12" t="n">
        <v>3600524186951</v>
      </c>
      <c r="C486" s="13" t="n"/>
      <c r="D486" s="14" t="n"/>
      <c r="E486" s="14" t="inlineStr">
        <is>
          <t>FOR-3600524189266</t>
        </is>
      </c>
      <c r="F486" s="12" t="inlineStr">
        <is>
          <t>L4028</t>
        </is>
      </c>
      <c r="G486" s="14" t="inlineStr">
        <is>
          <t>Fortuna</t>
        </is>
      </c>
      <c r="H486" s="14" t="inlineStr">
        <is>
          <t>Loreal</t>
        </is>
      </c>
      <c r="I486" s="14" t="inlineStr">
        <is>
          <t>L'Oréal Daily Tinted UV Glow Fluid SPF 50, Niacinamide + Glow Pigments, Colour: Medium, Bright Reveal, 1 x 50 ml</t>
        </is>
      </c>
      <c r="J486" s="14" t="inlineStr">
        <is>
          <t>No</t>
        </is>
      </c>
      <c r="K486" s="14" t="inlineStr">
        <is>
          <t>https://www.amazon.de/-/en/LOr%C3%A9al-Tinted-Niacinamide-Pigments-Colour/dp/B0DKTVH425/ref=sr_1_1?crid=2LZIWFRQ4R6DU&amp;dib=eyJ2IjoiMSJ9.dAIQIikIZ0cmdKAQYYOHoQ.IbRhuho45YlFIftGR459BAKPMJQMAtHA_YBP5Re4Uus&amp;dib_tag=se&amp;keywords=B0DKTVH425&amp;qid=1754054302&amp;s=beauty&amp;sprefix=b0dktvh425%2Cbeauty%2C711&amp;sr=1-1&amp;th=1</t>
        </is>
      </c>
      <c r="L486" s="14" t="inlineStr">
        <is>
          <t>B0DKTVH425</t>
        </is>
      </c>
      <c r="M486" s="15" t="n">
        <v>23.9</v>
      </c>
      <c r="N486" s="15" t="n"/>
      <c r="O486" s="15" t="n">
        <v>23.7</v>
      </c>
      <c r="P486" s="15">
        <f>O486/1.19</f>
        <v/>
      </c>
      <c r="Q486" s="15">
        <f>O486-P486</f>
        <v/>
      </c>
      <c r="R486" s="15">
        <f>O486*0.15</f>
        <v/>
      </c>
      <c r="S486" s="15" t="n">
        <v>12.95</v>
      </c>
      <c r="T486" s="15">
        <f>S486*0.2</f>
        <v/>
      </c>
      <c r="U486" s="15" t="n">
        <v>0.400000000000002</v>
      </c>
      <c r="V486" s="15" t="n">
        <v>2.7</v>
      </c>
      <c r="W486" s="15">
        <f>V486*0.2</f>
        <v/>
      </c>
      <c r="X486" s="21">
        <f>O486-Q486-R486-S486-U486-V486+T486+W486</f>
        <v/>
      </c>
      <c r="Y486" s="14" t="n"/>
      <c r="Z486" s="15">
        <f>O486+1.5</f>
        <v/>
      </c>
      <c r="AA486" s="15" t="n"/>
      <c r="AB486" s="15" t="n"/>
      <c r="AC486" s="14" t="n"/>
      <c r="AD486" s="14" t="n"/>
      <c r="AE486" s="13" t="inlineStr">
        <is>
          <t>NOT_UPLOADED</t>
        </is>
      </c>
    </row>
    <row r="487" ht="16" customHeight="1">
      <c r="A487" s="17" t="n">
        <v>3600524122775</v>
      </c>
      <c r="B487" s="17" t="n">
        <v>3600524122775</v>
      </c>
      <c r="C487" s="13" t="n"/>
      <c r="D487" s="18" t="n"/>
      <c r="E487" s="18" t="inlineStr">
        <is>
          <t>FOR-3600524122775</t>
        </is>
      </c>
      <c r="F487" s="17" t="inlineStr">
        <is>
          <t>L4029</t>
        </is>
      </c>
      <c r="G487" s="18" t="inlineStr">
        <is>
          <t>Fortuna</t>
        </is>
      </c>
      <c r="H487" s="18" t="inlineStr">
        <is>
          <t>Loreal</t>
        </is>
      </c>
      <c r="I487" s="18" t="inlineStr">
        <is>
          <t>L'Oréal Paris Bright Reveal Dark Spot Moisturizer SPF 50 UV Filter with Patented Mexoryl 400, 5.6% Moisture Complex and 2% Niacinamide Protects, Brightens and Evens Tone</t>
        </is>
      </c>
      <c r="J487" s="18" t="inlineStr">
        <is>
          <t>No</t>
        </is>
      </c>
      <c r="K487" s="18" t="inlineStr">
        <is>
          <t>https://www.amazon.de/-/en/Moisturizer-Patented-Moisture-Niacinamide-Brightens/dp/B0CQ32JBD9/ref=sr_1_1?crid=36RL0PGXQIZT4&amp;dib=eyJ2IjoiMSJ9.i-G9NMpNCrX0us45xRuG7Q.izm16zKwKUAxWBaq1VqEmcp8gu4LzKsvgIVHj1J6rfE&amp;dib_tag=se&amp;keywords=3600524122775&amp;qid=1754054433&amp;s=beauty&amp;sprefix=3600524122775%2Cbeauty%2C117&amp;sr=1-1</t>
        </is>
      </c>
      <c r="L487" s="18" t="inlineStr">
        <is>
          <t>B0CQ32JBD9</t>
        </is>
      </c>
      <c r="M487" s="19" t="n">
        <v>27.34</v>
      </c>
      <c r="N487" s="19" t="n"/>
      <c r="O487" s="19" t="n">
        <v>24.9</v>
      </c>
      <c r="P487" s="19">
        <f>O487/1.19</f>
        <v/>
      </c>
      <c r="Q487" s="19">
        <f>O487-P487</f>
        <v/>
      </c>
      <c r="R487" s="19">
        <f>O487*0.15</f>
        <v/>
      </c>
      <c r="S487" s="19" t="n">
        <v>12.95</v>
      </c>
      <c r="T487" s="19">
        <f>S487*0.2</f>
        <v/>
      </c>
      <c r="U487" s="19" t="n">
        <v>0.400000000000002</v>
      </c>
      <c r="V487" s="19" t="n">
        <v>3.96</v>
      </c>
      <c r="W487" s="19">
        <f>V487*0.2</f>
        <v/>
      </c>
      <c r="X487" s="21">
        <f>O487-Q487-R487-S487-U487-V487+T487+W487</f>
        <v/>
      </c>
      <c r="Y487" s="18" t="n"/>
      <c r="Z487" s="19">
        <f>O487+1.5</f>
        <v/>
      </c>
      <c r="AA487" s="19" t="n">
        <v>12.03</v>
      </c>
      <c r="AB487" s="19" t="n">
        <v>2632787</v>
      </c>
      <c r="AC487" s="18" t="n"/>
      <c r="AD487" s="18" t="n"/>
      <c r="AE487" s="13" t="inlineStr">
        <is>
          <t>NOT_UPLOADED</t>
        </is>
      </c>
    </row>
    <row r="488" ht="16" customHeight="1">
      <c r="A488" s="12" t="n">
        <v>3600524122782</v>
      </c>
      <c r="B488" s="12" t="n">
        <v>3600524122775</v>
      </c>
      <c r="C488" s="13" t="n"/>
      <c r="D488" s="14" t="n"/>
      <c r="E488" s="14" t="inlineStr">
        <is>
          <t>FOR-3600524122782</t>
        </is>
      </c>
      <c r="F488" s="12" t="inlineStr">
        <is>
          <t>L4029</t>
        </is>
      </c>
      <c r="G488" s="14" t="inlineStr">
        <is>
          <t>Fortuna</t>
        </is>
      </c>
      <c r="H488" s="14" t="inlineStr">
        <is>
          <t>Loreal</t>
        </is>
      </c>
      <c r="I488" s="14" t="inlineStr">
        <is>
          <t>L'Oréal Paris Moisturiser with SPF 50 - Reduces Pigment Spots, Prevents Skin Ageing, Moisturises, Bright Reveal Dark Spot Care, 50 m</t>
        </is>
      </c>
      <c r="J488" s="14" t="inlineStr">
        <is>
          <t>No</t>
        </is>
      </c>
      <c r="K488" s="14" t="inlineStr">
        <is>
          <t>https://www.amazon.de/-/en/LOr%C3%A9al-Paris-Moisturiser-SPF-Moisturises/dp/B0CJ5FLVCP/ref=sr_1_2?crid=FSQ8UXHV075E&amp;dib=eyJ2IjoiMSJ9.hQXGlixy5UpCGDffxIPm-hg_37Dh5BkHmZe9w4r25ddBGYGB3MXem7VSlOYtatWRWhs-nbznwoWpJ38XuoPdC6Zz2fHcmi6mrOyeVESMe5nfOavgc7IdMIFMDJYgznaetWdz-r4QLMAB6KxaBjhr0w.EhMEQuobbVHA_PoIci2_D5lKOoFd7GlgBx1XWJt8rgU&amp;dib_tag=se&amp;keywords=LOREAL+D.BRIGHT+REVEAL+SPF+50&amp;qid=1754054617&amp;rdc=1&amp;s=beauty&amp;sprefix=loreal+d.bright+reveal+spf+50%2Cbeauty%2C155&amp;sr=1-2</t>
        </is>
      </c>
      <c r="L488" s="14" t="inlineStr">
        <is>
          <t>B0CJ5FLVCP</t>
        </is>
      </c>
      <c r="M488" s="15" t="n">
        <v>23.9</v>
      </c>
      <c r="N488" s="15" t="n"/>
      <c r="O488" s="15" t="n">
        <v>23.7</v>
      </c>
      <c r="P488" s="15">
        <f>O488/1.19</f>
        <v/>
      </c>
      <c r="Q488" s="15">
        <f>O488-P488</f>
        <v/>
      </c>
      <c r="R488" s="15">
        <f>O488*0.15</f>
        <v/>
      </c>
      <c r="S488" s="15" t="n">
        <v>12.95</v>
      </c>
      <c r="T488" s="15">
        <f>S488*0.2</f>
        <v/>
      </c>
      <c r="U488" s="15" t="n">
        <v>0.400000000000002</v>
      </c>
      <c r="V488" s="15" t="n">
        <v>3.96</v>
      </c>
      <c r="W488" s="15">
        <f>V488*0.2</f>
        <v/>
      </c>
      <c r="X488" s="21">
        <f>O488-Q488-R488-S488-U488-V488+T488+W488</f>
        <v/>
      </c>
      <c r="Y488" s="14" t="n"/>
      <c r="Z488" s="15">
        <f>O488+1.5</f>
        <v/>
      </c>
      <c r="AA488" s="15" t="n"/>
      <c r="AB488" s="15" t="n"/>
      <c r="AC488" s="14" t="n"/>
      <c r="AD488" s="14" t="n"/>
      <c r="AE488" s="13" t="inlineStr">
        <is>
          <t>NOT_UPLOADED</t>
        </is>
      </c>
    </row>
    <row r="489" ht="16" customHeight="1">
      <c r="A489" s="17" t="n">
        <v>3600524187095</v>
      </c>
      <c r="B489" s="17" t="n">
        <v>3600524187071</v>
      </c>
      <c r="C489" s="13" t="n"/>
      <c r="D489" s="18" t="n"/>
      <c r="E489" s="18" t="inlineStr">
        <is>
          <t>FOR-3600524187095</t>
        </is>
      </c>
      <c r="F489" s="17" t="inlineStr">
        <is>
          <t>L4030</t>
        </is>
      </c>
      <c r="G489" s="18" t="inlineStr">
        <is>
          <t>Fortuna</t>
        </is>
      </c>
      <c r="H489" s="18" t="inlineStr">
        <is>
          <t>Loreal</t>
        </is>
      </c>
      <c r="I489" s="18" t="inlineStr">
        <is>
          <t>L'Oréal Paris UV Stick Pen UPF 50+ UV Protection Dark Spot Moisturising Bright Reveal</t>
        </is>
      </c>
      <c r="J489" s="18" t="inlineStr">
        <is>
          <t>No</t>
        </is>
      </c>
      <c r="K489" s="18" t="inlineStr">
        <is>
          <t>https://www.amazon.de/-/en/LOr%C3%A9al-Protection-Moisturising-Bright-Reveal/dp/B0DKTYT7ZH/ref=sr_1_2?crid=V1OMJTLD819U&amp;dib=eyJ2IjoiMSJ9.nnjU_IgXafyeiYjN62FKmUuDEXY47L7ym7NX92Jf8eG3HpW3NM1RzNha4xtqBskY-2dV4SRYpy-kjypRpZKTcJW0iaVSSZhe-YIGv1wnd9mqGDhFDB6XoCQwgbZ4yJPBtEtPG5rwuyBV4Gmb7m9Dto8yg7eJNfkwIsWriADlSO-kLtUkRpKiY9wsSHrz8XspxfJrreUXyEJptj0EPNAvxNdMrRhzv247XoX9Hu9J-vXJpjkk-rCD1DU0yKUMn2bLaq6SllxFA6jxbx75GA1Zb_pWXOOKekiId6WtyEBMvI0.3mFZC6HGS54RTWGgONnrC5H6Q0Zg9c1c75SRaN_zmd8&amp;dib_tag=se&amp;keywords=LOREAL+STICK+SPF50&amp;qid=1754056764&amp;sprefix=loreal+stick+spf50%2Caps%2C160&amp;sr=8-2</t>
        </is>
      </c>
      <c r="L489" s="18" t="inlineStr">
        <is>
          <t>B0DKTYT7ZH</t>
        </is>
      </c>
      <c r="M489" s="19" t="n"/>
      <c r="N489" s="19" t="n">
        <v>14.95</v>
      </c>
      <c r="O489" s="19" t="n">
        <v>17.7</v>
      </c>
      <c r="P489" s="19">
        <f>O489/1.19</f>
        <v/>
      </c>
      <c r="Q489" s="19">
        <f>O489-P489</f>
        <v/>
      </c>
      <c r="R489" s="19">
        <f>O489*0.15</f>
        <v/>
      </c>
      <c r="S489" s="19" t="n">
        <v>9.449999999999999</v>
      </c>
      <c r="T489" s="19">
        <f>S489*0.2</f>
        <v/>
      </c>
      <c r="U489" s="19" t="n">
        <v>0.400000000000002</v>
      </c>
      <c r="V489" s="19" t="n">
        <v>2.2</v>
      </c>
      <c r="W489" s="19">
        <f>V489*0.2</f>
        <v/>
      </c>
      <c r="X489" s="21">
        <f>O489-Q489-R489-S489-U489-V489+T489+W489</f>
        <v/>
      </c>
      <c r="Y489" s="18" t="n"/>
      <c r="Z489" s="19">
        <f>O489+1.5</f>
        <v/>
      </c>
      <c r="AA489" s="19" t="n"/>
      <c r="AB489" s="19" t="n"/>
      <c r="AC489" s="18" t="n"/>
      <c r="AD489" s="18" t="n"/>
      <c r="AE489" s="13" t="inlineStr">
        <is>
          <t>NOT_UPLOADED</t>
        </is>
      </c>
    </row>
    <row r="490" ht="16" customHeight="1">
      <c r="A490" s="12" t="n">
        <v>3600524187101</v>
      </c>
      <c r="B490" s="12" t="n">
        <v>3600524187071</v>
      </c>
      <c r="C490" s="13" t="n"/>
      <c r="D490" s="14" t="n"/>
      <c r="E490" s="14" t="inlineStr">
        <is>
          <t>FOR-3600524187101</t>
        </is>
      </c>
      <c r="F490" s="12" t="inlineStr">
        <is>
          <t>L4030</t>
        </is>
      </c>
      <c r="G490" s="14" t="inlineStr">
        <is>
          <t>Fortuna</t>
        </is>
      </c>
      <c r="H490" s="14" t="inlineStr">
        <is>
          <t>Loreal</t>
        </is>
      </c>
      <c r="I490" s="14" t="inlineStr">
        <is>
          <t>L'Oréal Paris Bright Reveal Anti UV Stick SPF50+ Anti Stain Remover Vitamin E 9ml</t>
        </is>
      </c>
      <c r="J490" s="14" t="inlineStr">
        <is>
          <t>No</t>
        </is>
      </c>
      <c r="K490" s="14" t="inlineStr">
        <is>
          <t>https://www.amazon.de/-/en/LOr%C3%A9al-Bright-Reveal-Remover-Vitamin/dp/B0DQLDYB5T/ref=sr_1_1?crid=V1OMJTLD819U&amp;dib=eyJ2IjoiMSJ9.nnjU_IgXafyeiYjN62FKmUuDEXY47L7ym7NX92Jf8eG3HpW3NM1RzNha4xtqBskY-2dV4SRYpy-kjypRpZKTcJW0iaVSSZhe-YIGv1wnd9mqGDhFDB6XoCQwgbZ4yJPBtEtPG5rwuyBV4Gmb7m9Dto8yg7eJNfkwIsWriADlSO-kLtUkRpKiY9wsSHrz8XspxfJrreUXyEJptj0EPNAvxNdMrRhzv247XoX9Hu9J-vXJpjkk-rCD1DU0yKUMn2bLaq6SllxFA6jxbx75GA1Zb_pWXOOKekiId6WtyEBMvI0.3mFZC6HGS54RTWGgONnrC5H6Q0Zg9c1c75SRaN_zmd8&amp;dib_tag=se&amp;keywords=LOREAL+STICK+SPF50&amp;qid=1754056764&amp;sprefix=loreal+stick+spf50%2Caps%2C160&amp;sr=8-1</t>
        </is>
      </c>
      <c r="L490" s="14" t="inlineStr">
        <is>
          <t>B0DQLDYB5T</t>
        </is>
      </c>
      <c r="M490" s="15" t="n"/>
      <c r="N490" s="15" t="n">
        <v>13.45</v>
      </c>
      <c r="O490" s="15" t="n">
        <v>17.9</v>
      </c>
      <c r="P490" s="15">
        <f>O490/1.19</f>
        <v/>
      </c>
      <c r="Q490" s="15">
        <f>O490-P490</f>
        <v/>
      </c>
      <c r="R490" s="15">
        <f>O490*0.15</f>
        <v/>
      </c>
      <c r="S490" s="15" t="n">
        <v>9.449999999999999</v>
      </c>
      <c r="T490" s="15">
        <f>S490*0.2</f>
        <v/>
      </c>
      <c r="U490" s="15" t="n">
        <v>0.400000000000002</v>
      </c>
      <c r="V490" s="15" t="n">
        <v>2.2</v>
      </c>
      <c r="W490" s="15">
        <f>V490*0.2</f>
        <v/>
      </c>
      <c r="X490" s="21">
        <f>O490-Q490-R490-S490-U490-V490+T490+W490</f>
        <v/>
      </c>
      <c r="Y490" s="14" t="n"/>
      <c r="Z490" s="15">
        <f>O490+1.5</f>
        <v/>
      </c>
      <c r="AA490" s="15" t="n"/>
      <c r="AB490" s="15" t="n"/>
      <c r="AC490" s="14" t="n"/>
      <c r="AD490" s="14" t="n"/>
      <c r="AE490" s="13" t="inlineStr">
        <is>
          <t>NOT_UPLOADED</t>
        </is>
      </c>
    </row>
    <row r="491" ht="16" customHeight="1">
      <c r="A491" s="17" t="n">
        <v>3600524197650</v>
      </c>
      <c r="B491" s="17" t="n">
        <v>3600524197711</v>
      </c>
      <c r="C491" s="13" t="n"/>
      <c r="D491" s="18" t="n"/>
      <c r="E491" s="18" t="inlineStr">
        <is>
          <t>FOR-3600524197650</t>
        </is>
      </c>
      <c r="F491" s="17" t="inlineStr">
        <is>
          <t>L4042</t>
        </is>
      </c>
      <c r="G491" s="18" t="inlineStr">
        <is>
          <t>Fortuna</t>
        </is>
      </c>
      <c r="H491" s="18" t="inlineStr">
        <is>
          <t>Loreal</t>
        </is>
      </c>
      <c r="I491" s="18" t="inlineStr">
        <is>
          <t>L'Oréal Paris Revitalift Laser Serum Concealer Anti-Aging Tri-Peptides 30 ml</t>
        </is>
      </c>
      <c r="J491" s="18" t="inlineStr">
        <is>
          <t>No</t>
        </is>
      </c>
      <c r="K491" s="18" t="inlineStr">
        <is>
          <t>https://www.amazon.de/-/en/dp/B0FGJC7KY6/ref=sr_1_5?crid=1G239TZ3FELK8&amp;dib=eyJ2IjoiMSJ9.OEXF0ItRVnO-hHLKkbzh_soE64i8555aVgEvsCRtIZVTS01n1gFgxWtVOV51XyuQUa4d6lLeac0MAhHRwJhApgkjpdlK4ReXrKzOaoftq6KzuMR0112ueLrNPn_sNbSpFqOpqXMUaAyXGNe9Aiill1R--1TNtNmwTx7cvqv5MC31WFsfKcua2hO3mDKWZhfsZUEaJZl2g26Gq2m4lICbUN97d1Lsk9dan-Y53FjNUAHT0ADCVrf1Inlyzl-xvMPiOHur178-LZrpS_mY2zp-ZpMp4C9d5oOl_j9NSs4lGYs.mtbATWEVn4D9bLX3vmgJz1kC7TtgDj401BgL1mgvw34&amp;dib_tag=se&amp;keywords=loreal+d.revitalift+laser+tri-peptide+SERUM&amp;qid=1754141123&amp;sprefix=loreal+d.revitalift+laser+tri-peptide+serum%2Caps%2C110&amp;sr=8-5</t>
        </is>
      </c>
      <c r="L491" s="18" t="inlineStr">
        <is>
          <t>B0FGJC7KY6</t>
        </is>
      </c>
      <c r="M491" s="19" t="n"/>
      <c r="N491" s="19" t="n">
        <v>27.89</v>
      </c>
      <c r="O491" s="19" t="n">
        <v>25.7</v>
      </c>
      <c r="P491" s="19">
        <f>O491/1.19</f>
        <v/>
      </c>
      <c r="Q491" s="19">
        <f>O491-P491</f>
        <v/>
      </c>
      <c r="R491" s="19">
        <f>O491*0.15</f>
        <v/>
      </c>
      <c r="S491" s="19" t="n">
        <v>13.66</v>
      </c>
      <c r="T491" s="19">
        <f>S491*0.2</f>
        <v/>
      </c>
      <c r="U491" s="19" t="n">
        <v>0.400000000000002</v>
      </c>
      <c r="V491" s="19" t="n">
        <v>2.2</v>
      </c>
      <c r="W491" s="19">
        <f>V491*0.2</f>
        <v/>
      </c>
      <c r="X491" s="21">
        <f>O491-Q491-R491-S491-U491-V491+T491+W491</f>
        <v/>
      </c>
      <c r="Y491" s="18" t="n"/>
      <c r="Z491" s="19">
        <f>O491+1.5</f>
        <v/>
      </c>
      <c r="AA491" s="19" t="n">
        <v>14.44</v>
      </c>
      <c r="AB491" s="19" t="n"/>
      <c r="AC491" s="18" t="n"/>
      <c r="AD491" s="18" t="n"/>
      <c r="AE491" s="13" t="inlineStr">
        <is>
          <t>NOT_UPLOADED</t>
        </is>
      </c>
    </row>
    <row r="492" ht="16" customHeight="1">
      <c r="A492" s="12" t="n">
        <v>3600551021140</v>
      </c>
      <c r="B492" s="12" t="n">
        <v>3600524197711</v>
      </c>
      <c r="C492" s="20" t="inlineStr">
        <is>
          <t>PACK X 2</t>
        </is>
      </c>
      <c r="D492" s="14" t="n"/>
      <c r="E492" s="14" t="inlineStr">
        <is>
          <t>FOR-3600551021140</t>
        </is>
      </c>
      <c r="F492" s="12" t="inlineStr">
        <is>
          <t>L4042</t>
        </is>
      </c>
      <c r="G492" s="14" t="inlineStr">
        <is>
          <t>Fortuna</t>
        </is>
      </c>
      <c r="H492" s="14" t="inlineStr">
        <is>
          <t>Loreal</t>
        </is>
      </c>
      <c r="I492" s="14" t="inlineStr">
        <is>
          <t>L'Oréal Paris Serum Revitalift Laser Tri-Peptide Moisturising Elastic Anti-Aging Serum with Hyaluronic Acid and Vitamin C - 2 Bottles of 30 ml</t>
        </is>
      </c>
      <c r="J492" s="14" t="inlineStr">
        <is>
          <t>No</t>
        </is>
      </c>
      <c r="K492" s="14" t="inlineStr">
        <is>
          <t>https://www.amazon.de/-/en/Revitalift-Tri-Peptide-Moisturising-Anti-Aging-Hyaluronic/dp/B0DZP7C39H/ref=sr_1_3?crid=1G239TZ3FELK8&amp;dib=eyJ2IjoiMSJ9.OEXF0ItRVnO-hHLKkbzh_soE64i8555aVgEvsCRtIZVTS01n1gFgxWtVOV51XyuQUa4d6lLeac0MAhHRwJhApgkjpdlK4ReXrKzOaoftq6KzuMR0112ueLrNPn_sNbSpFqOpqXMUaAyXGNe9Aiill1R--1TNtNmwTx7cvqv5MC31WFsfKcua2hO3mDKWZhfsZUEaJZl2g26Gq2m4lICbUN97d1Lsk9dan-Y53FjNUAHT0ADCVrf1Inlyzl-xvMPiOHur178-LZrpS_mY2zp-ZpMp4C9d5oOl_j9NSs4lGYs.mtbATWEVn4D9bLX3vmgJz1kC7TtgDj401BgL1mgvw34&amp;dib_tag=se&amp;keywords=loreal%2Bd.revitalift%2Blaser%2Btri-peptide%2BSERUM&amp;qid=1754141459&amp;sprefix=loreal%2Bd.revitalift%2Blaser%2Btri-peptide%2Bserum%2Caps%2C110&amp;sr=8-3&amp;th=1</t>
        </is>
      </c>
      <c r="L492" s="14" t="inlineStr">
        <is>
          <t>B0DZP7C39H</t>
        </is>
      </c>
      <c r="M492" s="15" t="n"/>
      <c r="N492" s="15" t="n"/>
      <c r="O492" s="15" t="n">
        <v>44.7</v>
      </c>
      <c r="P492" s="15">
        <f>O492/1.19</f>
        <v/>
      </c>
      <c r="Q492" s="15">
        <f>O492-P492</f>
        <v/>
      </c>
      <c r="R492" s="15">
        <f>O492*0.15</f>
        <v/>
      </c>
      <c r="S492" s="15" t="n">
        <v>27.32</v>
      </c>
      <c r="T492" s="15">
        <f>S492*0.2</f>
        <v/>
      </c>
      <c r="U492" s="15" t="n">
        <v>0.400000000000002</v>
      </c>
      <c r="V492" s="15" t="n">
        <v>3.1</v>
      </c>
      <c r="W492" s="15">
        <f>V492*0.2</f>
        <v/>
      </c>
      <c r="X492" s="21">
        <f>O492-Q492-R492-S492-U492-V492+T492+W492</f>
        <v/>
      </c>
      <c r="Y492" s="14" t="n"/>
      <c r="Z492" s="15">
        <f>O492+1.5</f>
        <v/>
      </c>
      <c r="AA492" s="15" t="n"/>
      <c r="AB492" s="15" t="n"/>
      <c r="AC492" s="14" t="n"/>
      <c r="AD492" s="14" t="n"/>
      <c r="AE492" s="13" t="inlineStr">
        <is>
          <t>NOT_UPLOADED</t>
        </is>
      </c>
    </row>
    <row r="493" ht="16" customHeight="1">
      <c r="A493" s="17" t="n">
        <v>3600523972036</v>
      </c>
      <c r="B493" s="17" t="n">
        <v>3600523972036</v>
      </c>
      <c r="C493" s="13" t="n"/>
      <c r="D493" s="18" t="n"/>
      <c r="E493" s="18" t="inlineStr">
        <is>
          <t>FOR-3600523972036</t>
        </is>
      </c>
      <c r="F493" s="17" t="inlineStr">
        <is>
          <t>L4045</t>
        </is>
      </c>
      <c r="G493" s="18" t="inlineStr">
        <is>
          <t>Fortuna</t>
        </is>
      </c>
      <c r="H493" s="18" t="inlineStr">
        <is>
          <t>Loreal</t>
        </is>
      </c>
      <c r="I493" s="18" t="inlineStr">
        <is>
          <t>L'Oréal Paris Revitalift Laser Anti-Wrinkle Night Serum with Pure Retinol, Vitamin A, Nourishing Oil &amp; Hyaluronic Acid, 30 ml</t>
        </is>
      </c>
      <c r="J493" s="18" t="inlineStr">
        <is>
          <t>No</t>
        </is>
      </c>
      <c r="K493" s="18" t="inlineStr">
        <is>
          <t>https://www.amazon.de/-/en/Revitalift-Anti-Wrinkle-Retinol-Nourishing-Hyaluronic/dp/B08SXMWBTZ/ref=sr_1_1?crid=6B1ZXBOYYSYV&amp;dib=eyJ2IjoiMSJ9._ktW6JpMCSu--wORx20UGuo8bcWUEvmMTpDeSCRwbTow3SqTqslCedeEVv2paUczO6QSMW9bzq8eyur_ERBGi84ssCxVALCGoGw-t-Sa-0zp6Xl7tPBnYEfI6VhaX-bYv49h8iRZT84zi3t_t5ZbWNDF3XAg2ZwkGAPQmT3hAwhXImdCiKT6sP1ph0q0-eP9B0qyodxiEBI17tbC3y90XjKqgvgir_sVK3ySqEugLSeuLCmqORfC9ohmHPKgfNF9g4X7TyQiSTrD7yezQu3GdhvCy8izXSe0AaDzA6ZYthM.4rBlXPEb2KLLQN69yb06TmS2SQC2QAGwChjIPe6gkNo&amp;dib_tag=se&amp;keywords=LOREAL%2BD.REVITALIFT%2BLASER%2BX3%2BRETINOL%2BSERUM&amp;qid=1754143351&amp;rdc=1&amp;sprefix=loreal%2Bd.revitalift%2Blaser%2Bx3%2Bretinol%2Bserum%2Caps%2C137&amp;sr=8-1&amp;th=1</t>
        </is>
      </c>
      <c r="L493" s="18" t="inlineStr">
        <is>
          <t>B08SXMWBTZ</t>
        </is>
      </c>
      <c r="M493" s="19" t="n">
        <v>24.8</v>
      </c>
      <c r="N493" s="19" t="n"/>
      <c r="O493" s="19" t="n">
        <v>24.3</v>
      </c>
      <c r="P493" s="19">
        <f>O493/1.19</f>
        <v/>
      </c>
      <c r="Q493" s="19">
        <f>O493-P493</f>
        <v/>
      </c>
      <c r="R493" s="19">
        <f>O493*0.15</f>
        <v/>
      </c>
      <c r="S493" s="19" t="n">
        <v>13.66</v>
      </c>
      <c r="T493" s="19">
        <f>S493*0.2</f>
        <v/>
      </c>
      <c r="U493" s="19" t="n">
        <v>0.400000000000002</v>
      </c>
      <c r="V493" s="19" t="n">
        <v>2.4</v>
      </c>
      <c r="W493" s="19">
        <f>V493*0.2</f>
        <v/>
      </c>
      <c r="X493" s="21">
        <f>O493-Q493-R493-S493-U493-V493+T493+W493</f>
        <v/>
      </c>
      <c r="Y493" s="18" t="n"/>
      <c r="Z493" s="19">
        <f>O493+1.5</f>
        <v/>
      </c>
      <c r="AA493" s="19" t="n"/>
      <c r="AB493" s="19" t="n"/>
      <c r="AC493" s="18" t="n"/>
      <c r="AD493" s="18" t="n"/>
      <c r="AE493" s="13" t="inlineStr">
        <is>
          <t>NOT_UPLOADED</t>
        </is>
      </c>
    </row>
    <row r="494" ht="16" customHeight="1">
      <c r="A494" s="12" t="n"/>
      <c r="B494" s="12" t="n">
        <v>3600523972036</v>
      </c>
      <c r="C494" s="13" t="n"/>
      <c r="D494" s="14" t="n"/>
      <c r="E494" s="14" t="inlineStr">
        <is>
          <t>APPROVAL NEED</t>
        </is>
      </c>
      <c r="F494" s="12" t="inlineStr">
        <is>
          <t>L4045</t>
        </is>
      </c>
      <c r="G494" s="14" t="inlineStr">
        <is>
          <t>Fortuna</t>
        </is>
      </c>
      <c r="H494" s="14" t="inlineStr">
        <is>
          <t>Loreal</t>
        </is>
      </c>
      <c r="I494" s="14" t="inlineStr">
        <is>
          <t>L'Oréal Paris Revitalift Laser X3 Retinol Night Serum 30 ml</t>
        </is>
      </c>
      <c r="J494" s="14" t="inlineStr">
        <is>
          <t>No</t>
        </is>
      </c>
      <c r="K494" s="14" t="inlineStr">
        <is>
          <t>https://www.amazon.de/-/en/LOr%C3%A9al-Paris-Revitalift-Laser-Retinol/dp/B0B7KWVKXR/ref=sr_1_3?crid=6B1ZXBOYYSYV&amp;dib=eyJ2IjoiMSJ9._ktW6JpMCSu--wORx20UGuo8bcWUEvmMTpDeSCRwbTow3SqTqslCedeEVv2paUczO6QSMW9bzq8eyur_ERBGi84ssCxVALCGoGw-t-Sa-0zp6Xl7tPBnYEfI6VhaX-bYv49h8iRZT84zi3t_t5ZbWNDF3XAg2ZwkGAPQmT3hAwhXImdCiKT6sP1ph0q0-eP9B0qyodxiEBI17tbC3y90XjKqgvgir_sVK3ySqEugLSeuLCmqORfC9ohmHPKgfNF9g4X7TyQiSTrD7yezQu3GdhvCy8izXSe0AaDzA6ZYthM.4rBlXPEb2KLLQN69yb06TmS2SQC2QAGwChjIPe6gkNo&amp;dib_tag=se&amp;keywords=LOREAL+D.REVITALIFT+LASER+X3+RETINOL+SERUM&amp;qid=1754143818&amp;sprefix=loreal+d.revitalift+laser+x3+retinol+serum%2Caps%2C137&amp;sr=8-3</t>
        </is>
      </c>
      <c r="L494" s="14" t="inlineStr">
        <is>
          <t>B0B7KWVKXR</t>
        </is>
      </c>
      <c r="M494" s="15" t="n"/>
      <c r="N494" s="15" t="n"/>
      <c r="O494" s="15" t="n">
        <v>24.3</v>
      </c>
      <c r="P494" s="15">
        <f>O494/1.19</f>
        <v/>
      </c>
      <c r="Q494" s="15">
        <f>O494-P494</f>
        <v/>
      </c>
      <c r="R494" s="15">
        <f>O494*0.15</f>
        <v/>
      </c>
      <c r="S494" s="15" t="n">
        <v>13.66</v>
      </c>
      <c r="T494" s="15">
        <f>S494*0.2</f>
        <v/>
      </c>
      <c r="U494" s="15" t="n">
        <v>0.400000000000002</v>
      </c>
      <c r="V494" s="15" t="n">
        <v>2.4</v>
      </c>
      <c r="W494" s="15">
        <f>V494*0.2</f>
        <v/>
      </c>
      <c r="X494" s="21">
        <f>O494-Q494-R494-S494-U494-V494+T494+W494</f>
        <v/>
      </c>
      <c r="Y494" s="14" t="n"/>
      <c r="Z494" s="15">
        <f>O494+1.5</f>
        <v/>
      </c>
      <c r="AA494" s="15" t="n"/>
      <c r="AB494" s="15" t="n"/>
      <c r="AC494" s="14" t="n"/>
      <c r="AD494" s="14" t="n"/>
      <c r="AE494" s="13" t="inlineStr">
        <is>
          <t>NOT_UPLOADED</t>
        </is>
      </c>
    </row>
    <row r="495" ht="16" customHeight="1">
      <c r="A495" s="17" t="n">
        <v>3600523971978</v>
      </c>
      <c r="B495" s="17" t="n">
        <v>3600523972036</v>
      </c>
      <c r="C495" s="13" t="n"/>
      <c r="D495" s="18" t="n"/>
      <c r="E495" s="18" t="inlineStr">
        <is>
          <t>FOR-3600523971978</t>
        </is>
      </c>
      <c r="F495" s="17" t="inlineStr">
        <is>
          <t>L4045</t>
        </is>
      </c>
      <c r="G495" s="18" t="inlineStr">
        <is>
          <t>Fortuna</t>
        </is>
      </c>
      <c r="H495" s="18" t="inlineStr">
        <is>
          <t>Loreal</t>
        </is>
      </c>
      <c r="I495" s="18" t="inlineStr">
        <is>
          <t>Der Ex Revitalift Laser Retinol Serum NoChampúe</t>
        </is>
      </c>
      <c r="J495" s="18" t="inlineStr">
        <is>
          <t>No</t>
        </is>
      </c>
      <c r="K495" s="18" t="inlineStr">
        <is>
          <t>https://www.amazon.de/-/en/Revitalift-Laser-Retinol-Serum-NoChamp%C3%BAe/dp/B08SS5TRP4/ref=sr_1_10?crid=6B1ZXBOYYSYV&amp;dib=eyJ2IjoiMSJ9._ktW6JpMCSu--wORx20UGuo8bcWUEvmMTpDeSCRwbTow3SqTqslCedeEVv2paUczO6QSMW9bzq8eyur_ERBGi84ssCxVALCGoGw-t-Sa-0zp6Xl7tPBnYEfI6VhaX-bYv49h8iRZT84zi3t_t5ZbWNDF3XAg2ZwkGAPQmT3hAwhXImdCiKT6sP1ph0q0-eP9B0qyodxiEBI17tbC3y90XjKqgvgir_sVK3ySqEugLSeuLCmqORfC9ohmHPKgfNF9g4X7TyQiSTrD7yezQu3GdhvCy8izXSe0AaDzA6ZYthM.4rBlXPEb2KLLQN69yb06TmS2SQC2QAGwChjIPe6gkNo&amp;dib_tag=se&amp;keywords=LOREAL+D.REVITALIFT+LASER+X3+RETINOL+SERUM&amp;qid=1754143818&amp;sprefix=loreal+d.revitalift+laser+x3+retinol+serum%2Caps%2C137&amp;sr=8-10</t>
        </is>
      </c>
      <c r="L495" s="18" t="inlineStr">
        <is>
          <t>B08SS5TRP4</t>
        </is>
      </c>
      <c r="M495" s="19" t="n"/>
      <c r="N495" s="19" t="n"/>
      <c r="O495" s="19" t="n">
        <v>24.3</v>
      </c>
      <c r="P495" s="19">
        <f>O495/1.19</f>
        <v/>
      </c>
      <c r="Q495" s="19">
        <f>O495-P495</f>
        <v/>
      </c>
      <c r="R495" s="19">
        <f>O495*0.15</f>
        <v/>
      </c>
      <c r="S495" s="19" t="n">
        <v>13.66</v>
      </c>
      <c r="T495" s="19">
        <f>S495*0.2</f>
        <v/>
      </c>
      <c r="U495" s="19" t="n">
        <v>0.400000000000002</v>
      </c>
      <c r="V495" s="19" t="n">
        <v>2.4</v>
      </c>
      <c r="W495" s="19">
        <f>V495*0.2</f>
        <v/>
      </c>
      <c r="X495" s="21">
        <f>O495-Q495-R495-S495-U495-V495+T495+W495</f>
        <v/>
      </c>
      <c r="Y495" s="18" t="n"/>
      <c r="Z495" s="19">
        <f>O495+1.5</f>
        <v/>
      </c>
      <c r="AA495" s="19" t="n"/>
      <c r="AB495" s="19" t="n"/>
      <c r="AC495" s="18" t="n"/>
      <c r="AD495" s="18" t="n"/>
      <c r="AE495" s="13" t="inlineStr">
        <is>
          <t>NOT_UPLOADED</t>
        </is>
      </c>
    </row>
    <row r="496" ht="16" customHeight="1">
      <c r="A496" s="12" t="n">
        <v>3600523971961</v>
      </c>
      <c r="B496" s="12" t="n">
        <v>3600523972036</v>
      </c>
      <c r="C496" s="13" t="n"/>
      <c r="D496" s="14" t="n"/>
      <c r="E496" s="14" t="inlineStr">
        <is>
          <t>FOR-3600523971961</t>
        </is>
      </c>
      <c r="F496" s="12" t="inlineStr">
        <is>
          <t>L4045</t>
        </is>
      </c>
      <c r="G496" s="14" t="inlineStr">
        <is>
          <t>Fortuna</t>
        </is>
      </c>
      <c r="H496" s="14" t="inlineStr">
        <is>
          <t>Loreal</t>
        </is>
      </c>
      <c r="I496" s="14" t="inlineStr">
        <is>
          <t>L'Oréal Paris - Retinol Night Serum for Wrinkles - Anti-Aging Facial Care Specially Designed for Deep Wrinkles - Firm &amp; Smooth Skin - For All Skin Types - Revitalift Laser - 30ml</t>
        </is>
      </c>
      <c r="J496" s="14" t="inlineStr">
        <is>
          <t>No</t>
        </is>
      </c>
      <c r="K496" s="14" t="inlineStr">
        <is>
          <t>https://www.amazon.de/-/en/LOr%C3%A9al-Paris-Anti-Aging-Specially-Revitalift/dp/B08QQ5YSK1/ref=sr_1_19?crid=6B1ZXBOYYSYV&amp;dib=eyJ2IjoiMSJ9._ktW6JpMCSu--wORx20UGuo8bcWUEvmMTpDeSCRwbTow3SqTqslCedeEVv2paUczO6QSMW9bzq8eyur_ERBGi84ssCxVALCGoGw-t-Sa-0zp6Xl7tPBnYEfI6VhaX-bYv49h8iRZT84zi3t_t5ZbWNDF3XAg2ZwkGAPQmT3hAwhXImdCiKT6sP1ph0q0-eP9B0qyodxiEBI17tbC3y90XjKqgvgir_sVK3ySqEugLSeuLCmqORfC9ohmHPKgfNF9g4X7TyQiSTrD7yezQu3GdhvCy8izXSe0AaDzA6ZYthM.4rBlXPEb2KLLQN69yb06TmS2SQC2QAGwChjIPe6gkNo&amp;dib_tag=se&amp;keywords=LOREAL+D.REVITALIFT+LASER+X3+RETINOL+SERUM&amp;qid=1754143818&amp;sprefix=loreal+d.revitalift+laser+x3+retinol+serum%2Caps%2C137&amp;sr=8-19</t>
        </is>
      </c>
      <c r="L496" s="14" t="inlineStr">
        <is>
          <t>B08QQ5YSK1</t>
        </is>
      </c>
      <c r="M496" s="15" t="n"/>
      <c r="N496" s="15" t="n"/>
      <c r="O496" s="15" t="n">
        <v>24.95</v>
      </c>
      <c r="P496" s="15">
        <f>O496/1.19</f>
        <v/>
      </c>
      <c r="Q496" s="15">
        <f>O496-P496</f>
        <v/>
      </c>
      <c r="R496" s="15">
        <f>O496*0.15</f>
        <v/>
      </c>
      <c r="S496" s="15" t="n">
        <v>13.66</v>
      </c>
      <c r="T496" s="15">
        <f>S496*0.2</f>
        <v/>
      </c>
      <c r="U496" s="15" t="n">
        <v>0.400000000000002</v>
      </c>
      <c r="V496" s="15" t="n">
        <v>2.4</v>
      </c>
      <c r="W496" s="15">
        <f>V496*0.2</f>
        <v/>
      </c>
      <c r="X496" s="21">
        <f>O496-Q496-R496-S496-U496-V496+T496+W496</f>
        <v/>
      </c>
      <c r="Y496" s="14" t="n"/>
      <c r="Z496" s="15">
        <f>O496+1.5</f>
        <v/>
      </c>
      <c r="AA496" s="15" t="n"/>
      <c r="AB496" s="15" t="n"/>
      <c r="AC496" s="14" t="n"/>
      <c r="AD496" s="14" t="n"/>
      <c r="AE496" s="13" t="inlineStr">
        <is>
          <t>NOT_UPLOADED</t>
        </is>
      </c>
    </row>
    <row r="497" ht="16" customHeight="1">
      <c r="A497" s="17" t="n">
        <v>3600522550129</v>
      </c>
      <c r="B497" s="17" t="n">
        <v>3600522550129</v>
      </c>
      <c r="C497" s="13" t="n"/>
      <c r="D497" s="18" t="n"/>
      <c r="E497" s="18" t="inlineStr">
        <is>
          <t>FOR-3600522550129</t>
        </is>
      </c>
      <c r="F497" s="17" t="inlineStr">
        <is>
          <t>L4053</t>
        </is>
      </c>
      <c r="G497" s="18" t="inlineStr">
        <is>
          <t>Fortuna</t>
        </is>
      </c>
      <c r="H497" s="18" t="inlineStr">
        <is>
          <t>Loreal</t>
        </is>
      </c>
      <c r="I497" s="18" t="inlineStr">
        <is>
          <t>L'ORÉAL PARIS AGE SPECIALIST ANTI-WRINKLE LIFTING CARE DAY CREAM (45+) 50ml</t>
        </is>
      </c>
      <c r="J497" s="18" t="inlineStr">
        <is>
          <t>No</t>
        </is>
      </c>
      <c r="K497" s="18" t="inlineStr">
        <is>
          <t>https://www.amazon.de/-/en/LOR%C3%89AL-PARIS-SPECIALIST-ANTI-WRINKLE-LIFTING/dp/B017TG9XLO/ref=sr_1_1?crid=36626APP6B6DX&amp;dib=eyJ2IjoiMSJ9.NyjSWLC6exUq9RRh2VNvXg.c9y3CvtNv6iFzIlE-sgRpbste01tIVzdEA4mf1Z5Flk&amp;dib_tag=se&amp;keywords=3600522550129&amp;qid=1754146973&amp;s=beauty&amp;sprefix=3600522550129%2Cbeauty%2C103&amp;sr=1-1</t>
        </is>
      </c>
      <c r="L497" s="18" t="inlineStr">
        <is>
          <t>B017TG9XLO</t>
        </is>
      </c>
      <c r="M497" s="19" t="n">
        <v>12.4</v>
      </c>
      <c r="N497" s="19" t="n"/>
      <c r="O497" s="19" t="n">
        <v>12.8</v>
      </c>
      <c r="P497" s="19">
        <f>O497/1.19</f>
        <v/>
      </c>
      <c r="Q497" s="19">
        <f>O497-P497</f>
        <v/>
      </c>
      <c r="R497" s="19">
        <f>O497*0.15</f>
        <v/>
      </c>
      <c r="S497" s="19" t="n">
        <v>5.6</v>
      </c>
      <c r="T497" s="19">
        <f>S497*0.2</f>
        <v/>
      </c>
      <c r="U497" s="19" t="n">
        <v>0.400000000000002</v>
      </c>
      <c r="V497" s="19" t="n">
        <v>3.3</v>
      </c>
      <c r="W497" s="19">
        <f>V497*0.2</f>
        <v/>
      </c>
      <c r="X497" s="16">
        <f>O497-Q497-R497-S497-U497-V497+T497+W497</f>
        <v/>
      </c>
      <c r="Y497" s="18" t="n"/>
      <c r="Z497" s="19">
        <f>O497+1.5</f>
        <v/>
      </c>
      <c r="AA497" s="19" t="n"/>
      <c r="AB497" s="19" t="n"/>
      <c r="AC497" s="18" t="n"/>
      <c r="AD497" s="18" t="n"/>
      <c r="AE497" s="13" t="inlineStr">
        <is>
          <t>NOT_UPLOADED</t>
        </is>
      </c>
    </row>
    <row r="498" ht="16" customHeight="1">
      <c r="A498" s="12" t="n">
        <v>3600522550167</v>
      </c>
      <c r="B498" s="12" t="n">
        <v>3600522550167</v>
      </c>
      <c r="C498" s="13" t="n"/>
      <c r="D498" s="14" t="n"/>
      <c r="E498" s="14" t="inlineStr">
        <is>
          <t>FOR-3600522550167</t>
        </is>
      </c>
      <c r="F498" s="12" t="inlineStr">
        <is>
          <t>L4054</t>
        </is>
      </c>
      <c r="G498" s="14" t="inlineStr">
        <is>
          <t>Fortuna</t>
        </is>
      </c>
      <c r="H498" s="14" t="inlineStr">
        <is>
          <t>Loreal</t>
        </is>
      </c>
      <c r="I498" s="14" t="inlineStr">
        <is>
          <t>L'oral Paris Age Specialist 45+ Night Anti-wrinkle Cream 50 Ml by L'Oreal Paris</t>
        </is>
      </c>
      <c r="J498" s="14" t="inlineStr">
        <is>
          <t>No</t>
        </is>
      </c>
      <c r="K498" s="14" t="inlineStr">
        <is>
          <t>https://www.amazon.de/-/en/Loral-Paris-Specialist-Anti-wrinkle-LOreal/dp/B017TGNEFK/ref=sr_1_1_mod_primary_new?crid=2YUJAWB9QPEKL&amp;dib=eyJ2IjoiMSJ9.GLZH8wRKF0P4bDcrxHx97w.R9MVlWuZ7NmBD1q7BdMXUg7Krejxj5TaFndEfGhj_1M&amp;dib_tag=se&amp;keywords=3600522550167&amp;qid=1754147279&amp;s=beauty&amp;sbo=RZvfv%2F%2FHxDF%2BO5021pAnSA%3D%3D&amp;sprefix=3600522550167%2Cbeauty%2C220&amp;sr=1-1</t>
        </is>
      </c>
      <c r="L498" s="14" t="inlineStr">
        <is>
          <t>B017TGNEFK</t>
        </is>
      </c>
      <c r="M498" s="15" t="n"/>
      <c r="N498" s="15" t="n"/>
      <c r="O498" s="15" t="n">
        <v>13.9</v>
      </c>
      <c r="P498" s="15">
        <f>O498/1.19</f>
        <v/>
      </c>
      <c r="Q498" s="15">
        <f>O498-P498</f>
        <v/>
      </c>
      <c r="R498" s="15">
        <f>O498*0.15</f>
        <v/>
      </c>
      <c r="S498" s="15" t="n">
        <v>5.6</v>
      </c>
      <c r="T498" s="15">
        <f>S498*0.2</f>
        <v/>
      </c>
      <c r="U498" s="15" t="n">
        <v>0.400000000000002</v>
      </c>
      <c r="V498" s="15" t="n">
        <v>3.3</v>
      </c>
      <c r="W498" s="15">
        <f>V498*0.2</f>
        <v/>
      </c>
      <c r="X498" s="21">
        <f>O498-Q498-R498-S498-U498-V498+T498+W498</f>
        <v/>
      </c>
      <c r="Y498" s="14" t="n"/>
      <c r="Z498" s="15">
        <f>O498+1.5</f>
        <v/>
      </c>
      <c r="AA498" s="15" t="n"/>
      <c r="AB498" s="15" t="n"/>
      <c r="AC498" s="14" t="n"/>
      <c r="AD498" s="14" t="n"/>
      <c r="AE498" s="13" t="inlineStr">
        <is>
          <t>NOT_UPLOADED</t>
        </is>
      </c>
    </row>
    <row r="499" ht="16" customHeight="1">
      <c r="A499" s="17" t="n">
        <v>3600523873845</v>
      </c>
      <c r="B499" s="17" t="n">
        <v>3600523873845</v>
      </c>
      <c r="C499" s="13" t="n"/>
      <c r="D499" s="18" t="n"/>
      <c r="E499" s="18" t="inlineStr">
        <is>
          <t>FOR-3600523873845</t>
        </is>
      </c>
      <c r="F499" s="17" t="inlineStr">
        <is>
          <t>L4062</t>
        </is>
      </c>
      <c r="G499" s="18" t="inlineStr">
        <is>
          <t>Fortuna</t>
        </is>
      </c>
      <c r="H499" s="18" t="inlineStr">
        <is>
          <t>Loreal</t>
        </is>
      </c>
      <c r="I499" s="18" t="inlineStr">
        <is>
          <t>L'Oreal Paris Hyaluronic Acid Serum Revitalift Filler [+Hyaluronic Acid], 1.5% Pure Concentrated Hyaluronic Acid Dropper Serum</t>
        </is>
      </c>
      <c r="J499" s="18" t="inlineStr">
        <is>
          <t>No</t>
        </is>
      </c>
      <c r="K499" s="18" t="inlineStr">
        <is>
          <t>https://www.amazon.de/-/en/LOreal-Hyaluronic-Revitalift-Concentrated-Dropper/dp/B081S1TQ9W/ref=sr_1_1?crid=18NHQ8FBI7XDD&amp;dib=eyJ2IjoiMSJ9.D2RpUtd3jwB3BoOV4cyyQg.BNqfIRBRRQzngO_HHarUutrIFcbOCDJnDpUvqg-EmiA&amp;dib_tag=se&amp;keywords=3600523873845&amp;qid=1754147574&amp;s=beauty&amp;sprefix=3600523873845%2Cbeauty%2C121&amp;sr=1-1</t>
        </is>
      </c>
      <c r="L499" s="18" t="inlineStr">
        <is>
          <t>B081S1TQ9W</t>
        </is>
      </c>
      <c r="M499" s="19" t="n"/>
      <c r="N499" s="19" t="n"/>
      <c r="O499" s="19" t="n">
        <v>23.5</v>
      </c>
      <c r="P499" s="19">
        <f>O499/1.19</f>
        <v/>
      </c>
      <c r="Q499" s="19">
        <f>O499-P499</f>
        <v/>
      </c>
      <c r="R499" s="19">
        <f>O499*0.15</f>
        <v/>
      </c>
      <c r="S499" s="19" t="n">
        <v>13.65</v>
      </c>
      <c r="T499" s="19">
        <f>S499*0.2</f>
        <v/>
      </c>
      <c r="U499" s="19" t="n">
        <v>0.400000000000002</v>
      </c>
      <c r="V499" s="19" t="n">
        <v>2</v>
      </c>
      <c r="W499" s="19">
        <f>V499*0.2</f>
        <v/>
      </c>
      <c r="X499" s="21">
        <f>O499-Q499-R499-S499-U499-V499+T499+W499</f>
        <v/>
      </c>
      <c r="Y499" s="18" t="n"/>
      <c r="Z499" s="19">
        <f>O499+1.5</f>
        <v/>
      </c>
      <c r="AA499" s="19" t="n"/>
      <c r="AB499" s="19" t="n"/>
      <c r="AC499" s="18" t="n"/>
      <c r="AD499" s="18" t="n"/>
      <c r="AE499" s="13" t="inlineStr">
        <is>
          <t>NOT_UPLOADED</t>
        </is>
      </c>
    </row>
    <row r="500" ht="16" customHeight="1">
      <c r="A500" s="12" t="n">
        <v>3600524025540</v>
      </c>
      <c r="B500" s="12" t="n">
        <v>3600524025540</v>
      </c>
      <c r="C500" s="13" t="n"/>
      <c r="D500" s="14" t="n"/>
      <c r="E500" s="14" t="inlineStr">
        <is>
          <t>FOR-3600524025540</t>
        </is>
      </c>
      <c r="F500" s="12" t="inlineStr">
        <is>
          <t>L4065</t>
        </is>
      </c>
      <c r="G500" s="14" t="inlineStr">
        <is>
          <t>Fortuna</t>
        </is>
      </c>
      <c r="H500" s="14" t="inlineStr">
        <is>
          <t>Loreal</t>
        </is>
      </c>
      <c r="I500" s="14" t="inlineStr">
        <is>
          <t>L'Oréal Paris 2.5% Hyaluronic Acid and Caffeine Eye Serum, Revitalift Filler Eye Serum, Replumps, Brightens and De-Puffs Eyes - 20 ml</t>
        </is>
      </c>
      <c r="J500" s="14" t="inlineStr">
        <is>
          <t>No</t>
        </is>
      </c>
      <c r="K500" s="14" t="inlineStr">
        <is>
          <t>https://www.amazon.de/-/en/Hyaluronic-Caffeine-Revitalift-Replumps-Brightens/dp/B09NRVGBPM/ref=sr_1_1?dib=eyJ2IjoiMSJ9.Uu2cAvox7mEA0VxR1T2TTg.8bPG4bns-_D7VwQ23ejcgWtoE15H7ypA9ljbJjUH4Lc&amp;dib_tag=se&amp;keywords=3600524025540&amp;qid=1754148692&amp;s=beauty&amp;sr=1-1</t>
        </is>
      </c>
      <c r="L500" s="14" t="inlineStr">
        <is>
          <t>B09NRVGBPM</t>
        </is>
      </c>
      <c r="M500" s="15" t="n">
        <v>26.4</v>
      </c>
      <c r="N500" s="15" t="n"/>
      <c r="O500" s="15" t="n">
        <v>24.99</v>
      </c>
      <c r="P500" s="15">
        <f>O500/1.19</f>
        <v/>
      </c>
      <c r="Q500" s="15">
        <f>O500-P500</f>
        <v/>
      </c>
      <c r="R500" s="15">
        <f>O500*0.15</f>
        <v/>
      </c>
      <c r="S500" s="15" t="n">
        <v>13.65</v>
      </c>
      <c r="T500" s="15">
        <f>S500*0.2</f>
        <v/>
      </c>
      <c r="U500" s="15" t="n">
        <v>0.400000000000002</v>
      </c>
      <c r="V500" s="15" t="n">
        <v>2.82</v>
      </c>
      <c r="W500" s="15">
        <f>V500*0.2</f>
        <v/>
      </c>
      <c r="X500" s="21">
        <f>O500-Q500-R500-S500-U500-V500+T500+W500</f>
        <v/>
      </c>
      <c r="Y500" s="14" t="n"/>
      <c r="Z500" s="15">
        <f>O500+1.5</f>
        <v/>
      </c>
      <c r="AA500" s="15" t="n">
        <v>12.64</v>
      </c>
      <c r="AB500" s="15" t="n">
        <v>2200702</v>
      </c>
      <c r="AC500" s="14" t="n"/>
      <c r="AD500" s="14" t="n"/>
      <c r="AE500" s="13" t="inlineStr">
        <is>
          <t>NOT_UPLOADED</t>
        </is>
      </c>
    </row>
    <row r="501" ht="16" customHeight="1">
      <c r="A501" s="17" t="n">
        <v>3600524025472</v>
      </c>
      <c r="B501" s="17" t="n">
        <v>3600524025540</v>
      </c>
      <c r="C501" s="13" t="n"/>
      <c r="D501" s="18" t="n"/>
      <c r="E501" s="18" t="inlineStr">
        <is>
          <t>FOR-3600524025472</t>
        </is>
      </c>
      <c r="F501" s="17" t="inlineStr">
        <is>
          <t>L4065</t>
        </is>
      </c>
      <c r="G501" s="18" t="inlineStr">
        <is>
          <t>Fortuna</t>
        </is>
      </c>
      <c r="H501" s="18" t="inlineStr">
        <is>
          <t>Loreal</t>
        </is>
      </c>
      <c r="I501" s="18" t="inlineStr">
        <is>
          <t>L'Oréal Paris L'Oréal Paris Revitalift Filler Augenserum mit 2.5% [Hyaluronsäure + Koffein] 20ml</t>
        </is>
      </c>
      <c r="J501" s="18" t="inlineStr">
        <is>
          <t>No</t>
        </is>
      </c>
      <c r="K501" s="18" t="inlineStr">
        <is>
          <t>https://www.amazon.de/-/en/Paris-Revitalift-Augenserum-Hyalurons%C3%A4ure-Koffein/dp/B09N4FCLNS/ref=sr_1_1?crid=36HPH26NLCQE1&amp;dib=eyJ2IjoiMSJ9.4-TAO7MmfJaMFD0AEp-m4CvV8j3-ObGXNuPc-lmgXyPartI06pLTVBOVoUI1KOxLaNClZs6AJ4ikws34Fvcrh8jEONHKOMUD6plmb6ltQITuR_UCpFbOvrGoq9geOqarsOVJxxFiIXXgN2NUrOcJyc4YUsOuoyfSEYvs4MYszM0DW_QOV2o8vKwh0YLkD8eYzUj-mfTm3ptmGZs6A8bEUsLBJarFsLmHCGbMRjjeSo4vhn4fjd1FJ_ASInt5R70viKo3Pi49I_DcC1F5XV57j5G1bn9qeHGDtcrJuqZQG0c.oei1siTNfyGn5-_O212PlvdHge1S_ChPLcryx5savBY&amp;dib_tag=se&amp;keywords=LOREAL+D.REVITALIFT+Filler+EYE+SERUM&amp;qid=1754148884&amp;s=beauty&amp;sprefix=loreal+d.revitalift+filler+eye+serum%2Cbeauty%2C134&amp;sr=1-1</t>
        </is>
      </c>
      <c r="L501" s="18" t="inlineStr">
        <is>
          <t>B09N4FCLNS</t>
        </is>
      </c>
      <c r="M501" s="19" t="n">
        <v>23.5</v>
      </c>
      <c r="N501" s="19" t="n"/>
      <c r="O501" s="19" t="n">
        <v>22.7</v>
      </c>
      <c r="P501" s="19">
        <f>O501/1.19</f>
        <v/>
      </c>
      <c r="Q501" s="19">
        <f>O501-P501</f>
        <v/>
      </c>
      <c r="R501" s="19">
        <f>O501*0.15</f>
        <v/>
      </c>
      <c r="S501" s="19" t="n">
        <v>13.65</v>
      </c>
      <c r="T501" s="19">
        <f>S501*0.2</f>
        <v/>
      </c>
      <c r="U501" s="19" t="n">
        <v>0.400000000000002</v>
      </c>
      <c r="V501" s="19" t="n">
        <v>2.2</v>
      </c>
      <c r="W501" s="19">
        <f>V501*0.2</f>
        <v/>
      </c>
      <c r="X501" s="21">
        <f>O501-Q501-R501-S501-U501-V501+T501+W501</f>
        <v/>
      </c>
      <c r="Y501" s="18" t="n"/>
      <c r="Z501" s="19">
        <f>O501+1.5</f>
        <v/>
      </c>
      <c r="AA501" s="19" t="n"/>
      <c r="AB501" s="19" t="n"/>
      <c r="AC501" s="18" t="n"/>
      <c r="AD501" s="18" t="n"/>
      <c r="AE501" s="13" t="inlineStr">
        <is>
          <t>NOT_UPLOADED</t>
        </is>
      </c>
    </row>
    <row r="502" ht="16" customHeight="1">
      <c r="A502" s="12" t="n">
        <v>3600524025496</v>
      </c>
      <c r="B502" s="12" t="n">
        <v>3600524025540</v>
      </c>
      <c r="C502" s="13" t="n"/>
      <c r="D502" s="14" t="n"/>
      <c r="E502" s="14" t="inlineStr">
        <is>
          <t>FOR-3600524025496</t>
        </is>
      </c>
      <c r="F502" s="12" t="inlineStr">
        <is>
          <t>L4065</t>
        </is>
      </c>
      <c r="G502" s="14" t="inlineStr">
        <is>
          <t>Fortuna</t>
        </is>
      </c>
      <c r="H502" s="14" t="inlineStr">
        <is>
          <t>Loreal</t>
        </is>
      </c>
      <c r="I502" s="14" t="inlineStr">
        <is>
          <t>L'Oréal Paris - Eye Contour Serum - Anti-Wrinkles, Anti-Socks &amp; Dark Circles - With Pure Hyaluronic Acid and Caffeine - Innovative Triple Biller Attachment - Revitalift Filler - 20ml</t>
        </is>
      </c>
      <c r="J502" s="14" t="inlineStr">
        <is>
          <t>No</t>
        </is>
      </c>
      <c r="K502" s="14" t="inlineStr">
        <is>
          <t>https://www.amazon.de/-/en/LOr%C3%A9al-Paris-Anti-Wrinkles-Anti-Socks-Hyaluronic/dp/B09JWP37FX/ref=sr_1_2?crid=36HPH26NLCQE1&amp;dib=eyJ2IjoiMSJ9.4-TAO7MmfJaMFD0AEp-m4CvV8j3-ObGXNuPc-lmgXyPartI06pLTVBOVoUI1KOxLaNClZs6AJ4ikws34Fvcrh8jEONHKOMUD6plmb6ltQITuR_UCpFbOvrGoq9geOqarsOVJxxFiIXXgN2NUrOcJyc4YUsOuoyfSEYvs4MYszM0DW_QOV2o8vKwh0YLkD8eYzUj-mfTm3ptmGZs6A8bEUsLBJarFsLmHCGbMRjjeSo4vhn4fjd1FJ_ASInt5R70viKo3Pi49I_DcC1F5XV57j5G1bn9qeHGDtcrJuqZQG0c.oei1siTNfyGn5-_O212PlvdHge1S_ChPLcryx5savBY&amp;dib_tag=se&amp;keywords=LOREAL%2BD.REVITALIFT%2BFiller%2BEYE%2BSERUM&amp;qid=1754148884&amp;s=beauty&amp;sprefix=loreal%2Bd.revitalift%2Bfiller%2Beye%2Bserum%2Cbeauty%2C134&amp;sr=1-2&amp;th=1</t>
        </is>
      </c>
      <c r="L502" s="14" t="inlineStr">
        <is>
          <t>B09JWP37FX</t>
        </is>
      </c>
      <c r="M502" s="15" t="n"/>
      <c r="N502" s="15" t="n"/>
      <c r="O502" s="15" t="n">
        <v>22.7</v>
      </c>
      <c r="P502" s="15">
        <f>O502/1.19</f>
        <v/>
      </c>
      <c r="Q502" s="15">
        <f>O502-P502</f>
        <v/>
      </c>
      <c r="R502" s="15">
        <f>O502*0.15</f>
        <v/>
      </c>
      <c r="S502" s="15" t="n">
        <v>8.24</v>
      </c>
      <c r="T502" s="15">
        <f>S502*0.2</f>
        <v/>
      </c>
      <c r="U502" s="15" t="n">
        <v>0.400000000000002</v>
      </c>
      <c r="V502" s="15" t="n">
        <v>2.2</v>
      </c>
      <c r="W502" s="15">
        <f>V502*0.2</f>
        <v/>
      </c>
      <c r="X502" s="21">
        <f>O502-Q502-R502-S502-U502-V502+T502+W502</f>
        <v/>
      </c>
      <c r="Y502" s="14" t="n"/>
      <c r="Z502" s="15">
        <f>O502+1.5</f>
        <v/>
      </c>
      <c r="AA502" s="15" t="n"/>
      <c r="AB502" s="15" t="n"/>
      <c r="AC502" s="14" t="n"/>
      <c r="AD502" s="14" t="n"/>
      <c r="AE502" s="13" t="inlineStr">
        <is>
          <t>NOT_UPLOADED</t>
        </is>
      </c>
    </row>
    <row r="503" ht="16" customHeight="1">
      <c r="A503" s="17" t="n">
        <v>3600524025557</v>
      </c>
      <c r="B503" s="17" t="n">
        <v>3600524025540</v>
      </c>
      <c r="C503" s="13" t="n"/>
      <c r="D503" s="18" t="n"/>
      <c r="E503" s="18" t="inlineStr">
        <is>
          <t>FOR-3600524025557</t>
        </is>
      </c>
      <c r="F503" s="17" t="inlineStr">
        <is>
          <t>L4065</t>
        </is>
      </c>
      <c r="G503" s="18" t="inlineStr">
        <is>
          <t>Fortuna</t>
        </is>
      </c>
      <c r="H503" s="18" t="inlineStr">
        <is>
          <t>Loreal</t>
        </is>
      </c>
      <c r="I503" s="18" t="inlineStr">
        <is>
          <t>Revitalift Filler Sérum De Ojos 20 ml</t>
        </is>
      </c>
      <c r="J503" s="18" t="inlineStr">
        <is>
          <t>No</t>
        </is>
      </c>
      <c r="K503" s="18" t="inlineStr">
        <is>
          <t>https://www.amazon.de/-/en/Revitalift-Filler-S%C3%A9rum-Ojos-20/dp/B09R89BLYH/ref=sr_1_28?crid=36HPH26NLCQE1&amp;dib=eyJ2IjoiMSJ9.4-TAO7MmfJaMFD0AEp-m4CvV8j3-ObGXNuPc-lmgXyPartI06pLTVBOVoUI1KOxLaNClZs6AJ4ikws34Fvcrh8jEONHKOMUD6plmb6ltQITuR_UCpFbOvrGoq9geOqarsOVJxxFiIXXgN2NUrOcJyc4YUsOuoyfSEYvs4MYszM0DW_QOV2o8vKwh0YLkD8eYzUj-mfTm3ptmGZs6A8bEUsLBJarFsLmHCGbMRjjeSo4vhn4fjd1FJ_ASInt5R70viKo3Pi49I_DcC1F5XV57j5G1bn9qeHGDtcrJuqZQG0c.oei1siTNfyGn5-_O212PlvdHge1S_ChPLcryx5savBY&amp;dib_tag=se&amp;keywords=LOREAL+D.REVITALIFT+Filler+EYE+SERUM&amp;qid=1754149132&amp;s=beauty&amp;sprefix=loreal+d.revitalift+filler+eye+serum%2Cbeauty%2C134&amp;sr=1-28</t>
        </is>
      </c>
      <c r="L503" s="18" t="inlineStr">
        <is>
          <t>B09R89BLYH</t>
        </is>
      </c>
      <c r="M503" s="19" t="n"/>
      <c r="N503" s="19" t="n"/>
      <c r="O503" s="19" t="n">
        <v>18.9</v>
      </c>
      <c r="P503" s="19">
        <f>O503/1.19</f>
        <v/>
      </c>
      <c r="Q503" s="19">
        <f>O503-P503</f>
        <v/>
      </c>
      <c r="R503" s="19">
        <f>O503*0.15</f>
        <v/>
      </c>
      <c r="S503" s="19" t="n">
        <v>10.91</v>
      </c>
      <c r="T503" s="19">
        <f>S503*0.2</f>
        <v/>
      </c>
      <c r="U503" s="19" t="n">
        <v>0.400000000000002</v>
      </c>
      <c r="V503" s="19" t="n">
        <v>2.2</v>
      </c>
      <c r="W503" s="19">
        <f>V503*0.2</f>
        <v/>
      </c>
      <c r="X503" s="21">
        <f>O503-Q503-R503-S503-U503-V503+T503+W503</f>
        <v/>
      </c>
      <c r="Y503" s="18" t="n"/>
      <c r="Z503" s="19">
        <f>O503+1.5</f>
        <v/>
      </c>
      <c r="AA503" s="19" t="n"/>
      <c r="AB503" s="19" t="n"/>
      <c r="AC503" s="18" t="n"/>
      <c r="AD503" s="18" t="n"/>
      <c r="AE503" s="13" t="inlineStr">
        <is>
          <t>NOT_UPLOADED</t>
        </is>
      </c>
    </row>
    <row r="504" ht="16" customHeight="1">
      <c r="A504" s="12" t="n">
        <v>4037900013041</v>
      </c>
      <c r="B504" s="12" t="n">
        <v>3600524234447</v>
      </c>
      <c r="C504" s="13" t="n"/>
      <c r="D504" s="14" t="n"/>
      <c r="E504" s="14" t="inlineStr">
        <is>
          <t>FOR-4037900013041</t>
        </is>
      </c>
      <c r="F504" s="12" t="inlineStr">
        <is>
          <t>L4202</t>
        </is>
      </c>
      <c r="G504" s="14" t="inlineStr">
        <is>
          <t>Fortuna</t>
        </is>
      </c>
      <c r="H504" s="14" t="inlineStr">
        <is>
          <t>Loreal</t>
        </is>
      </c>
      <c r="I504" s="14" t="inlineStr">
        <is>
          <t>L'Oréal Paris make-up remover, especially for waterproof and long-lasting make-up, suitable for sensitive eyes, 125 ml</t>
        </is>
      </c>
      <c r="J504" s="14" t="inlineStr">
        <is>
          <t>No</t>
        </is>
      </c>
      <c r="K504" s="14" t="inlineStr">
        <is>
          <t>https://www.amazon.de/-/en/especially-waterproof-long-lasting-suitable-sensitive/dp/B01DD5LOQ2/ref=sr_1_1?crid=11DNJ4G3PXIFM&amp;dib=eyJ2IjoiMSJ9.w5PhVKeg6x7Be0DssZ06kSQ4aanvG4vkCOwGeN4JyP-l6RSHBTMNDUOufAaau15bbTIACJzUor_YdFCqrRcFQu-kZzevFb8_SbgvoVM0Ud4RCUyYT5yLEOzwp33PFEaGaWHgCRcwissTQreyaabVkiLbgnvk-nblzj0T8SpslsxNbm9N7HnlJY6VJXVQb_Tkt19agRN8aaoRMe2XrrpqQwTspnxDhOqMHXF4skpOYcOE5AQtx7015GnYRrDSZQvgWMaxYLOAOHibVAU-vwJoXAVmMYNuFAsvavAGfmNnZSw.Io3_M_AQECbIfls52O7CusAv8DVwQp1xlFmPfS4cPfc&amp;dib_tag=se&amp;keywords=LOREAL+MAKE+UP+REMOVER&amp;qid=1754295419&amp;s=beauty&amp;sprefix=loreal+make+up+remover%2Cbeauty%2C145&amp;sr=1-1</t>
        </is>
      </c>
      <c r="L504" s="14" t="inlineStr">
        <is>
          <t>B01DD5LOQ2</t>
        </is>
      </c>
      <c r="M504" s="15" t="n"/>
      <c r="N504" s="15" t="n"/>
      <c r="O504" s="15" t="n">
        <v>9.99</v>
      </c>
      <c r="P504" s="15">
        <f>O504/1.19</f>
        <v/>
      </c>
      <c r="Q504" s="15">
        <f>O504-P504</f>
        <v/>
      </c>
      <c r="R504" s="15">
        <f>O504*0.15</f>
        <v/>
      </c>
      <c r="S504" s="15" t="n">
        <v>3.6</v>
      </c>
      <c r="T504" s="15">
        <f>S504*0.2</f>
        <v/>
      </c>
      <c r="U504" s="15" t="n">
        <v>0.400000000000002</v>
      </c>
      <c r="V504" s="15" t="n">
        <v>2.4</v>
      </c>
      <c r="W504" s="15">
        <f>V504*0.2</f>
        <v/>
      </c>
      <c r="X504" s="16">
        <f>O504-Q504-R504-S504-U504-V504+T504+W504</f>
        <v/>
      </c>
      <c r="Y504" s="14" t="n"/>
      <c r="Z504" s="15">
        <f>O504+1.5</f>
        <v/>
      </c>
      <c r="AA504" s="15" t="n"/>
      <c r="AB504" s="15" t="n"/>
      <c r="AC504" s="14" t="n"/>
      <c r="AD504" s="14" t="n"/>
      <c r="AE504" s="13" t="inlineStr">
        <is>
          <t>NOT_UPLOADED</t>
        </is>
      </c>
    </row>
    <row r="505" ht="16" customHeight="1">
      <c r="A505" s="17" t="n">
        <v>8024417098902</v>
      </c>
      <c r="B505" s="17" t="n">
        <v>3600524234447</v>
      </c>
      <c r="C505" s="13" t="n"/>
      <c r="D505" s="18" t="n"/>
      <c r="E505" s="18" t="inlineStr">
        <is>
          <t>FOR-8024417098902</t>
        </is>
      </c>
      <c r="F505" s="17" t="inlineStr">
        <is>
          <t>L4202</t>
        </is>
      </c>
      <c r="G505" s="18" t="inlineStr">
        <is>
          <t>Fortuna</t>
        </is>
      </c>
      <c r="H505" s="18" t="inlineStr">
        <is>
          <t>Loreal</t>
        </is>
      </c>
      <c r="I505" s="18" t="inlineStr">
        <is>
          <t>L'Oréal Paris Eye Makeup Remover - 125ml</t>
        </is>
      </c>
      <c r="J505" s="18" t="inlineStr">
        <is>
          <t>No</t>
        </is>
      </c>
      <c r="K505" s="18" t="inlineStr">
        <is>
          <t>https://www.amazon.de/-/en/LOr%C3%A9al-Paris-Eye-Makeup-Remover/dp/B01LYHKRC7/ref=sr_1_6?crid=11DNJ4G3PXIFM&amp;dib=eyJ2IjoiMSJ9.w5PhVKeg6x7Be0DssZ06kSQ4aanvG4vkCOwGeN4JyP-l6RSHBTMNDUOufAaau15bbTIACJzUor_YdFCqrRcFQu-kZzevFb8_SbgvoVM0Ud4RCUyYT5yLEOzwp33PFEaGaWHgCRcwissTQreyaabVkiLbgnvk-nblzj0T8SpslsxNbm9N7HnlJY6VJXVQb_Tkt19agRN8aaoRMe2XrrpqQwTspnxDhOqMHXF4skpOYcOE5AQtx7015GnYRrDSZQvgWMaxYLOAOHibVAU-vwJoXAVmMYNuFAsvavAGfmNnZSw.Io3_M_AQECbIfls52O7CusAv8DVwQp1xlFmPfS4cPfc&amp;dib_tag=se&amp;keywords=LOREAL+MAKE+UP+REMOVER&amp;qid=1754295624&amp;s=beauty&amp;sprefix=loreal+make+up+remover%2Cbeauty%2C145&amp;sr=1-6</t>
        </is>
      </c>
      <c r="L505" s="18" t="inlineStr">
        <is>
          <t>B01LYHKRC7</t>
        </is>
      </c>
      <c r="M505" s="19" t="n"/>
      <c r="N505" s="19" t="n"/>
      <c r="O505" s="19" t="n">
        <v>11.6</v>
      </c>
      <c r="P505" s="19">
        <f>O505/1.19</f>
        <v/>
      </c>
      <c r="Q505" s="19">
        <f>O505-P505</f>
        <v/>
      </c>
      <c r="R505" s="19">
        <f>O505*0.15</f>
        <v/>
      </c>
      <c r="S505" s="19" t="n">
        <v>3.6</v>
      </c>
      <c r="T505" s="19">
        <f>S505*0.2</f>
        <v/>
      </c>
      <c r="U505" s="19" t="n">
        <v>0.400000000000002</v>
      </c>
      <c r="V505" s="19" t="n">
        <v>2.4</v>
      </c>
      <c r="W505" s="19">
        <f>V505*0.2</f>
        <v/>
      </c>
      <c r="X505" s="21">
        <f>O505-Q505-R505-S505-U505-V505+T505+W505</f>
        <v/>
      </c>
      <c r="Y505" s="18" t="n"/>
      <c r="Z505" s="19">
        <f>O505+1.5</f>
        <v/>
      </c>
      <c r="AA505" s="19" t="n"/>
      <c r="AB505" s="19" t="n"/>
      <c r="AC505" s="18" t="n"/>
      <c r="AD505" s="18" t="n"/>
      <c r="AE505" s="13" t="inlineStr">
        <is>
          <t>NOT_UPLOADED</t>
        </is>
      </c>
    </row>
    <row r="506" ht="16" customHeight="1">
      <c r="A506" s="12" t="n">
        <v>5054186201749</v>
      </c>
      <c r="B506" s="12" t="n">
        <v>3600524234447</v>
      </c>
      <c r="C506" s="13" t="n"/>
      <c r="D506" s="14" t="n"/>
      <c r="E506" s="14" t="inlineStr">
        <is>
          <t>FOR-5054186201749</t>
        </is>
      </c>
      <c r="F506" s="12" t="inlineStr">
        <is>
          <t>L4202</t>
        </is>
      </c>
      <c r="G506" s="14" t="inlineStr">
        <is>
          <t>Fortuna</t>
        </is>
      </c>
      <c r="H506" s="14" t="inlineStr">
        <is>
          <t>Loreal</t>
        </is>
      </c>
      <c r="I506" s="14" t="inlineStr">
        <is>
          <t>L'Oreal Paris Absolute Make-Up Remover Eye &amp; Lip 125ml</t>
        </is>
      </c>
      <c r="J506" s="14" t="inlineStr">
        <is>
          <t>No</t>
        </is>
      </c>
      <c r="K506" s="14" t="inlineStr">
        <is>
          <t>https://www.amazon.de/-/en/LOreal-Paris-Absolute-Make-Up-Remover/dp/B000T1TZGU/ref=sr_1_25?crid=11DNJ4G3PXIFM&amp;dib=eyJ2IjoiMSJ9.w5PhVKeg6x7Be0DssZ06kSQ4aanvG4vkCOwGeN4JyP-l6RSHBTMNDUOufAaau15bbTIACJzUor_YdFCqrRcFQu-kZzevFb8_SbgvoVM0Ud4RCUyYT5yLEOzwp33PFEaGaWHgCRcwissTQreyaabVkiLbgnvk-nblzj0T8SpslsxNbm9N7HnlJY6VJXVQb_Tkt19agRN8aaoRMe2XrrpqQwTspnxDhOqMHXF4skpOYcOE5AQtx7015GnYRrDSZQvgWMaxYLOAOHibVAU-vwJoXAVmMYNuFAsvavAGfmNnZSw.Io3_M_AQECbIfls52O7CusAv8DVwQp1xlFmPfS4cPfc&amp;dib_tag=se&amp;keywords=LOREAL+MAKE+UP+REMOVER&amp;qid=1754295624&amp;s=beauty&amp;sprefix=loreal+make+up+remover%2Cbeauty%2C145&amp;sr=1-25</t>
        </is>
      </c>
      <c r="L506" s="14" t="inlineStr">
        <is>
          <t>B000T1TZGU</t>
        </is>
      </c>
      <c r="M506" s="15" t="n"/>
      <c r="N506" s="15" t="n"/>
      <c r="O506" s="15" t="n">
        <v>11.2</v>
      </c>
      <c r="P506" s="15">
        <f>O506/1.19</f>
        <v/>
      </c>
      <c r="Q506" s="15">
        <f>O506-P506</f>
        <v/>
      </c>
      <c r="R506" s="15">
        <f>O506*0.15</f>
        <v/>
      </c>
      <c r="S506" s="15" t="n">
        <v>3.6</v>
      </c>
      <c r="T506" s="15">
        <f>S506*0.2</f>
        <v/>
      </c>
      <c r="U506" s="15" t="n">
        <v>0.400000000000002</v>
      </c>
      <c r="V506" s="15" t="n">
        <v>2.7</v>
      </c>
      <c r="W506" s="15">
        <f>V506*0.2</f>
        <v/>
      </c>
      <c r="X506" s="21">
        <f>O506-Q506-R506-S506-U506-V506+T506+W506</f>
        <v/>
      </c>
      <c r="Y506" s="14" t="n"/>
      <c r="Z506" s="15">
        <f>O506+1.5</f>
        <v/>
      </c>
      <c r="AA506" s="15" t="n"/>
      <c r="AB506" s="15" t="n"/>
      <c r="AC506" s="14" t="n"/>
      <c r="AD506" s="14" t="n"/>
      <c r="AE506" s="13" t="inlineStr">
        <is>
          <t>NOT_UPLOADED</t>
        </is>
      </c>
    </row>
    <row r="507" ht="16" customHeight="1">
      <c r="A507" s="17" t="n">
        <v>3600524122881</v>
      </c>
      <c r="B507" s="17" t="n">
        <v>3600524122881</v>
      </c>
      <c r="C507" s="13" t="n"/>
      <c r="D507" s="18" t="n"/>
      <c r="E507" s="18" t="inlineStr">
        <is>
          <t>FOR-3600524122881</t>
        </is>
      </c>
      <c r="F507" s="17" t="inlineStr">
        <is>
          <t>L4206</t>
        </is>
      </c>
      <c r="G507" s="18" t="inlineStr">
        <is>
          <t>Fortuna</t>
        </is>
      </c>
      <c r="H507" s="18" t="inlineStr">
        <is>
          <t>Loreal</t>
        </is>
      </c>
      <c r="I507" s="18" t="inlineStr">
        <is>
          <t>L'Oréal Paris Exfoliating - Reduces Pigment &amp; Acne Paints Quickly, Refines Skin Texture with Niacinamide &amp; AHA, Bright Reveal Dark Spot Exfoliation, 25 ml</t>
        </is>
      </c>
      <c r="J507" s="18" t="inlineStr">
        <is>
          <t>No</t>
        </is>
      </c>
      <c r="K507" s="18" t="inlineStr">
        <is>
          <t>https://www.amazon.de/-/en/LOr%C3%A9al-Paris-Exfoliating-Niacinamide-Exfoliation/dp/B0CJ5F69SV/ref=sr_1_1?crid=1ZIYHM5MZD5IW&amp;dib=eyJ2IjoiMSJ9.EFzy-vv6q_HJ7OcbOXV0dQNGF0LtnRQynkOla6OWr_023BiUVHQcPsf5U89AwGyNIgjRgThMZqrEiHxwO3QOeipJkuzr-8biD9QTi1tkuKc5D_EbWFUQf83yogEwG7POfHS5WcJf1pn4Yt8zHEcphoPPBkqTsLOAXyKPZrI-cUxBUzv_mpevtYm2mIsVRjmS_84EgK53bU287BBueKsJqHgklO5yyuZ4MpSMe-VLHrqTPXkE7X_060g1U0M3_tZMCmY-rNoXzHFmHk8ztpCjMklZfrlsvLowFSbnOHewE1I.Tyu7jJ4XLa7OpIz0X70OXdWA_sOjrwPge-04MHIQ4tU&amp;dib_tag=se&amp;keywords=l%27oreal+D+BRIGHT+REVEAL+EXFOLIANT&amp;qid=1754296242&amp;s=beauty&amp;sprefix=l%27oreal+d+bright+reveal+exfoliant%2Cbeauty%2C114&amp;sr=1-1</t>
        </is>
      </c>
      <c r="L507" s="18" t="inlineStr">
        <is>
          <t>B0CJ5F69SV</t>
        </is>
      </c>
      <c r="M507" s="19" t="n"/>
      <c r="N507" s="19" t="n"/>
      <c r="O507" s="19" t="n">
        <v>24.7</v>
      </c>
      <c r="P507" s="19">
        <f>O507/1.19</f>
        <v/>
      </c>
      <c r="Q507" s="19">
        <f>O507-P507</f>
        <v/>
      </c>
      <c r="R507" s="19">
        <f>O507*0.15</f>
        <v/>
      </c>
      <c r="S507" s="19" t="n">
        <v>13.66</v>
      </c>
      <c r="T507" s="19">
        <f>S507*0.2</f>
        <v/>
      </c>
      <c r="U507" s="19" t="n">
        <v>0.400000000000002</v>
      </c>
      <c r="V507" s="19" t="n">
        <v>2.2</v>
      </c>
      <c r="W507" s="19">
        <f>V507*0.2</f>
        <v/>
      </c>
      <c r="X507" s="21">
        <f>O507-Q507-R507-S507-U507-V507+T507+W507</f>
        <v/>
      </c>
      <c r="Y507" s="18" t="n"/>
      <c r="Z507" s="19">
        <f>O507+1.5</f>
        <v/>
      </c>
      <c r="AA507" s="19" t="n"/>
      <c r="AB507" s="19" t="n"/>
      <c r="AC507" s="18" t="n"/>
      <c r="AD507" s="18" t="n"/>
      <c r="AE507" s="13" t="inlineStr">
        <is>
          <t>NOT_UPLOADED</t>
        </is>
      </c>
    </row>
    <row r="508" ht="16" customHeight="1">
      <c r="A508" s="12" t="n">
        <v>3600524122904</v>
      </c>
      <c r="B508" s="12" t="n">
        <v>3600524122881</v>
      </c>
      <c r="C508" s="13" t="n"/>
      <c r="D508" s="14" t="n"/>
      <c r="E508" s="14" t="inlineStr">
        <is>
          <t>FOR-3600524122904</t>
        </is>
      </c>
      <c r="F508" s="12" t="inlineStr">
        <is>
          <t>L4206</t>
        </is>
      </c>
      <c r="G508" s="14" t="inlineStr">
        <is>
          <t>Fortuna</t>
        </is>
      </c>
      <c r="H508" s="14" t="inlineStr">
        <is>
          <t>Loreal</t>
        </is>
      </c>
      <c r="I508" s="14" t="inlineStr">
        <is>
          <t>L'Oréal Paris Bright Reveal Spot Scrub for All Skin Types, Acne and Dark Spots, with Niacinamide and 25% AHA + BHA + PHA, 25 ml</t>
        </is>
      </c>
      <c r="J508" s="14" t="inlineStr">
        <is>
          <t>No</t>
        </is>
      </c>
      <c r="K508" s="14" t="inlineStr">
        <is>
          <t>https://www.amazon.de/-/en/LOr%C3%A9al-Paris-Bright-Reveal-Niacinamide/dp/B0CNPZK72Y/ref=sr_1_2?crid=1ZIYHM5MZD5IW&amp;dib=eyJ2IjoiMSJ9.EFzy-vv6q_HJ7OcbOXV0dQNGF0LtnRQynkOla6OWr_023BiUVHQcPsf5U89AwGyNIgjRgThMZqrEiHxwO3QOeipJkuzr-8biD9QTi1tkuKc5D_EbWFUQf83yogEwG7POfHS5WcJf1pn4Yt8zHEcphoPPBkqTsLOAXyKPZrI-cUxBUzv_mpevtYm2mIsVRjmS_84EgK53bU287BBueKsJqHgklO5yyuZ4MpSMe-VLHrqTPXkE7X_060g1U0M3_tZMCmY-rNoXzHFmHk8ztpCjMklZfrlsvLowFSbnOHewE1I.Tyu7jJ4XLa7OpIz0X70OXdWA_sOjrwPge-04MHIQ4tU&amp;dib_tag=se&amp;keywords=l%27oreal+D+BRIGHT+REVEAL+EXFOLIANT&amp;qid=1754296242&amp;s=beauty&amp;sprefix=l%27oreal+d+bright+reveal+exfoliant%2Cbeauty%2C114&amp;sr=1-2</t>
        </is>
      </c>
      <c r="L508" s="14" t="inlineStr">
        <is>
          <t>B0CNPZK72Y</t>
        </is>
      </c>
      <c r="M508" s="15" t="n"/>
      <c r="N508" s="15" t="n"/>
      <c r="O508" s="15" t="n">
        <v>24.7</v>
      </c>
      <c r="P508" s="15">
        <f>O508/1.19</f>
        <v/>
      </c>
      <c r="Q508" s="15">
        <f>O508-P508</f>
        <v/>
      </c>
      <c r="R508" s="15">
        <f>O508*0.15</f>
        <v/>
      </c>
      <c r="S508" s="15" t="n">
        <v>13.66</v>
      </c>
      <c r="T508" s="15">
        <f>S508*0.2</f>
        <v/>
      </c>
      <c r="U508" s="15" t="n">
        <v>0.400000000000002</v>
      </c>
      <c r="V508" s="15" t="n">
        <v>2.85</v>
      </c>
      <c r="W508" s="15">
        <f>V508*0.2</f>
        <v/>
      </c>
      <c r="X508" s="21">
        <f>O508-Q508-R508-S508-U508-V508+T508+W508</f>
        <v/>
      </c>
      <c r="Y508" s="14" t="n"/>
      <c r="Z508" s="15">
        <f>O508+1.5</f>
        <v/>
      </c>
      <c r="AA508" s="15" t="n"/>
      <c r="AB508" s="15" t="n"/>
      <c r="AC508" s="14" t="n"/>
      <c r="AD508" s="14" t="n"/>
      <c r="AE508" s="13" t="inlineStr">
        <is>
          <t>NOT_UPLOADED</t>
        </is>
      </c>
    </row>
    <row r="509" ht="16" customHeight="1">
      <c r="A509" s="17" t="n">
        <v>3600524122881</v>
      </c>
      <c r="B509" s="17" t="n">
        <v>3600524122881</v>
      </c>
      <c r="C509" s="13" t="n"/>
      <c r="D509" s="18" t="n"/>
      <c r="E509" s="18" t="inlineStr">
        <is>
          <t>FOR-3600524122881</t>
        </is>
      </c>
      <c r="F509" s="17" t="inlineStr">
        <is>
          <t>L4206</t>
        </is>
      </c>
      <c r="G509" s="18" t="inlineStr">
        <is>
          <t>Fortuna</t>
        </is>
      </c>
      <c r="H509" s="18" t="inlineStr">
        <is>
          <t>Loreal</t>
        </is>
      </c>
      <c r="I509" s="18" t="inlineStr">
        <is>
          <t>L'Oréal Paris Bright Reveal Dark Spot Face Exfoliator Niacinamide Brightens and Renews Skin Fast Effect on Post-Acne Marks and Dark Spots, Reduces Pores 25ml</t>
        </is>
      </c>
      <c r="J509" s="18" t="inlineStr">
        <is>
          <t>No</t>
        </is>
      </c>
      <c r="K509" s="18" t="inlineStr">
        <is>
          <t>https://www.amazon.de/-/en/Exfoliator-Niacinamide-Brightens-Post-Acne-Reduces/dp/B0D37JCNG8/ref=sr_1_3?crid=1ZIYHM5MZD5IW&amp;dib=eyJ2IjoiMSJ9.EFzy-vv6q_HJ7OcbOXV0dQNGF0LtnRQynkOla6OWr_023BiUVHQcPsf5U89AwGyNIgjRgThMZqrEiHxwO3QOeipJkuzr-8biD9QTi1tkuKc5D_EbWFUQf83yogEwG7POfHS5WcJf1pn4Yt8zHEcphoPPBkqTsLOAXyKPZrI-cUxBUzv_mpevtYm2mIsVRjmS_84EgK53bU287BBueKsJqHgklO5yyuZ4MpSMe-VLHrpQiIZDayxkjJof2Jr0abdP_5L-xwgIG2FBzVSHA8puOUlZfrlsvLowFSbnOHewE1I.dnEG7wO6mHg_BMJGI6a10ZG_CfE3-WL_jnR3p0SjBiY&amp;dib_tag=se&amp;keywords=l%27oreal+D+BRIGHT+REVEAL+EXFOLIANT&amp;qid=1754296665&amp;s=beauty&amp;sprefix=l%27oreal+d+bright+reveal+exfoliant%2Cbeauty%2C114&amp;sr=1-3</t>
        </is>
      </c>
      <c r="L509" s="18" t="inlineStr">
        <is>
          <t>B0D37JCNG8</t>
        </is>
      </c>
      <c r="M509" s="19" t="n"/>
      <c r="N509" s="19" t="n"/>
      <c r="O509" s="19" t="n">
        <v>24.7</v>
      </c>
      <c r="P509" s="19">
        <f>O509/1.19</f>
        <v/>
      </c>
      <c r="Q509" s="19">
        <f>O509-P509</f>
        <v/>
      </c>
      <c r="R509" s="19">
        <f>O509*0.15</f>
        <v/>
      </c>
      <c r="S509" s="19" t="n">
        <v>13.66</v>
      </c>
      <c r="T509" s="19">
        <f>S509*0.2</f>
        <v/>
      </c>
      <c r="U509" s="19" t="n">
        <v>0.400000000000002</v>
      </c>
      <c r="V509" s="19" t="n">
        <v>2.2</v>
      </c>
      <c r="W509" s="19">
        <f>V509*0.2</f>
        <v/>
      </c>
      <c r="X509" s="21">
        <f>O509-Q509-R509-S509-U509-V509+T509+W509</f>
        <v/>
      </c>
      <c r="Y509" s="18" t="n"/>
      <c r="Z509" s="19">
        <f>O509+1.5</f>
        <v/>
      </c>
      <c r="AA509" s="19" t="n"/>
      <c r="AB509" s="19" t="n"/>
      <c r="AC509" s="18" t="n"/>
      <c r="AD509" s="18" t="n"/>
      <c r="AE509" s="13" t="inlineStr">
        <is>
          <t>NOT_UPLOADED</t>
        </is>
      </c>
    </row>
    <row r="510" ht="16" customHeight="1">
      <c r="A510" s="12" t="n">
        <v>3600524129019</v>
      </c>
      <c r="B510" s="12" t="n">
        <v>3600524129019</v>
      </c>
      <c r="C510" s="20" t="inlineStr">
        <is>
          <t>PACK X 3</t>
        </is>
      </c>
      <c r="D510" s="14" t="n"/>
      <c r="E510" s="14" t="inlineStr">
        <is>
          <t>FOR-3600524129019</t>
        </is>
      </c>
      <c r="F510" s="12" t="inlineStr">
        <is>
          <t>L4207</t>
        </is>
      </c>
      <c r="G510" s="14" t="inlineStr">
        <is>
          <t>Fortuna</t>
        </is>
      </c>
      <c r="H510" s="14" t="inlineStr">
        <is>
          <t>Loreal</t>
        </is>
      </c>
      <c r="I510" s="14" t="inlineStr">
        <is>
          <t>L'Oréal Paris Bright Reveal Facial Cleansing Serum for Imperfections Reduces Pimples Brightening Exfoliating with Niacinamide and Salicylic Acid 3 Bottles 150 ml</t>
        </is>
      </c>
      <c r="J510" s="14" t="inlineStr">
        <is>
          <t>No</t>
        </is>
      </c>
      <c r="K510" s="14" t="inlineStr">
        <is>
          <t>https://www.amazon.de/-/en/Cleansing-Imperfections-Brightening-Exfoliating-Niacinamide/dp/B0DZP44PDK/ref=sr_1_12?crid=3BEZVBMWKNJSZ&amp;dib=eyJ2IjoiMSJ9.9kWi_0VcwiKkUGhr3W9Qw-QvJb5nCHLpWGzVwrRnbwsOcNrPWfGNOo3d3wTRvblANW5gogGZiymIvqgguLlCSAWWbYLXnL-DXVrsfaKuQ5fV7qgDrLy0Mz_jZpyA76UNVnBHJTdsr3weOG4NS1SvTpA7X2J7U-4SkGs117AbbfZEzZdDcNbPUEs0SpoYRq7o.z8YNPZRzwULYEhPKE_ZPD8BB1sZA9OenDlRrrCEbW9I&amp;dib_tag=se&amp;keywords=l%27oreal%2BD%2BBRIGHT%2Bspot%2Bfading&amp;qid=1754297034&amp;s=beauty&amp;sprefix=l%27oreal%2Bd%2Bbright%2Bspot%2Bfading%2Cbeauty%2C162&amp;sr=1-12&amp;th=1</t>
        </is>
      </c>
      <c r="L510" s="14" t="inlineStr">
        <is>
          <t>B0DZP44PDK</t>
        </is>
      </c>
      <c r="M510" s="15" t="n"/>
      <c r="N510" s="15" t="n"/>
      <c r="O510" s="15" t="n">
        <v>27.7</v>
      </c>
      <c r="P510" s="15">
        <f>O510/1.19</f>
        <v/>
      </c>
      <c r="Q510" s="15">
        <f>O510-P510</f>
        <v/>
      </c>
      <c r="R510" s="15">
        <f>O510*0.15</f>
        <v/>
      </c>
      <c r="S510" s="15" t="n">
        <v>12.6</v>
      </c>
      <c r="T510" s="15">
        <f>S510*0.2</f>
        <v/>
      </c>
      <c r="U510" s="15" t="n">
        <v>0.400000000000002</v>
      </c>
      <c r="V510" s="15" t="n">
        <v>4</v>
      </c>
      <c r="W510" s="15">
        <f>V510*0.2</f>
        <v/>
      </c>
      <c r="X510" s="21">
        <f>O510-Q510-R510-S510-U510-V510+T510+W510</f>
        <v/>
      </c>
      <c r="Y510" s="14" t="n"/>
      <c r="Z510" s="15">
        <f>O510+1.5</f>
        <v/>
      </c>
      <c r="AA510" s="15" t="n"/>
      <c r="AB510" s="15" t="n"/>
      <c r="AC510" s="14" t="n"/>
      <c r="AD510" s="14" t="n"/>
      <c r="AE510" s="13" t="inlineStr">
        <is>
          <t>NOT_UPLOADED</t>
        </is>
      </c>
    </row>
    <row r="511" ht="16" customHeight="1">
      <c r="A511" s="17" t="n">
        <v>3600524128975</v>
      </c>
      <c r="B511" s="17" t="n">
        <v>3600524129019</v>
      </c>
      <c r="C511" s="13" t="n"/>
      <c r="D511" s="18" t="n"/>
      <c r="E511" s="18" t="inlineStr">
        <is>
          <t>FOR-3600524128975</t>
        </is>
      </c>
      <c r="F511" s="17" t="inlineStr">
        <is>
          <t>L4207</t>
        </is>
      </c>
      <c r="G511" s="18" t="inlineStr">
        <is>
          <t>Fortuna</t>
        </is>
      </c>
      <c r="H511" s="18" t="inlineStr">
        <is>
          <t>Loreal</t>
        </is>
      </c>
      <c r="I511" s="18" t="inlineStr">
        <is>
          <t>L'Oréal Paris Serum Cleanser - Cleans Pores Deep Against Pigment &amp; Acne Males, for a Radiant Complexion, with Niacinamide &amp; Salicylic Acid, Bright Reveal Dark Spot Serum in Cleanser, 150 ml</t>
        </is>
      </c>
      <c r="J511" s="18" t="inlineStr">
        <is>
          <t>No</t>
        </is>
      </c>
      <c r="K511" s="18" t="inlineStr">
        <is>
          <t>https://www.amazon.de/-/en/LOr%C3%A9al-Paris-Serum-Cleanser-Niacinamide/dp/B0CJ5GZCK9/ref=sr_1_4?crid=3BEZVBMWKNJSZ&amp;dib=eyJ2IjoiMSJ9.9kWi_0VcwiKkUGhr3W9Qw-QvJb5nCHLpWGzVwrRnbwsOcNrPWfGNOo3d3wTRvblANW5gogGZiymIvqgguLlCSAWWbYLXnL-DXVrsfaKuQ5fV7qgDrLy0Mz_jZpyA76UNVnBHJTdsr3weOG4NS1SvTpA7X2J7U-4SkGs117AbbfZEzZdDcNbPUEs0SpoYRq7o.z8YNPZRzwULYEhPKE_ZPD8BB1sZA9OenDlRrrCEbW9I&amp;dib_tag=se&amp;keywords=l%27oreal%2BD%2BBRIGHT%2Bspot%2Bfading&amp;qid=1754297316&amp;s=beauty&amp;sprefix=l%27oreal%2Bd%2Bbright%2Bspot%2Bfading%2Cbeauty%2C162&amp;sr=1-4&amp;th=1</t>
        </is>
      </c>
      <c r="L511" s="18" t="inlineStr">
        <is>
          <t>B0CJ5GZCK9</t>
        </is>
      </c>
      <c r="M511" s="19" t="n">
        <v>9.9</v>
      </c>
      <c r="N511" s="19" t="n"/>
      <c r="O511" s="19" t="n">
        <v>11.7</v>
      </c>
      <c r="P511" s="19">
        <f>O511/1.19</f>
        <v/>
      </c>
      <c r="Q511" s="19">
        <f>O511-P511</f>
        <v/>
      </c>
      <c r="R511" s="19">
        <f>O511*0.15</f>
        <v/>
      </c>
      <c r="S511" s="19" t="n">
        <v>4.2</v>
      </c>
      <c r="T511" s="19">
        <f>S511*0.2</f>
        <v/>
      </c>
      <c r="U511" s="19" t="n">
        <v>0.400000000000002</v>
      </c>
      <c r="V511" s="19" t="n">
        <v>2.4</v>
      </c>
      <c r="W511" s="19">
        <f>V511*0.2</f>
        <v/>
      </c>
      <c r="X511" s="21">
        <f>O511-Q511-R511-S511-U511-V511+T511+W511</f>
        <v/>
      </c>
      <c r="Y511" s="18" t="n"/>
      <c r="Z511" s="19">
        <f>O511+1.5</f>
        <v/>
      </c>
      <c r="AA511" s="19" t="n"/>
      <c r="AB511" s="19" t="n"/>
      <c r="AC511" s="18" t="n"/>
      <c r="AD511" s="18" t="n"/>
      <c r="AE511" s="13" t="inlineStr">
        <is>
          <t>NOT_UPLOADED</t>
        </is>
      </c>
    </row>
    <row r="512" ht="16" customHeight="1">
      <c r="A512" s="12" t="n">
        <v>3600524076061</v>
      </c>
      <c r="B512" s="12" t="n">
        <v>3600524076061</v>
      </c>
      <c r="C512" s="13" t="n"/>
      <c r="D512" s="14" t="inlineStr">
        <is>
          <t>search surpresed</t>
        </is>
      </c>
      <c r="E512" s="14" t="inlineStr">
        <is>
          <t>FOR-3600524076061</t>
        </is>
      </c>
      <c r="F512" s="12" t="inlineStr">
        <is>
          <t>L4210</t>
        </is>
      </c>
      <c r="G512" s="14" t="inlineStr">
        <is>
          <t>Fortuna</t>
        </is>
      </c>
      <c r="H512" s="14" t="inlineStr">
        <is>
          <t>Loreal</t>
        </is>
      </c>
      <c r="I512" s="14" t="inlineStr">
        <is>
          <t>L'Oréal Paris Vitamin C Cleansing Foam for Women: for Cleansed and Fresh Skin with Vitamin C and Salicylic Acid, Revitalift Clinical, 1 x 150 ml</t>
        </is>
      </c>
      <c r="J512" s="14" t="inlineStr">
        <is>
          <t>No</t>
        </is>
      </c>
      <c r="K512" s="14" t="inlineStr">
        <is>
          <t>https://www.amazon.de/-/en/LOr%C3%A9al-Paris-Vitamin-Cleansing-Women/dp/B0C7RDFW4W/ref=sr_1_3?crid=1ZH2W1X3VEXVQ&amp;dib=eyJ2IjoiMSJ9.522clI2zEPH5iokBAD4sxqqwLZI-Za_9xEVctVtJrAPPrEZr--Qct5w8YLk1jiQZJkiv4XcsQf4hjDZFwwEdXJzVQMskkaTn46W-rjvYRc19GXDH_CCfu_qq6NcbkUsgAC8bPtDYWrNAfLUEMlbgSXeQKUwKVJasGEb_OG4bzyVlZEiNsg9bPOUHphPBN1xSUSocoi4PNlY105S2auCVbk2xYTNv7YdFLkv7wFY4902u7iaWxcH4c_wI9Fdl997AOEvBkfeAqHM3QDd6HFPnoQVmMYNuFAsvavAGfmNnZSw.p7jkV9iLgPUG3f8XKdPeFrIdQ-jkE8jEQM9s-IWtyns&amp;dib_tag=se&amp;keywords=l%27oreal%2Brevitalift%2Bcleanser&amp;qid=1754297415&amp;rdc=1&amp;s=beauty&amp;sprefix=l%27oreal%2Brevitalift%2Bcleanser%2Cbeauty%2C158&amp;sr=1-3&amp;th=1</t>
        </is>
      </c>
      <c r="L512" s="14" t="inlineStr">
        <is>
          <t>B0C7RDFW4W</t>
        </is>
      </c>
      <c r="M512" s="15" t="n">
        <v>9.9</v>
      </c>
      <c r="N512" s="15" t="n"/>
      <c r="O512" s="15" t="n">
        <v>11.7</v>
      </c>
      <c r="P512" s="15">
        <f>O512/1.19</f>
        <v/>
      </c>
      <c r="Q512" s="15">
        <f>O512-P512</f>
        <v/>
      </c>
      <c r="R512" s="15">
        <f>O512*0.15</f>
        <v/>
      </c>
      <c r="S512" s="15" t="n">
        <v>4.2</v>
      </c>
      <c r="T512" s="15">
        <f>S512*0.2</f>
        <v/>
      </c>
      <c r="U512" s="15" t="n">
        <v>0.400000000000002</v>
      </c>
      <c r="V512" s="15" t="n">
        <v>2.4</v>
      </c>
      <c r="W512" s="15">
        <f>V512*0.2</f>
        <v/>
      </c>
      <c r="X512" s="21">
        <f>O512-Q512-R512-S512-U512-V512+T512+W512</f>
        <v/>
      </c>
      <c r="Y512" s="14" t="n"/>
      <c r="Z512" s="15">
        <f>O512+1.5</f>
        <v/>
      </c>
      <c r="AA512" s="15" t="n"/>
      <c r="AB512" s="15" t="n"/>
      <c r="AC512" s="14" t="n"/>
      <c r="AD512" s="14" t="n"/>
      <c r="AE512" s="13" t="inlineStr">
        <is>
          <t>NOT_UPLOADED</t>
        </is>
      </c>
    </row>
    <row r="513" ht="16" customHeight="1">
      <c r="A513" s="17" t="n">
        <v>3600524076023</v>
      </c>
      <c r="B513" s="17" t="n">
        <v>3600524076061</v>
      </c>
      <c r="C513" s="13" t="n"/>
      <c r="D513" s="18" t="n"/>
      <c r="E513" s="18" t="inlineStr">
        <is>
          <t>FOR-3600524076023</t>
        </is>
      </c>
      <c r="F513" s="17" t="inlineStr">
        <is>
          <t>L4210</t>
        </is>
      </c>
      <c r="G513" s="18" t="inlineStr">
        <is>
          <t>Fortuna</t>
        </is>
      </c>
      <c r="H513" s="18" t="inlineStr">
        <is>
          <t>Loreal</t>
        </is>
      </c>
      <c r="I513" s="18" t="inlineStr">
        <is>
          <t>L'Oréal Paris Cleansing Facial Cleanser, Suitable for Sensitive Skin, Smoothing and Even Effect, Soft and Elastic Skin, with Vitamin C + Salicylic Acid, Revitalift, 150 ml</t>
        </is>
      </c>
      <c r="J513" s="18" t="inlineStr">
        <is>
          <t>No</t>
        </is>
      </c>
      <c r="K513" s="18" t="inlineStr">
        <is>
          <t>https://www.amazon.de/-/en/Cleansing-Sensitive-Smoothing-Salicylic-Revitalift/dp/B0CQKGYVRB/ref=sr_1_8?crid=1ZH2W1X3VEXVQ&amp;dib=eyJ2IjoiMSJ9.522clI2zEPH5iokBAD4sxqqwLZI-Za_9xEVctVtJrAPPrEZr--Qct5w8YLk1jiQZJkiv4XcsQf4hjDZFwwEdXJzVQMskkaTn46W-rjvYRc19GXDH_CCfu_qq6NcbkUsgAC8bPtDYWrNAfLUEMlbgSXeQKUwKVJasGEb_OG4bzyVlZEiNsg9bPOUHphPBN1xSUSocoi4PNlY105S2auCVbk2xYTNv7YdFLkv7wFY4902u7iaWxcH4c_wI9Fdl997ACPqnLuD-CbSw2inf3gYwixNRmWizeUiMlCSWrhPb60Y.fw3sEjYPmU_lCmlKdQL_ab5k0bHCvsI5wfNUlAHZy28&amp;dib_tag=se&amp;keywords=l%27oreal+revitalift+cleanser&amp;qid=1754297589&amp;s=beauty&amp;sprefix=l%27oreal+revitalift+cleanser%2Cbeauty%2C158&amp;sr=1-8</t>
        </is>
      </c>
      <c r="L513" s="18" t="inlineStr">
        <is>
          <t>B0CQKGYVRB</t>
        </is>
      </c>
      <c r="M513" s="19" t="n"/>
      <c r="N513" s="19" t="n"/>
      <c r="O513" s="19" t="n">
        <v>11.6</v>
      </c>
      <c r="P513" s="19">
        <f>O513/1.19</f>
        <v/>
      </c>
      <c r="Q513" s="19">
        <f>O513-P513</f>
        <v/>
      </c>
      <c r="R513" s="19">
        <f>O513*0.15</f>
        <v/>
      </c>
      <c r="S513" s="19" t="n">
        <v>4.2</v>
      </c>
      <c r="T513" s="19">
        <f>S513*0.2</f>
        <v/>
      </c>
      <c r="U513" s="19" t="n">
        <v>0.400000000000002</v>
      </c>
      <c r="V513" s="19" t="n">
        <v>2.4</v>
      </c>
      <c r="W513" s="19">
        <f>V513*0.2</f>
        <v/>
      </c>
      <c r="X513" s="21">
        <f>O513-Q513-R513-S513-U513-V513+T513+W513</f>
        <v/>
      </c>
      <c r="Y513" s="18" t="n"/>
      <c r="Z513" s="19">
        <f>O513+1.5</f>
        <v/>
      </c>
      <c r="AA513" s="19" t="n"/>
      <c r="AB513" s="19" t="n"/>
      <c r="AC513" s="18" t="n"/>
      <c r="AD513" s="18" t="n"/>
      <c r="AE513" s="13" t="inlineStr">
        <is>
          <t>NOT_UPLOADED</t>
        </is>
      </c>
    </row>
    <row r="514" ht="16" customHeight="1">
      <c r="A514" s="12" t="n">
        <v>3600524076054</v>
      </c>
      <c r="B514" s="12" t="n">
        <v>3600524076061</v>
      </c>
      <c r="C514" s="13" t="n"/>
      <c r="D514" s="14" t="n"/>
      <c r="E514" s="14" t="inlineStr">
        <is>
          <t>FOR-3600524076054</t>
        </is>
      </c>
      <c r="F514" s="12" t="inlineStr">
        <is>
          <t>L4210</t>
        </is>
      </c>
      <c r="G514" s="14" t="inlineStr">
        <is>
          <t>Fortuna</t>
        </is>
      </c>
      <c r="H514" s="14" t="inlineStr">
        <is>
          <t>Loreal</t>
        </is>
      </c>
      <c r="I514" s="14" t="inlineStr">
        <is>
          <t>L'Oréal Paris Revitalift Clinical Foaming Cleansing Cream with Vitamin C* and Salicylic Acid Facial Cleanser 150 ml</t>
        </is>
      </c>
      <c r="J514" s="14" t="inlineStr">
        <is>
          <t>No</t>
        </is>
      </c>
      <c r="K514" s="14" t="inlineStr">
        <is>
          <t>https://www.amazon.de/-/en/Revitalift-Clinical-Cleansing-Salicylic-Cleanser/dp/B0C8BT6YXW/ref=sr_1_9?crid=22O4C9CNFR4T3&amp;dib=eyJ2IjoiMSJ9.522clI2zEPH5iokBAD4sxqqwLZI-Za_9xEVctVtJrAPPrEZr--Qct5w8YLk1jiQZJkiv4XcsQf4hjDZFwwEdXJzVQMskkaTn46W-rjvYRc19GXDH_CCfu_qq6NcbkUsgAC8bPtDYWrNAfLUEMlbgSXeQKUwKVJasGEb_OG4bzyVlZEiNsg9bPOUHphPBN1xSUSocoi4PNlY105S2auCVbk2xYTNv7YdFLkv7wFY4902u7iaWxcH4c_wI9Fdl997AOEvBkfeAqHM3QDd6HFPnoQVmMYNuFAsvavAGfmNnZSw.p7jkV9iLgPUG3f8XKdPeFrIdQ-jkE8jEQM9s-IWtyns&amp;dib_tag=se&amp;keywords=l%27oreal+revitalift+cleanser&amp;qid=1754297863&amp;s=beauty&amp;sprefix=l%27orealrevitalift+cleanser%2Cbeauty%2C141&amp;sr=1-9</t>
        </is>
      </c>
      <c r="L514" s="14" t="inlineStr">
        <is>
          <t>B0C8BT6YXW</t>
        </is>
      </c>
      <c r="M514" s="15" t="n"/>
      <c r="N514" s="15" t="n"/>
      <c r="O514" s="15" t="n">
        <v>12.5</v>
      </c>
      <c r="P514" s="15">
        <f>O514/1.19</f>
        <v/>
      </c>
      <c r="Q514" s="15">
        <f>O514-P514</f>
        <v/>
      </c>
      <c r="R514" s="15">
        <f>O514*0.15</f>
        <v/>
      </c>
      <c r="S514" s="15" t="n">
        <v>4.2</v>
      </c>
      <c r="T514" s="15">
        <f>S514*0.2</f>
        <v/>
      </c>
      <c r="U514" s="15" t="n">
        <v>0.400000000000002</v>
      </c>
      <c r="V514" s="15" t="n">
        <v>3.5</v>
      </c>
      <c r="W514" s="15">
        <f>V514*0.2</f>
        <v/>
      </c>
      <c r="X514" s="21">
        <f>O514-Q514-R514-S514-U514-V514+T514+W514</f>
        <v/>
      </c>
      <c r="Y514" s="14" t="n"/>
      <c r="Z514" s="15">
        <f>O514+1.5</f>
        <v/>
      </c>
      <c r="AA514" s="15" t="n"/>
      <c r="AB514" s="15" t="n"/>
      <c r="AC514" s="14" t="n"/>
      <c r="AD514" s="14" t="n"/>
      <c r="AE514" s="13" t="inlineStr">
        <is>
          <t>NOT_UPLOADED</t>
        </is>
      </c>
    </row>
    <row r="515" ht="16" customHeight="1">
      <c r="A515" s="17" t="n"/>
      <c r="B515" s="17" t="n">
        <v>3600523329847</v>
      </c>
      <c r="C515" s="13" t="n"/>
      <c r="D515" s="18" t="n"/>
      <c r="E515" s="18" t="inlineStr">
        <is>
          <t>APPROVAL NEEDED</t>
        </is>
      </c>
      <c r="F515" s="17" t="inlineStr">
        <is>
          <t>L4227</t>
        </is>
      </c>
      <c r="G515" s="18" t="inlineStr">
        <is>
          <t>Fortuna</t>
        </is>
      </c>
      <c r="H515" s="18" t="inlineStr">
        <is>
          <t>Loreal</t>
        </is>
      </c>
      <c r="I515" s="18" t="inlineStr">
        <is>
          <t>L'Oréal Micellar Water Normal to Dry Sensitive Skin, 400ml</t>
        </is>
      </c>
      <c r="J515" s="18" t="inlineStr">
        <is>
          <t>No</t>
        </is>
      </c>
      <c r="K515" s="18" t="inlineStr">
        <is>
          <t>https://www.amazon.de/-/en/LOr%C3%A9al-Micellar-Water-Normal-Sensitive/dp/B01LYFHY7S/ref=sr_1_4?crid=1ZKEPYTYO4Y7K&amp;dib=eyJ2IjoiMSJ9.3StjufGb3K9E1c9X697uckkNo9vdoo1aTN75eHBqt_ZnpibyzUQfPdGQS1c92kDDlMympuDWN9GBNZTFjoOoDUbs-efnCeeyjcIrXFuhrwjl8bGjwQ9WWcxPiLQFvCcAGq9eC6WpYZQWBuZgrttKnsfmZtO554MhQcIQXTC-7j33SnbaddtAjITeL_j2TxUKxambWS2J7mrnbAuR1bYbMYdiNLNcADko9l3Kw-C6o8TJqhshbW8KauwXZ96KmxBG8y_G-uTvnkqB2X0ZMv_p6T2gBRkZ66H2MzEKIFEwTW4.GM3movsBqnQnEBnsFySaL-Z3u8BEz_cuXQmJGMphiNI&amp;dib_tag=se&amp;keywords=l%27oreal%2Bmicellar%2Bwater&amp;qid=1754298155&amp;s=beauty&amp;sprefix=l%27oreal%2Bmiccelar%2Bwater%2Cbeauty%2C124&amp;sr=1-4&amp;th=1</t>
        </is>
      </c>
      <c r="L515" s="18" t="inlineStr">
        <is>
          <t>B01LYFHY7S</t>
        </is>
      </c>
      <c r="M515" s="19" t="n">
        <v>12.03</v>
      </c>
      <c r="N515" s="19" t="n"/>
      <c r="O515" s="19" t="n">
        <v>13.75</v>
      </c>
      <c r="P515" s="19">
        <f>O515/1.19</f>
        <v/>
      </c>
      <c r="Q515" s="19">
        <f>O515-P515</f>
        <v/>
      </c>
      <c r="R515" s="19">
        <f>O515*0.15</f>
        <v/>
      </c>
      <c r="S515" s="19" t="n">
        <v>3.67</v>
      </c>
      <c r="T515" s="19">
        <f>S515*0.2</f>
        <v/>
      </c>
      <c r="U515" s="19" t="n">
        <v>0.400000000000002</v>
      </c>
      <c r="V515" s="19" t="n">
        <v>4.2</v>
      </c>
      <c r="W515" s="19">
        <f>V515*0.2</f>
        <v/>
      </c>
      <c r="X515" s="21">
        <f>O515-Q515-R515-S515-U515-V515+T515+W515</f>
        <v/>
      </c>
      <c r="Y515" s="18" t="n"/>
      <c r="Z515" s="19">
        <f>O515+1.5</f>
        <v/>
      </c>
      <c r="AA515" s="19" t="n"/>
      <c r="AB515" s="19" t="n"/>
      <c r="AC515" s="18" t="n"/>
      <c r="AD515" s="18" t="n"/>
      <c r="AE515" s="13" t="inlineStr">
        <is>
          <t>NOT_UPLOADED</t>
        </is>
      </c>
    </row>
    <row r="516" ht="16" customHeight="1">
      <c r="A516" s="12" t="n">
        <v>3600523329892</v>
      </c>
      <c r="B516" s="12" t="n">
        <v>3600523329847</v>
      </c>
      <c r="C516" s="20" t="inlineStr">
        <is>
          <t>PACK X 3</t>
        </is>
      </c>
      <c r="D516" s="14" t="n"/>
      <c r="E516" s="14" t="inlineStr">
        <is>
          <t>FOR-3600523329892</t>
        </is>
      </c>
      <c r="F516" s="12" t="inlineStr">
        <is>
          <t>L4227</t>
        </is>
      </c>
      <c r="G516" s="14" t="inlineStr">
        <is>
          <t>Fortuna</t>
        </is>
      </c>
      <c r="H516" s="14" t="inlineStr">
        <is>
          <t>Loreal</t>
        </is>
      </c>
      <c r="I516" s="14" t="inlineStr">
        <is>
          <t>L'Oréal Paris Face Cleansing, Soothing Micellar Water and Makeup Remover for Cleansing and Care, Skin Expert, 3 x 400 ml</t>
        </is>
      </c>
      <c r="J516" s="14" t="inlineStr">
        <is>
          <t>No</t>
        </is>
      </c>
      <c r="K516" s="14" t="inlineStr">
        <is>
          <t>https://www.amazon.de/-/en/LOr%C3%A9al-Cleansing-Soothing-Micellar-Remover/dp/B06WLND7VC/ref=sr_1_2?crid=1ZKEPYTYO4Y7K&amp;dib=eyJ2IjoiMSJ9.3StjufGb3K9E1c9X697uckkNo9vdoo1aTN75eHBqt_ZnpibyzUQfPdGQS1c92kDDlMympuDWN9GBNZTFjoOoDUbs-efnCeeyjcIrXFuhrwjl8bGjwQ9WWcxPiLQFvCcAGq9eC6WpYZQWBuZgrttKnsfmZtO554MhQcIQXTC-7j33SnbaddtAjITeL_j2TxUKxambWS2J7mrnbAuR1bYbMYdiNLNcADko9l3Kw-C6o8TJqhshbW8KauwXZ96KmxBG8y_G-uTvnkqB2X0ZMv_p6T2gBRkZ66H2MzEKIFEwTW4.GM3movsBqnQnEBnsFySaL-Z3u8BEz_cuXQmJGMphiNI&amp;dib_tag=se&amp;keywords=l%27oreal+micellar+water&amp;qid=1754298155&amp;s=beauty&amp;sprefix=l%27oreal+miccelar+water%2Cbeauty%2C124&amp;sr=1-2</t>
        </is>
      </c>
      <c r="L516" s="14" t="inlineStr">
        <is>
          <t>B06WLND7VC</t>
        </is>
      </c>
      <c r="M516" s="15" t="n"/>
      <c r="N516" s="15" t="n"/>
      <c r="O516" s="15" t="n">
        <v>27</v>
      </c>
      <c r="P516" s="15">
        <f>O516/1.19</f>
        <v/>
      </c>
      <c r="Q516" s="15">
        <f>O516-P516</f>
        <v/>
      </c>
      <c r="R516" s="15">
        <f>O516*0.15</f>
        <v/>
      </c>
      <c r="S516" s="15" t="n">
        <v>11.02</v>
      </c>
      <c r="T516" s="15">
        <f>S516*0.2</f>
        <v/>
      </c>
      <c r="U516" s="15" t="n">
        <v>0.400000000000002</v>
      </c>
      <c r="V516" s="15" t="n">
        <v>9</v>
      </c>
      <c r="W516" s="15">
        <f>V516*0.2</f>
        <v/>
      </c>
      <c r="X516" s="21">
        <f>O516-Q516-R516-S516-U516-V516+T516+W516</f>
        <v/>
      </c>
      <c r="Y516" s="14" t="n"/>
      <c r="Z516" s="15">
        <f>O516+1.5</f>
        <v/>
      </c>
      <c r="AA516" s="15" t="n"/>
      <c r="AB516" s="15" t="n"/>
      <c r="AC516" s="14" t="n"/>
      <c r="AD516" s="14" t="n"/>
      <c r="AE516" s="13" t="inlineStr">
        <is>
          <t>NOT_UPLOADED</t>
        </is>
      </c>
    </row>
    <row r="517" ht="16" customHeight="1">
      <c r="A517" s="17" t="n">
        <v>3600524050986</v>
      </c>
      <c r="B517" s="17" t="n">
        <v>3600524050986</v>
      </c>
      <c r="C517" s="13" t="n"/>
      <c r="D517" s="18" t="n"/>
      <c r="E517" s="18" t="inlineStr">
        <is>
          <t>FOR-3600524050986</t>
        </is>
      </c>
      <c r="F517" s="17" t="inlineStr">
        <is>
          <t>L4238</t>
        </is>
      </c>
      <c r="G517" s="18" t="inlineStr">
        <is>
          <t>Fortuna</t>
        </is>
      </c>
      <c r="H517" s="18" t="inlineStr">
        <is>
          <t>Loreal</t>
        </is>
      </c>
      <c r="I517" s="18" t="inlineStr">
        <is>
          <t>L'Oréal Paris Hyaluronic Specialist Tissue Mask</t>
        </is>
      </c>
      <c r="J517" s="18" t="inlineStr">
        <is>
          <t>No</t>
        </is>
      </c>
      <c r="K517" s="18" t="inlineStr">
        <is>
          <t>https://www.amazon.de/-/en/LOr%C3%A9al-Paris-Hyaluronic-Specialist-Tissue/dp/B085PHGSVZ/ref=sr_1_25?crid=2WVIP9D6FU1MQ&amp;dib=eyJ2IjoiMSJ9.3d1nYoCm9o2Ns6xZfYDzUbMtOmTIT_fFsPpHPNaoIUd3rPLyh9J367ytwSDcRCse7eDQhlFn78BfbD0iJS9BkAoAG_nwYv-_Yr0bl40tAoU5E5Xsb10OYnsgFNS2bhZrbmwq6S4LhQYIndrdOf8T4YtY4OzvfQJ0G4r6h2MxA20UxZsTng8_KCrWqaDdkeaTV3p37Jwu6U333r-B4iadhOdNya5xtrrHpymv0MOoLZs0SC2wY9Im9Qxz0NlQWqZE.XCF4gHzmf1q6Bon4rlYFMnohQpqvWa6A-MLOXBnUDtQ&amp;dib_tag=se&amp;keywords=l%27oreal+tissue+mask&amp;qid=1754298826&amp;s=beauty&amp;sprefix=l%27oreal+tissue+mask%2Cbeauty%2C118&amp;sr=1-25</t>
        </is>
      </c>
      <c r="L517" s="18" t="inlineStr">
        <is>
          <t>B085PHGSVZ</t>
        </is>
      </c>
      <c r="M517" s="19" t="n">
        <v>6.9</v>
      </c>
      <c r="N517" s="19" t="n"/>
      <c r="O517" s="19" t="n">
        <v>6.85</v>
      </c>
      <c r="P517" s="19">
        <f>O517/1.19</f>
        <v/>
      </c>
      <c r="Q517" s="19">
        <f>O517-P517</f>
        <v/>
      </c>
      <c r="R517" s="19">
        <f>O517*0.15</f>
        <v/>
      </c>
      <c r="S517" s="19" t="n">
        <v>1.96</v>
      </c>
      <c r="T517" s="19">
        <f>S517*0.2</f>
        <v/>
      </c>
      <c r="U517" s="19" t="n">
        <v>0.400000000000002</v>
      </c>
      <c r="V517" s="19" t="n">
        <v>1.8</v>
      </c>
      <c r="W517" s="19">
        <f>V517*0.2</f>
        <v/>
      </c>
      <c r="X517" s="16">
        <f>O517-Q517-R517-S517-U517-V517+T517+W517</f>
        <v/>
      </c>
      <c r="Y517" s="18" t="n"/>
      <c r="Z517" s="19">
        <f>O517+1.5</f>
        <v/>
      </c>
      <c r="AA517" s="19" t="n"/>
      <c r="AB517" s="19" t="n"/>
      <c r="AC517" s="18" t="n"/>
      <c r="AD517" s="18" t="n"/>
      <c r="AE517" s="13" t="inlineStr">
        <is>
          <t>NOT_UPLOADED</t>
        </is>
      </c>
    </row>
    <row r="518" ht="16" customHeight="1">
      <c r="A518" s="12" t="n">
        <v>3600522862383</v>
      </c>
      <c r="B518" s="12" t="n">
        <v>3600522862383</v>
      </c>
      <c r="C518" s="13" t="n"/>
      <c r="D518" s="14" t="n"/>
      <c r="E518" s="14" t="inlineStr">
        <is>
          <t>FOR-3600522862383</t>
        </is>
      </c>
      <c r="F518" s="12" t="inlineStr">
        <is>
          <t>L5003</t>
        </is>
      </c>
      <c r="G518" s="14" t="inlineStr">
        <is>
          <t>Fortuna</t>
        </is>
      </c>
      <c r="H518" s="14" t="inlineStr">
        <is>
          <t>Loreal</t>
        </is>
      </c>
      <c r="I518" s="14" t="inlineStr">
        <is>
          <t>L'Oréal Paris Make up, liquid foundation with hyaluronic and aloe vera, true match make-up, 1.N neutral light</t>
        </is>
      </c>
      <c r="J518" s="14" t="inlineStr">
        <is>
          <t>No</t>
        </is>
      </c>
      <c r="K518" s="14" t="inlineStr">
        <is>
          <t>https://www.amazon.de/-/en/LOr%C3%A9al-foundation-hyaluronic-make-up-neutral/dp/B00Q0L0HHY/ref=sr_1_1?crid=YA4JWZ38SJCN&amp;dib=eyJ2IjoiMSJ9.84dJNY0ZukAYdFHFQmtFytPtiWQHc1YWGbYjKfcKQkvGjHj071QN20LucGBJIEps.D9wjrXI57I2NRu27dMD_-OfYB7boVwQs1BKcJ7C4yHk&amp;dib_tag=se&amp;keywords=3600522862383&amp;qid=1754299419&amp;rdc=1&amp;s=beauty&amp;sprefix=3600522862383%2Cbeauty%2C277&amp;sr=1-1&amp;th=1</t>
        </is>
      </c>
      <c r="L518" s="14" t="inlineStr">
        <is>
          <t>B00Q0L0HHY</t>
        </is>
      </c>
      <c r="M518" s="15" t="n">
        <v>19</v>
      </c>
      <c r="N518" s="15" t="n"/>
      <c r="O518" s="15" t="n">
        <v>18.8</v>
      </c>
      <c r="P518" s="15">
        <f>O518/1.19</f>
        <v/>
      </c>
      <c r="Q518" s="15">
        <f>O518-P518</f>
        <v/>
      </c>
      <c r="R518" s="15">
        <f>O518*0.15</f>
        <v/>
      </c>
      <c r="S518" s="15" t="n">
        <v>9.56</v>
      </c>
      <c r="T518" s="15">
        <f>S518*0.2</f>
        <v/>
      </c>
      <c r="U518" s="15" t="n">
        <v>0.400000000000002</v>
      </c>
      <c r="V518" s="15" t="n">
        <v>2.4</v>
      </c>
      <c r="W518" s="15">
        <f>V518*0.2</f>
        <v/>
      </c>
      <c r="X518" s="21">
        <f>O518-Q518-R518-S518-U518-V518+T518+W518</f>
        <v/>
      </c>
      <c r="Y518" s="14" t="n"/>
      <c r="Z518" s="15">
        <f>O518+1.5</f>
        <v/>
      </c>
      <c r="AA518" s="15" t="n"/>
      <c r="AB518" s="15" t="n"/>
      <c r="AC518" s="14" t="n"/>
      <c r="AD518" s="14" t="n"/>
      <c r="AE518" s="13" t="inlineStr">
        <is>
          <t>NOT_UPLOADED</t>
        </is>
      </c>
    </row>
    <row r="519" ht="16" customHeight="1">
      <c r="A519" s="17" t="n">
        <v>3600522862383</v>
      </c>
      <c r="B519" s="17" t="n">
        <v>3600522862383</v>
      </c>
      <c r="C519" s="13" t="n"/>
      <c r="D519" s="18" t="n"/>
      <c r="E519" s="18" t="inlineStr">
        <is>
          <t>FOR-36005228623831</t>
        </is>
      </c>
      <c r="F519" s="17" t="inlineStr">
        <is>
          <t>L5003</t>
        </is>
      </c>
      <c r="G519" s="18" t="inlineStr">
        <is>
          <t>Fortuna</t>
        </is>
      </c>
      <c r="H519" s="18" t="inlineStr">
        <is>
          <t>Loreal</t>
        </is>
      </c>
      <c r="I519" s="18" t="inlineStr">
        <is>
          <t>L'Oréal Paris Make up, Flüssige Foundation mit Hyaluron und Aloe Vera, True Match Make-Up, 1.N Neutral Light</t>
        </is>
      </c>
      <c r="J519" s="18" t="inlineStr">
        <is>
          <t>No</t>
        </is>
      </c>
      <c r="K519" s="18" t="inlineStr">
        <is>
          <t>https://www.amazon.de/Oreal-Paris-Match-Foundation-Beige/dp/B00Q0L0HHY/ref=sr_1_1?__mk_de_DE=%C3%85M%C3%85%C5%BD%C3%95%C3%91&amp;crid=2Y2WLA5Y8BTDQ&amp;dib=eyJ2IjoiMSJ9.XFwu0YKygtMX2AQZXjFSTA.TaUbIX_Mk4KhEnEJvK3Hkr1i7FZzT3FF0_yY3awDFCg&amp;dib_tag=se&amp;keywords=B01CQLIVTC&amp;qid=1760541356&amp;sprefix=b01cqlivtc%2Caps%2C139&amp;sr=8-1&amp;th=1</t>
        </is>
      </c>
      <c r="L519" s="18" t="inlineStr">
        <is>
          <t>B00Q0L0HHY</t>
        </is>
      </c>
      <c r="M519" s="19" t="n"/>
      <c r="N519" s="19" t="n"/>
      <c r="O519" s="19" t="n">
        <v>18.99</v>
      </c>
      <c r="P519" s="19">
        <f>O519/1.19</f>
        <v/>
      </c>
      <c r="Q519" s="19">
        <f>O519-P519</f>
        <v/>
      </c>
      <c r="R519" s="19">
        <f>O519*0.15</f>
        <v/>
      </c>
      <c r="S519" s="19" t="n">
        <v>9.56</v>
      </c>
      <c r="T519" s="19">
        <f>S519*0.2</f>
        <v/>
      </c>
      <c r="U519" s="19" t="n">
        <v>0.400000000000002</v>
      </c>
      <c r="V519" s="19" t="n">
        <v>2.4</v>
      </c>
      <c r="W519" s="19">
        <f>V519*0.2</f>
        <v/>
      </c>
      <c r="X519" s="21">
        <f>O519-Q519-R519-S519-U519-V519+T519+W519</f>
        <v/>
      </c>
      <c r="Y519" s="18" t="n"/>
      <c r="Z519" s="19">
        <f>O519+1.5</f>
        <v/>
      </c>
      <c r="AA519" s="19" t="n"/>
      <c r="AB519" s="19" t="n"/>
      <c r="AC519" s="18" t="n"/>
      <c r="AD519" s="18" t="n"/>
      <c r="AE519" s="13" t="inlineStr">
        <is>
          <t>NOT_UPLOADED</t>
        </is>
      </c>
    </row>
    <row r="520" ht="16" customHeight="1">
      <c r="A520" s="12" t="n">
        <v>3600522862383</v>
      </c>
      <c r="B520" s="12" t="n">
        <v>3600522862383</v>
      </c>
      <c r="C520" s="13" t="n"/>
      <c r="D520" s="14" t="n"/>
      <c r="E520" s="14" t="inlineStr">
        <is>
          <t>FOR-3600522862383</t>
        </is>
      </c>
      <c r="F520" s="12" t="inlineStr">
        <is>
          <t>L5003</t>
        </is>
      </c>
      <c r="G520" s="14" t="inlineStr">
        <is>
          <t>Fortuna</t>
        </is>
      </c>
      <c r="H520" s="14" t="inlineStr">
        <is>
          <t>Loreal</t>
        </is>
      </c>
      <c r="I520" s="14" t="inlineStr">
        <is>
          <t>3 x New by L 'Oreal Paris True Match Foundation 30ml – 1.n Ivory</t>
        </is>
      </c>
      <c r="J520" s="14" t="inlineStr">
        <is>
          <t>No</t>
        </is>
      </c>
      <c r="K520" s="14" t="inlineStr">
        <is>
          <t>https://www.amazon.de/-/en/Perfect-Match-Make-Up-Foundation-Hyaluron/dp/B01HOXPG9U/ref=sr_1_2?crid=2MNHF77K8RWZV&amp;dib=eyJ2IjoiMSJ9.ZXLZTqc4miz5FAFcm6yr_bviWmUbIJSCfvVLWS_-QcYztaaKuQ1I-A70IMoSh7u7KhBqZng7ezM3m3ubM3CIfX2Ju2aSE3CuWux3JigdqGfzsg4CKwKJiWMx9QBBREQirYqrx4ZPdPEJqQpgts2hrk9zdYX5u-AbJ72M7cxxMIM43Jmc9ICqyQkm2VawjV_9OtYCUryh5kN4WZxe0Ug-1FvXB67AZleJtNthfrTCaVINXhViVI1HIAcitwSocBYW6hajteQIa5RGKrW8cOxvLsaMtz5tC6MFHc0Xuud3kZw.vfefgH4sjI93TDvO2O7nLawZBJqwJJQv5gmB0etXkYs&amp;dib_tag=se&amp;keywords=loreal%2Bfdt%2Btrue%2Bmatch%2Bgolden%2Balmond&amp;qid=1754309460&amp;s=beauty&amp;sprefix=loreal%2Bfdt%2Btrue%2Bmatch%2Bgolde%2Cbeauty%2C1943&amp;sr=1-2&amp;th=1</t>
        </is>
      </c>
      <c r="L520" s="14" t="inlineStr">
        <is>
          <t>B01HOXPG9U</t>
        </is>
      </c>
      <c r="M520" s="15" t="n">
        <v>20.74</v>
      </c>
      <c r="N520" s="15" t="n"/>
      <c r="O520" s="15" t="n">
        <v>18.8</v>
      </c>
      <c r="P520" s="15">
        <f>O520/1.19</f>
        <v/>
      </c>
      <c r="Q520" s="15">
        <f>O520-P520</f>
        <v/>
      </c>
      <c r="R520" s="15">
        <f>O520*0.15</f>
        <v/>
      </c>
      <c r="S520" s="15" t="n">
        <v>9.56</v>
      </c>
      <c r="T520" s="15">
        <f>S520*0.2</f>
        <v/>
      </c>
      <c r="U520" s="15" t="n">
        <v>0.400000000000002</v>
      </c>
      <c r="V520" s="15" t="n">
        <v>2.4</v>
      </c>
      <c r="W520" s="15">
        <f>V520*0.2</f>
        <v/>
      </c>
      <c r="X520" s="21">
        <f>O520-Q520-R520-S520-U520-V520+T520+W520</f>
        <v/>
      </c>
      <c r="Y520" s="14" t="n"/>
      <c r="Z520" s="15">
        <f>O520+1.5</f>
        <v/>
      </c>
      <c r="AA520" s="15" t="n"/>
      <c r="AB520" s="15" t="n"/>
      <c r="AC520" s="14" t="n"/>
      <c r="AD520" s="14" t="n"/>
      <c r="AE520" s="13" t="inlineStr">
        <is>
          <t>NOT_UPLOADED</t>
        </is>
      </c>
    </row>
    <row r="521" ht="16" customHeight="1">
      <c r="A521" s="17" t="n">
        <v>3600522862406</v>
      </c>
      <c r="B521" s="17" t="n">
        <v>3600522862406</v>
      </c>
      <c r="C521" s="13" t="n"/>
      <c r="D521" s="18" t="n"/>
      <c r="E521" s="18" t="inlineStr">
        <is>
          <t>FOR-3600522862406</t>
        </is>
      </c>
      <c r="F521" s="17" t="inlineStr">
        <is>
          <t>L5004</t>
        </is>
      </c>
      <c r="G521" s="18" t="inlineStr">
        <is>
          <t>Fortuna</t>
        </is>
      </c>
      <c r="H521" s="18" t="inlineStr">
        <is>
          <t>Loreal</t>
        </is>
      </c>
      <c r="I521" s="18" t="inlineStr">
        <is>
          <t>L'Oréal Paris Make up, liquid foundation with hyaluronic and aloe vera, true match make-up, 3.N neutral light medium</t>
        </is>
      </c>
      <c r="J521" s="18" t="inlineStr">
        <is>
          <t>No</t>
        </is>
      </c>
      <c r="K521" s="18" t="inlineStr">
        <is>
          <t>https://www.amazon.de/-/en/LOr%C3%A9al-foundation-hyaluronic-make-up-neutral/dp/B01BNCWVS2/ref=sr_1_1?crid=1E7FVBPXAT37Q&amp;dib=eyJ2IjoiMSJ9.jPGtg64iyngTJ2hdoYUTrQ.SITCr95sYXAlq7KzvfB1bW9e0XgNdG3_HRuvtON035g&amp;dib_tag=se&amp;keywords=3600522862406&amp;qid=1754308576&amp;s=beauty&amp;sprefix=3600522862406%2Cbeauty%2C574&amp;sr=1-1&amp;th=1</t>
        </is>
      </c>
      <c r="L521" s="18" t="inlineStr">
        <is>
          <t>B01BNCWVS2</t>
        </is>
      </c>
      <c r="M521" s="19" t="n"/>
      <c r="N521" s="19" t="n"/>
      <c r="O521" s="19" t="n">
        <v>18.8</v>
      </c>
      <c r="P521" s="19">
        <f>O521/1.19</f>
        <v/>
      </c>
      <c r="Q521" s="19">
        <f>O521-P521</f>
        <v/>
      </c>
      <c r="R521" s="19">
        <f>O521*0.15</f>
        <v/>
      </c>
      <c r="S521" s="19" t="n">
        <v>9.56</v>
      </c>
      <c r="T521" s="19">
        <f>S521*0.2</f>
        <v/>
      </c>
      <c r="U521" s="19" t="n">
        <v>0.400000000000002</v>
      </c>
      <c r="V521" s="19" t="n">
        <v>2.4</v>
      </c>
      <c r="W521" s="19">
        <f>V521*0.2</f>
        <v/>
      </c>
      <c r="X521" s="21">
        <f>O521-Q521-R521-S521-U521-V521+T521+W521</f>
        <v/>
      </c>
      <c r="Y521" s="18" t="n"/>
      <c r="Z521" s="19">
        <f>O521+1.5</f>
        <v/>
      </c>
      <c r="AA521" s="19" t="n"/>
      <c r="AB521" s="19" t="n"/>
      <c r="AC521" s="18" t="n"/>
      <c r="AD521" s="18" t="n"/>
      <c r="AE521" s="13" t="inlineStr">
        <is>
          <t>NOT_UPLOADED</t>
        </is>
      </c>
    </row>
    <row r="522" ht="16" customHeight="1">
      <c r="A522" s="12" t="n">
        <v>3600523635672</v>
      </c>
      <c r="B522" s="12" t="n">
        <v>3600523635672</v>
      </c>
      <c r="C522" s="13" t="n"/>
      <c r="D522" s="14" t="n"/>
      <c r="E522" s="14" t="inlineStr">
        <is>
          <t>FOR-3600523635672</t>
        </is>
      </c>
      <c r="F522" s="12" t="inlineStr">
        <is>
          <t>L5005</t>
        </is>
      </c>
      <c r="G522" s="14" t="inlineStr">
        <is>
          <t>Fortuna</t>
        </is>
      </c>
      <c r="H522" s="14" t="inlineStr">
        <is>
          <t>Loreal</t>
        </is>
      </c>
      <c r="I522" s="14" t="inlineStr">
        <is>
          <t>L'Oreal Paris True Match Foundation 2W Golden Almond 30ml</t>
        </is>
      </c>
      <c r="J522" s="14" t="inlineStr">
        <is>
          <t>No</t>
        </is>
      </c>
      <c r="K522" s="14" t="inlineStr">
        <is>
          <t>https://www.amazon.de/-/en/LOreal-Paris-Foundation-Golden-Almond/dp/B07CT1H74W/ref=sr_1_1?crid=2Q4O9Q3ZM9ELB&amp;dib=eyJ2IjoiMSJ9.9-k6MZp2cFrjxV6-GcLOh4dtOxZkLKEmy0xP0DGiF6Eq1PWG4l3iqvpm0xaoKfgO8V7ht3jc2c4_GM1ok3qGSx0kAV0NEghTZJdUIyslvJVkp-sG9k2D5dOQzNM5vZlKaG5vwZP_D9a9WKrI4uTW4pP9k0g6_J3F8gL26hdNLN-2C9qZ-tvB8-iT9Ogx2PJmrWTiMvNIS0rCuKbwvrVy8puXDEqcV1RESWDP48HSE4c_PU0AD2x74GKfhaC6WndwqHy6R3r8PiP7_PmLnn3bJiYexfspFvg9pbrtddGKM8A.Ydi3pSL0ztCDB_U_PduAjN7F59NA2OdQb_6GowQmWak&amp;dib_tag=se&amp;keywords=loreal%2Bfdt%2Btrue%2Bmatch%2B2d%2F2w&amp;qid=1754309079&amp;s=beauty&amp;sprefix=loreal%2Bfdt%2Btrue%2Bmatch%2B2d%2Cbeauty%2C956&amp;sr=1-1&amp;th=1</t>
        </is>
      </c>
      <c r="L522" s="14" t="inlineStr">
        <is>
          <t>B07CT1H74W</t>
        </is>
      </c>
      <c r="M522" s="15" t="n"/>
      <c r="N522" s="15" t="n"/>
      <c r="O522" s="15" t="n">
        <v>20.7</v>
      </c>
      <c r="P522" s="15">
        <f>O522/1.19</f>
        <v/>
      </c>
      <c r="Q522" s="15">
        <f>O522-P522</f>
        <v/>
      </c>
      <c r="R522" s="15">
        <f>O522*0.15</f>
        <v/>
      </c>
      <c r="S522" s="15" t="n">
        <v>9.56</v>
      </c>
      <c r="T522" s="15">
        <f>S522*0.2</f>
        <v/>
      </c>
      <c r="U522" s="15" t="n">
        <v>0.400000000000002</v>
      </c>
      <c r="V522" s="15" t="n">
        <v>2.4</v>
      </c>
      <c r="W522" s="15">
        <f>V522*0.2</f>
        <v/>
      </c>
      <c r="X522" s="21">
        <f>O522-Q522-R522-S522-U522-V522+T522+W522</f>
        <v/>
      </c>
      <c r="Y522" s="14" t="n"/>
      <c r="Z522" s="15">
        <f>O522+1.5</f>
        <v/>
      </c>
      <c r="AA522" s="15" t="n"/>
      <c r="AB522" s="15" t="n"/>
      <c r="AC522" s="14" t="n"/>
      <c r="AD522" s="14" t="n"/>
      <c r="AE522" s="13" t="inlineStr">
        <is>
          <t>NOT_UPLOADED</t>
        </is>
      </c>
    </row>
    <row r="523" ht="16" customHeight="1">
      <c r="A523" s="17" t="n">
        <v>3600523635672</v>
      </c>
      <c r="B523" s="17" t="n">
        <v>3600523635672</v>
      </c>
      <c r="C523" s="13" t="n"/>
      <c r="D523" s="18" t="n"/>
      <c r="E523" s="18" t="inlineStr">
        <is>
          <t>FORT-3600523635672</t>
        </is>
      </c>
      <c r="F523" s="17" t="inlineStr">
        <is>
          <t>L5005</t>
        </is>
      </c>
      <c r="G523" s="18" t="inlineStr">
        <is>
          <t>Fortuna</t>
        </is>
      </c>
      <c r="H523" s="18" t="inlineStr">
        <is>
          <t>Loreal</t>
        </is>
      </c>
      <c r="I523" s="18" t="inlineStr">
        <is>
          <t>True Match Super Blendable Foundation</t>
        </is>
      </c>
      <c r="J523" s="18" t="inlineStr">
        <is>
          <t>No</t>
        </is>
      </c>
      <c r="K523" s="18" t="inlineStr">
        <is>
          <t>https://www.amazon.de/-/en/True-Match-Super-Blendable-Foundation/dp/B07PBZYN44/ref=sr_1_2?crid=18K1X7N8ECZ6S&amp;dib=eyJ2IjoiMSJ9.R83_mtJkwjm0rQ393FvFSrgJkWKU_D2_GTL8NwHmtms.jZB76NLte22avSv3gArGL6Mm-NjXtFpgSL2D36L-H6g&amp;dib_tag=se&amp;keywords=3600523635672&amp;qid=1754309264&amp;s=beauty&amp;sprefix=loreal+fdt+tru2.4e+match+2d%2F2w%2Cbeauty%2C4104&amp;sr=1-2</t>
        </is>
      </c>
      <c r="L523" s="18" t="inlineStr">
        <is>
          <t>B07PBZYN44</t>
        </is>
      </c>
      <c r="M523" s="19" t="n"/>
      <c r="N523" s="19" t="n"/>
      <c r="O523" s="19" t="n">
        <v>20.5</v>
      </c>
      <c r="P523" s="19">
        <f>O523/1.19</f>
        <v/>
      </c>
      <c r="Q523" s="19">
        <f>O523-P523</f>
        <v/>
      </c>
      <c r="R523" s="19">
        <f>O523*0.15</f>
        <v/>
      </c>
      <c r="S523" s="19" t="n">
        <v>9.56</v>
      </c>
      <c r="T523" s="19">
        <f>S523*0.2</f>
        <v/>
      </c>
      <c r="U523" s="19" t="n">
        <v>0.400000000000002</v>
      </c>
      <c r="V523" s="19" t="n">
        <v>2.4</v>
      </c>
      <c r="W523" s="19">
        <f>V523*0.2</f>
        <v/>
      </c>
      <c r="X523" s="21">
        <f>O523-Q523-R523-S523-U523-V523+T523+W523</f>
        <v/>
      </c>
      <c r="Y523" s="18" t="n"/>
      <c r="Z523" s="19">
        <f>O523+1.5</f>
        <v/>
      </c>
      <c r="AA523" s="19" t="n"/>
      <c r="AB523" s="19" t="n"/>
      <c r="AC523" s="18" t="n"/>
      <c r="AD523" s="18" t="n"/>
      <c r="AE523" s="13" t="inlineStr">
        <is>
          <t>NOT_UPLOADED</t>
        </is>
      </c>
    </row>
    <row r="524" ht="16" customHeight="1">
      <c r="A524" s="12" t="n">
        <v>3600522862482</v>
      </c>
      <c r="B524" s="12" t="n">
        <v>3600522862482</v>
      </c>
      <c r="C524" s="13" t="n"/>
      <c r="D524" s="14" t="n"/>
      <c r="E524" s="14" t="inlineStr">
        <is>
          <t>FOR-3600522862482</t>
        </is>
      </c>
      <c r="F524" s="12" t="inlineStr">
        <is>
          <t>L5006</t>
        </is>
      </c>
      <c r="G524" s="14" t="inlineStr">
        <is>
          <t>Fortuna</t>
        </is>
      </c>
      <c r="H524" s="14" t="inlineStr">
        <is>
          <t>Loreal</t>
        </is>
      </c>
      <c r="I524" s="14" t="inlineStr">
        <is>
          <t>L'Oreal Paris True Match Liquid Foundation, 30 ml</t>
        </is>
      </c>
      <c r="J524" s="14" t="inlineStr">
        <is>
          <t>No</t>
        </is>
      </c>
      <c r="K524" s="14" t="inlineStr">
        <is>
          <t>https://www.amazon.de/-/en/Perfect-Match-Make-Up-Foundation-Hyaluron/dp/B015JB2VAQ/ref=sr_1_2?crid=2MNHF77K8RWZV&amp;dib=eyJ2IjoiMSJ9.ZXLZTqc4miz5FAFcm6yr_bviWmUbIJSCfvVLWS_-QcYztaaKuQ1I-A70IMoSh7u7KhBqZng7ezM3m3ubM3CIfX2Ju2aSE3CuWux3JigdqGfzsg4CKwKJiWMx9QBBREQirYqrx4ZPdPEJqQpgts2hrk9zdYX5u-AbJ72M7cxxMIM43Jmc9ICqyQkm2VawjV_9OtYCUryh5kN4WZxe0Ug-1FvXB67AZleJtNthfrTCaVINXhViVI1HIAcitwSocBYW6hajteQIa5RGKrW8cOxvLsaMtz5tC6MFHc0Xuud3kZw.vfefgH4sjI93TDvO2O7nLawZBJqwJJQv5gmB0etXkYs&amp;dib_tag=se&amp;keywords=loreal%2Bfdt%2Btrue%2Bmatch%2Bgolden%2Balmond&amp;qid=1754309460&amp;s=beauty&amp;sprefix=loreal%2Bfdt%2Btrue%2Bmatch%2Bgolde%2Cbeauty%2C1943&amp;sr=1-2&amp;th=1</t>
        </is>
      </c>
      <c r="L524" s="14" t="inlineStr">
        <is>
          <t>B015JB2VAQ</t>
        </is>
      </c>
      <c r="M524" s="15" t="n">
        <v>19</v>
      </c>
      <c r="N524" s="15" t="n"/>
      <c r="O524" s="15" t="n">
        <v>18.8</v>
      </c>
      <c r="P524" s="15">
        <f>O524/1.19</f>
        <v/>
      </c>
      <c r="Q524" s="15">
        <f>O524-P524</f>
        <v/>
      </c>
      <c r="R524" s="15">
        <f>O524*0.15</f>
        <v/>
      </c>
      <c r="S524" s="15" t="n">
        <v>9.56</v>
      </c>
      <c r="T524" s="15">
        <f>S524*0.2</f>
        <v/>
      </c>
      <c r="U524" s="15" t="n">
        <v>0.400000000000002</v>
      </c>
      <c r="V524" s="15" t="n">
        <v>2.4</v>
      </c>
      <c r="W524" s="15">
        <f>V524*0.2</f>
        <v/>
      </c>
      <c r="X524" s="21">
        <f>O524-Q524-R524-S524-U524-V524+T524+W524</f>
        <v/>
      </c>
      <c r="Y524" s="14" t="n"/>
      <c r="Z524" s="15">
        <f>O524+1.5</f>
        <v/>
      </c>
      <c r="AA524" s="15" t="n"/>
      <c r="AB524" s="15" t="n"/>
      <c r="AC524" s="14" t="n"/>
      <c r="AD524" s="14" t="n"/>
      <c r="AE524" s="13" t="inlineStr">
        <is>
          <t>NOT_UPLOADED</t>
        </is>
      </c>
    </row>
    <row r="525" ht="16" customHeight="1">
      <c r="A525" s="17" t="n">
        <v>3600520457833</v>
      </c>
      <c r="B525" s="17" t="n">
        <v>3600522862499</v>
      </c>
      <c r="C525" s="13" t="n"/>
      <c r="D525" s="18" t="n"/>
      <c r="E525" s="18" t="inlineStr">
        <is>
          <t>FOR-3600520457833</t>
        </is>
      </c>
      <c r="F525" s="17" t="inlineStr">
        <is>
          <t>L5007</t>
        </is>
      </c>
      <c r="G525" s="18" t="inlineStr">
        <is>
          <t>Fortuna</t>
        </is>
      </c>
      <c r="H525" s="18" t="inlineStr">
        <is>
          <t>Loreal</t>
        </is>
      </c>
      <c r="I525" s="18" t="inlineStr">
        <is>
          <t>L'Oreal Paris True Match Foundation - 30 ml, Rose Beige 30ml (Number C3)</t>
        </is>
      </c>
      <c r="J525" s="18" t="inlineStr">
        <is>
          <t>No</t>
        </is>
      </c>
      <c r="K525" s="18" t="inlineStr">
        <is>
          <t>https://www.amazon.de/-/en/LOreal-Paris-True-Match-Foundation/dp/B008KH54UG/ref=sr_1_2?crid=1ERSWUSUE14XF&amp;dib=eyJ2IjoiMSJ9.U3eF_yy0REHorHF_wZocEOn2pGQWgqgZ7j3wC1MemrXXC_EqQLtXg3UsCHALg-60xAmtJQL00W6MbmKqgwqeSq2SP1sDdPGIf_1WSuLbTjIPN0rALZwvz3Ta1rn6qhby7FAYXhCGhdI79xSqAFhMtORXSCHdt1hTXTJ7Q_I77wej4K5V6wtZaYYDJkBs1-gzdktK6-UEiwS-DvCFEoW_fu2dyDuVbUw4nnLHMXIAwluQSewc_NvYGBN2BIFI4GlgsG2Pp9araDbGw6_bg7KdfX_ic7tcTZO0hJJNaY0dQz4.bY0fe9ds83K-dUFqJHXcXGjuqCPWuvrdWGX6XReuxTo&amp;dib_tag=se&amp;keywords=loreal%2BFDT%2BTRUE%2BMATCH%2B3R%2F3CRose%2BBeige&amp;qid=1754311114&amp;s=beauty&amp;sprefix=loreal%2Bfdt%2Btrue%2Bmatch%2B2r%2F2c%2Cbeauty%2C863&amp;sr=1-2&amp;th=1</t>
        </is>
      </c>
      <c r="L525" s="18" t="inlineStr">
        <is>
          <t>B008KH54UG</t>
        </is>
      </c>
      <c r="M525" s="19" t="n">
        <v>20.69</v>
      </c>
      <c r="N525" s="19" t="n"/>
      <c r="O525" s="19" t="n">
        <v>20.3</v>
      </c>
      <c r="P525" s="19">
        <f>O525/1.19</f>
        <v/>
      </c>
      <c r="Q525" s="19">
        <f>O525-P525</f>
        <v/>
      </c>
      <c r="R525" s="19">
        <f>O525*0.15</f>
        <v/>
      </c>
      <c r="S525" s="19" t="n">
        <v>9.56</v>
      </c>
      <c r="T525" s="19">
        <f>S525*0.2</f>
        <v/>
      </c>
      <c r="U525" s="19" t="n">
        <v>0.400000000000002</v>
      </c>
      <c r="V525" s="19" t="n">
        <v>2.7</v>
      </c>
      <c r="W525" s="19">
        <f>V525*0.2</f>
        <v/>
      </c>
      <c r="X525" s="21">
        <f>O525-Q525-R525-S525-U525-V525+T525+W525</f>
        <v/>
      </c>
      <c r="Y525" s="18" t="n"/>
      <c r="Z525" s="19">
        <f>O525+1.5</f>
        <v/>
      </c>
      <c r="AA525" s="19" t="n">
        <v>8.09</v>
      </c>
      <c r="AB525" s="19" t="n">
        <v>1628953</v>
      </c>
      <c r="AC525" s="18" t="n"/>
      <c r="AD525" s="18" t="n"/>
      <c r="AE525" s="13" t="inlineStr">
        <is>
          <t>NOT_UPLOADED</t>
        </is>
      </c>
    </row>
    <row r="526" ht="16" customHeight="1">
      <c r="A526" s="12" t="n">
        <v>3600522862499</v>
      </c>
      <c r="B526" s="12" t="n">
        <v>3600522862499</v>
      </c>
      <c r="C526" s="13" t="n"/>
      <c r="D526" s="14" t="n"/>
      <c r="E526" s="14" t="inlineStr">
        <is>
          <t>FOR-36005228624991</t>
        </is>
      </c>
      <c r="F526" s="12" t="inlineStr">
        <is>
          <t>L5007</t>
        </is>
      </c>
      <c r="G526" s="14" t="inlineStr">
        <is>
          <t>Fortuna</t>
        </is>
      </c>
      <c r="H526" s="14" t="inlineStr">
        <is>
          <t>Loreal</t>
        </is>
      </c>
      <c r="I526" s="14" t="inlineStr">
        <is>
          <t>L'Oréal Paris Make up, Flüssige Foundation mit Hyaluron und Aloe Vera, True Match Make-Up, 3.R/3.C Cool Light Medium</t>
        </is>
      </c>
      <c r="J526" s="14" t="inlineStr">
        <is>
          <t>No</t>
        </is>
      </c>
      <c r="K526" s="14" t="inlineStr">
        <is>
          <t>https://www.amazon.de/Oreal-Paris-Match-Foundation-Beige/dp/B01CQLIVTC/ref=sr_1_1?__mk_de_DE=%C3%85M%C3%85%C5%BD%C3%95%C3%91&amp;crid=2Y2WLA5Y8BTDQ&amp;dib=eyJ2IjoiMSJ9.XFwu0YKygtMX2AQZXjFSTA.TaUbIX_Mk4KhEnEJvK3Hkr1i7FZzT3FF0_yY3awDFCg&amp;dib_tag=se&amp;keywords=B01CQLIVTC&amp;qid=1760541356&amp;sprefix=b01cqlivtc%2Caps%2C139&amp;sr=8-1&amp;th=1</t>
        </is>
      </c>
      <c r="L526" s="14" t="inlineStr">
        <is>
          <t>B01CQLIVTC</t>
        </is>
      </c>
      <c r="M526" s="15" t="n"/>
      <c r="N526" s="15" t="n"/>
      <c r="O526" s="15" t="n">
        <v>19</v>
      </c>
      <c r="P526" s="15">
        <f>O526/1.19</f>
        <v/>
      </c>
      <c r="Q526" s="15">
        <f>O526-P526</f>
        <v/>
      </c>
      <c r="R526" s="15">
        <f>O526*0.15</f>
        <v/>
      </c>
      <c r="S526" s="15" t="n">
        <v>9.56</v>
      </c>
      <c r="T526" s="15">
        <f>S526*0.2</f>
        <v/>
      </c>
      <c r="U526" s="15" t="n">
        <v>0.400000000000002</v>
      </c>
      <c r="V526" s="15" t="n">
        <v>2.7</v>
      </c>
      <c r="W526" s="15">
        <f>V526*0.2</f>
        <v/>
      </c>
      <c r="X526" s="21">
        <f>O526-Q526-R526-S526-U526-V526+T526+W526</f>
        <v/>
      </c>
      <c r="Y526" s="14" t="n"/>
      <c r="Z526" s="15">
        <f>O526+1.5</f>
        <v/>
      </c>
      <c r="AA526" s="15" t="n">
        <v>8.09</v>
      </c>
      <c r="AB526" s="15" t="n">
        <v>1628953</v>
      </c>
      <c r="AC526" s="14" t="n"/>
      <c r="AD526" s="14" t="n"/>
      <c r="AE526" s="13" t="inlineStr">
        <is>
          <t>NOT_UPLOADED</t>
        </is>
      </c>
    </row>
    <row r="527" ht="16" customHeight="1">
      <c r="A527" s="17" t="n">
        <v>3600522862499</v>
      </c>
      <c r="B527" s="17" t="n">
        <v>3600522862499</v>
      </c>
      <c r="C527" s="20" t="inlineStr">
        <is>
          <t>PACK X 2</t>
        </is>
      </c>
      <c r="D527" s="18" t="n"/>
      <c r="E527" s="18" t="inlineStr">
        <is>
          <t>FOR-3600522862499</t>
        </is>
      </c>
      <c r="F527" s="17" t="inlineStr">
        <is>
          <t>L5007</t>
        </is>
      </c>
      <c r="G527" s="18" t="inlineStr">
        <is>
          <t>Fortuna</t>
        </is>
      </c>
      <c r="H527" s="18" t="inlineStr">
        <is>
          <t>Loreal</t>
        </is>
      </c>
      <c r="I527" s="18" t="inlineStr">
        <is>
          <t>2 x L'Oreal Paris New True Match Foundation 30 ml - 3R/3C Rose Beige</t>
        </is>
      </c>
      <c r="J527" s="18" t="inlineStr">
        <is>
          <t>No</t>
        </is>
      </c>
      <c r="K527" s="18" t="inlineStr">
        <is>
          <t>https://www.amazon.de/-/en/LOreal-Paris-True-Match-Foundation/dp/B01HOXPL2C/ref=sr_1_6?crid=1ERSWUSUE14XF&amp;dib=eyJ2IjoiMSJ9.U3eF_yy0REHorHF_wZocEOn2pGQWgqgZ7j3wC1MemrXXC_EqQLtXg3UsCHALg-60xAmtJQL00W6MbmKqgwqeSq2SP1sDdPGIf_1WSuLbTjIPN0rALZwvz3Ta1rn6qhby7FAYXhCGhdI79xSqAFhMtORXSCHdt1hTXTJ7Q_I77wej4K5V6wtZaYYDJkBs1-gzdktK6-UEiwS-DvCFEoW_fu2dyDuVbUw4nnLHMXIAwluQSewc_NvYGBN2BIFI4GlgsG2Pp9araDbGw6_bg7KdfX_ic7tcTZO0hJJNaY0dQz4.bY0fe9ds83K-dUFqJHXcXGjuqCPWuvrdWGX6XReuxTo&amp;dib_tag=se&amp;keywords=loreal+FDT+TRUE+MATCH+3R%2F3CRose+Beige&amp;qid=1754311114&amp;s=beauty&amp;sprefix=loreal+fdt+true+match+2r%2F2c%2Cbeauty%2C863&amp;sr=1-6</t>
        </is>
      </c>
      <c r="L527" s="18" t="inlineStr">
        <is>
          <t>B01HOXPL2C</t>
        </is>
      </c>
      <c r="M527" s="19" t="n">
        <v>36.4</v>
      </c>
      <c r="N527" s="19" t="n"/>
      <c r="O527" s="19" t="n">
        <v>36</v>
      </c>
      <c r="P527" s="19">
        <f>O527/1.19</f>
        <v/>
      </c>
      <c r="Q527" s="19">
        <f>O527-P527</f>
        <v/>
      </c>
      <c r="R527" s="19">
        <f>O527*0.15</f>
        <v/>
      </c>
      <c r="S527" s="19" t="n">
        <v>19.12</v>
      </c>
      <c r="T527" s="19">
        <f>S527*0.2</f>
        <v/>
      </c>
      <c r="U527" s="19" t="n">
        <v>0.400000000000002</v>
      </c>
      <c r="V527" s="19" t="n">
        <v>3.5</v>
      </c>
      <c r="W527" s="19">
        <f>V527*0.2</f>
        <v/>
      </c>
      <c r="X527" s="21">
        <f>O527-Q527-R527-S527-U527-V527+T527+W527</f>
        <v/>
      </c>
      <c r="Y527" s="18" t="n"/>
      <c r="Z527" s="19">
        <f>O527+1.5</f>
        <v/>
      </c>
      <c r="AA527" s="19" t="n"/>
      <c r="AB527" s="19" t="n"/>
      <c r="AC527" s="18" t="n"/>
      <c r="AD527" s="18" t="n"/>
      <c r="AE527" s="13" t="inlineStr">
        <is>
          <t>NOT_UPLOADED</t>
        </is>
      </c>
    </row>
    <row r="528" ht="16" customHeight="1">
      <c r="A528" s="12" t="n">
        <v>3600522862437</v>
      </c>
      <c r="B528" s="12" t="n">
        <v>3600522862437</v>
      </c>
      <c r="C528" s="13" t="n"/>
      <c r="D528" s="14" t="n"/>
      <c r="E528" s="14" t="inlineStr">
        <is>
          <t>FOR-3600522862437</t>
        </is>
      </c>
      <c r="F528" s="12" t="inlineStr">
        <is>
          <t>L5008</t>
        </is>
      </c>
      <c r="G528" s="14" t="inlineStr">
        <is>
          <t>Fortuna</t>
        </is>
      </c>
      <c r="H528" s="14" t="inlineStr">
        <is>
          <t>Loreal</t>
        </is>
      </c>
      <c r="I528" s="14" t="inlineStr">
        <is>
          <t>L'Oréal Paris True Match Foundation in shade miel/honey 6N, 30 ml</t>
        </is>
      </c>
      <c r="J528" s="14" t="inlineStr">
        <is>
          <t>No</t>
        </is>
      </c>
      <c r="K528" s="14" t="inlineStr">
        <is>
          <t>https://www.amazon.de/-/en/LOr%C3%A9al-Paris-Match-Foundation-shade/dp/B0193XMDCW/ref=sr_1_1?dib=eyJ2IjoiMSJ9.6GNWBA2bNv_5ge5_tU6lo_gyr8xEmsRO2YwH9K_SOIPJKj2NVjRabma-m1Nuo1T1krA7FO5_o3ygObxp0dtxVA.1U3287jNBP2gTwxF-L7_J7g1E1DKI8CcUvYeX2gTNS4&amp;dib_tag=se&amp;keywords=3600522862437&amp;qid=1754311727&amp;s=beauty&amp;sr=1-1&amp;th=1</t>
        </is>
      </c>
      <c r="L528" s="14" t="inlineStr">
        <is>
          <t>B0193XMDCW</t>
        </is>
      </c>
      <c r="M528" s="15" t="n">
        <v>20.69</v>
      </c>
      <c r="N528" s="15" t="n"/>
      <c r="O528" s="15" t="n">
        <v>19.9</v>
      </c>
      <c r="P528" s="15">
        <f>O528/1.19</f>
        <v/>
      </c>
      <c r="Q528" s="15">
        <f>O528-P528</f>
        <v/>
      </c>
      <c r="R528" s="15">
        <f>O528*0.15</f>
        <v/>
      </c>
      <c r="S528" s="15" t="n">
        <v>9.56</v>
      </c>
      <c r="T528" s="15">
        <f>S528*0.2</f>
        <v/>
      </c>
      <c r="U528" s="15" t="n">
        <v>0.400000000000002</v>
      </c>
      <c r="V528" s="15" t="n">
        <v>2.4</v>
      </c>
      <c r="W528" s="15">
        <f>V528*0.2</f>
        <v/>
      </c>
      <c r="X528" s="21">
        <f>O528-Q528-R528-S528-U528-V528+T528+W528</f>
        <v/>
      </c>
      <c r="Y528" s="14" t="n"/>
      <c r="Z528" s="15">
        <f>O528+1.5</f>
        <v/>
      </c>
      <c r="AA528" s="15" t="n"/>
      <c r="AB528" s="15" t="n"/>
      <c r="AC528" s="14" t="n"/>
      <c r="AD528" s="14" t="n"/>
      <c r="AE528" s="13" t="inlineStr">
        <is>
          <t>NOT_UPLOADED</t>
        </is>
      </c>
    </row>
    <row r="529" ht="16" customHeight="1">
      <c r="A529" s="17" t="n">
        <v>3600522862437</v>
      </c>
      <c r="B529" s="17" t="n">
        <v>3600522862437</v>
      </c>
      <c r="C529" s="20" t="inlineStr">
        <is>
          <t>PACK X 2</t>
        </is>
      </c>
      <c r="D529" s="18" t="n"/>
      <c r="E529" s="18" t="inlineStr">
        <is>
          <t>FORT-3600522862437</t>
        </is>
      </c>
      <c r="F529" s="17" t="inlineStr">
        <is>
          <t>L5008</t>
        </is>
      </c>
      <c r="G529" s="18" t="inlineStr">
        <is>
          <t>Fortuna</t>
        </is>
      </c>
      <c r="H529" s="18" t="inlineStr">
        <is>
          <t>Loreal</t>
        </is>
      </c>
      <c r="I529" s="18" t="inlineStr">
        <is>
          <t>2 x L'Oreal Paris New True Match Foundation 30ml - 6.N Honey</t>
        </is>
      </c>
      <c r="J529" s="18" t="inlineStr">
        <is>
          <t>No</t>
        </is>
      </c>
      <c r="K529" s="18" t="inlineStr">
        <is>
          <t>https://www.amazon.de/-/en/LOreal-Paris-True-Match-Foundation/dp/B01HOXPGGS/ref=sr_1_5?dib=eyJ2IjoiMSJ9.6GNWBA2bNv_5ge5_tU6lo_gyr8xEmsRO2YwH9K_SOIOwU1VISsO_kCGT3Ys48ZY26BdPWJKdDmMs2uzb9ClUgw.afORZUkm_kPV6UpqzSQgFlsNmpM7U35AEpP2gdzLOUc&amp;dib_tag=se&amp;keywords=3600522862437&amp;qid=1754312025&amp;s=beauty&amp;sr=1-5</t>
        </is>
      </c>
      <c r="L529" s="18" t="inlineStr">
        <is>
          <t>B01HOXPGGS</t>
        </is>
      </c>
      <c r="M529" s="19" t="n">
        <v>37.4</v>
      </c>
      <c r="N529" s="19" t="n"/>
      <c r="O529" s="19" t="n">
        <v>36</v>
      </c>
      <c r="P529" s="19">
        <f>O529/1.19</f>
        <v/>
      </c>
      <c r="Q529" s="19">
        <f>O529-P529</f>
        <v/>
      </c>
      <c r="R529" s="19">
        <f>O529*0.15</f>
        <v/>
      </c>
      <c r="S529" s="19" t="n">
        <v>19.12</v>
      </c>
      <c r="T529" s="19">
        <f>S529*0.2</f>
        <v/>
      </c>
      <c r="U529" s="19" t="n">
        <v>0.400000000000002</v>
      </c>
      <c r="V529" s="19" t="n">
        <v>3.5</v>
      </c>
      <c r="W529" s="19">
        <f>V529*0.2</f>
        <v/>
      </c>
      <c r="X529" s="21">
        <f>O529-Q529-R529-S529-U529-V529+T529+W529</f>
        <v/>
      </c>
      <c r="Y529" s="18" t="n"/>
      <c r="Z529" s="19">
        <f>O529+1.5</f>
        <v/>
      </c>
      <c r="AA529" s="19" t="n"/>
      <c r="AB529" s="19" t="n"/>
      <c r="AC529" s="18" t="n"/>
      <c r="AD529" s="18" t="n"/>
      <c r="AE529" s="13" t="inlineStr">
        <is>
          <t>NOT_UPLOADED</t>
        </is>
      </c>
    </row>
    <row r="530" ht="16" customHeight="1">
      <c r="A530" s="12" t="n"/>
      <c r="B530" s="12" t="n">
        <v>3600522862437</v>
      </c>
      <c r="C530" s="20" t="inlineStr">
        <is>
          <t>PACK X 3</t>
        </is>
      </c>
      <c r="D530" s="14" t="n"/>
      <c r="E530" s="14" t="inlineStr">
        <is>
          <t>APPROVAL NEEDED</t>
        </is>
      </c>
      <c r="F530" s="12" t="inlineStr">
        <is>
          <t>L5008</t>
        </is>
      </c>
      <c r="G530" s="14" t="inlineStr">
        <is>
          <t>Fortuna</t>
        </is>
      </c>
      <c r="H530" s="14" t="inlineStr">
        <is>
          <t>Loreal</t>
        </is>
      </c>
      <c r="I530" s="14" t="inlineStr">
        <is>
          <t>3 x L'Oreal Paris New True Match Foundation 30 ml - 6N Honey</t>
        </is>
      </c>
      <c r="J530" s="14" t="inlineStr">
        <is>
          <t>No</t>
        </is>
      </c>
      <c r="K530" s="14" t="inlineStr">
        <is>
          <t>https://www.amazon.de/-/en/LOreal-Paris-True-Match-Foundation/dp/B01HOXPH9Y/ref=sr_1_4?dib=eyJ2IjoiMSJ9.6GNWBA2bNv_5ge5_tU6lo_gyr8xEmsRO2YwH9K_SOIOwU1VISsO_kCGT3Ys48ZY26BdPWJKdDmMs2uzb9ClUgw.afORZUkm_kPV6UpqzSQgFlsNmpM7U35AEpP2gdzLOUc&amp;dib_tag=se&amp;keywords=3600522862437&amp;qid=1754312025&amp;s=beauty&amp;sr=1-4</t>
        </is>
      </c>
      <c r="L530" s="14" t="inlineStr">
        <is>
          <t>B01HOXPH9Y</t>
        </is>
      </c>
      <c r="M530" s="15" t="n">
        <v>53.5</v>
      </c>
      <c r="N530" s="15" t="n"/>
      <c r="O530" s="15" t="n">
        <v>53</v>
      </c>
      <c r="P530" s="15">
        <f>O530/1.19</f>
        <v/>
      </c>
      <c r="Q530" s="15">
        <f>O530-P530</f>
        <v/>
      </c>
      <c r="R530" s="15">
        <f>O530*0.15</f>
        <v/>
      </c>
      <c r="S530" s="15" t="n">
        <v>28.68</v>
      </c>
      <c r="T530" s="15">
        <f>S530*0.2</f>
        <v/>
      </c>
      <c r="U530" s="15" t="n">
        <v>0.400000000000002</v>
      </c>
      <c r="V530" s="15" t="n">
        <v>4.5</v>
      </c>
      <c r="W530" s="15">
        <f>V530*0.2</f>
        <v/>
      </c>
      <c r="X530" s="21">
        <f>O530-Q530-R530-S530-U530-V530+T530+W530</f>
        <v/>
      </c>
      <c r="Y530" s="14" t="n"/>
      <c r="Z530" s="15">
        <f>O530+1.5</f>
        <v/>
      </c>
      <c r="AA530" s="15" t="n"/>
      <c r="AB530" s="15" t="n"/>
      <c r="AC530" s="14" t="n"/>
      <c r="AD530" s="14" t="n"/>
      <c r="AE530" s="13" t="inlineStr">
        <is>
          <t>NOT_UPLOADED</t>
        </is>
      </c>
    </row>
    <row r="531" ht="16" customHeight="1">
      <c r="A531" s="17" t="n">
        <v>848719060775</v>
      </c>
      <c r="B531" s="17" t="n">
        <v>3600522862437</v>
      </c>
      <c r="C531" s="13" t="n"/>
      <c r="D531" s="18" t="n"/>
      <c r="E531" s="18" t="inlineStr">
        <is>
          <t>FOR-848719060775</t>
        </is>
      </c>
      <c r="F531" s="17" t="inlineStr">
        <is>
          <t>L5008</t>
        </is>
      </c>
      <c r="G531" s="18" t="inlineStr">
        <is>
          <t>Fortuna</t>
        </is>
      </c>
      <c r="H531" s="18" t="inlineStr">
        <is>
          <t>Loreal</t>
        </is>
      </c>
      <c r="I531" s="18" t="inlineStr">
        <is>
          <t>L'Oreal Paris New True Match Foundation 30 ml - 6.N Honey</t>
        </is>
      </c>
      <c r="J531" s="18" t="inlineStr">
        <is>
          <t>No</t>
        </is>
      </c>
      <c r="K531" s="18" t="inlineStr">
        <is>
          <t>https://www.amazon.de/-/en/LOreal-Paris-True-Match-Foundation/dp/B012S134FG/ref=sr_1_2?dib=eyJ2IjoiMSJ9.6GNWBA2bNv_5ge5_tU6lo_gyr8xEmsRO2YwH9K_SOIOwU1VISsO_kCGT3Ys48ZY26BdPWJKdDmMs2uzb9ClUgw.afORZUkm_kPV6UpqzSQgFlsNmpM7U35AEpP2gdzLOUc&amp;dib_tag=se&amp;keywords=3600522862437&amp;qid=1754312025&amp;s=beauty&amp;sr=1-2&amp;th=1</t>
        </is>
      </c>
      <c r="L531" s="18" t="inlineStr">
        <is>
          <t>B012S134FG</t>
        </is>
      </c>
      <c r="M531" s="19" t="n">
        <v>19</v>
      </c>
      <c r="N531" s="19" t="n"/>
      <c r="O531" s="19" t="n">
        <v>18.8</v>
      </c>
      <c r="P531" s="19">
        <f>O531/1.19</f>
        <v/>
      </c>
      <c r="Q531" s="19">
        <f>O531-P531</f>
        <v/>
      </c>
      <c r="R531" s="19">
        <f>O531*0.15</f>
        <v/>
      </c>
      <c r="S531" s="19" t="n">
        <v>9.56</v>
      </c>
      <c r="T531" s="19">
        <f>S531*0.2</f>
        <v/>
      </c>
      <c r="U531" s="19" t="n">
        <v>0.400000000000002</v>
      </c>
      <c r="V531" s="19" t="n">
        <v>2.4</v>
      </c>
      <c r="W531" s="19">
        <f>V531*0.2</f>
        <v/>
      </c>
      <c r="X531" s="21">
        <f>O531-Q531-R531-S531-U531-V531+T531+W531</f>
        <v/>
      </c>
      <c r="Y531" s="18" t="n"/>
      <c r="Z531" s="19">
        <f>O531+1.5</f>
        <v/>
      </c>
      <c r="AA531" s="19" t="n"/>
      <c r="AB531" s="19" t="n"/>
      <c r="AC531" s="18" t="n"/>
      <c r="AD531" s="18" t="n"/>
      <c r="AE531" s="13" t="inlineStr">
        <is>
          <t>NOT_UPLOADED</t>
        </is>
      </c>
    </row>
    <row r="532" ht="16" customHeight="1">
      <c r="A532" s="12" t="n">
        <v>3600522862383</v>
      </c>
      <c r="B532" s="12" t="n">
        <v>3600522862437</v>
      </c>
      <c r="C532" s="13" t="n"/>
      <c r="D532" s="14" t="n"/>
      <c r="E532" s="14" t="inlineStr">
        <is>
          <t>FOR-36005228623833</t>
        </is>
      </c>
      <c r="F532" s="12" t="inlineStr">
        <is>
          <t>L5008</t>
        </is>
      </c>
      <c r="G532" s="14" t="inlineStr">
        <is>
          <t>Fortuna</t>
        </is>
      </c>
      <c r="H532" s="14" t="inlineStr">
        <is>
          <t>Loreal</t>
        </is>
      </c>
      <c r="I532" s="14" t="inlineStr">
        <is>
          <t>L'oreal Paris For Women</t>
        </is>
      </c>
      <c r="J532" s="14" t="inlineStr">
        <is>
          <t>No</t>
        </is>
      </c>
      <c r="K532" s="14" t="inlineStr">
        <is>
          <t>https://www.amazon.de/LOr%C3%A9al-Paris-Loreal-For-Women/dp/B07C77M2CN/ref=sr_1_3?__mk_de_DE=%C3%85M%C3%85%C5%BD%C3%95%C3%91&amp;crid=2PDEL68ENSYLK&amp;dib=eyJ2IjoiMSJ9.84dJNY0ZukAYdFHFQmtFytPtiWQHc1YWGbYjKfcKQkvGjHj071QN20LucGBJIEps.fE92NH2XvXbSpszExZ2PF4l0IamBWEwBXqPib62-OUk&amp;dib_tag=se&amp;keywords=3600522862383&amp;qid=1760551286&amp;s=beauty&amp;sprefix=3600522862383%2Cbeauty%2C141&amp;sr=1-3</t>
        </is>
      </c>
      <c r="L532" s="14" t="inlineStr">
        <is>
          <t>B07C77M2CN</t>
        </is>
      </c>
      <c r="M532" s="15" t="n"/>
      <c r="N532" s="15" t="n"/>
      <c r="O532" s="15" t="n">
        <v>20</v>
      </c>
      <c r="P532" s="15">
        <f>O532/1.19</f>
        <v/>
      </c>
      <c r="Q532" s="15">
        <f>O532-P532</f>
        <v/>
      </c>
      <c r="R532" s="15">
        <f>O532*0.15</f>
        <v/>
      </c>
      <c r="S532" s="15" t="n">
        <v>9.56</v>
      </c>
      <c r="T532" s="15">
        <f>S532*0.2</f>
        <v/>
      </c>
      <c r="U532" s="15" t="n">
        <v>0.400000000000002</v>
      </c>
      <c r="V532" s="15" t="n">
        <v>2.4</v>
      </c>
      <c r="W532" s="15">
        <f>V532*0.2</f>
        <v/>
      </c>
      <c r="X532" s="21">
        <f>O532-Q532-R532-S532-U532-V532+T532+W532</f>
        <v/>
      </c>
      <c r="Y532" s="14" t="n"/>
      <c r="Z532" s="15">
        <f>O532+1.5</f>
        <v/>
      </c>
      <c r="AA532" s="15" t="n"/>
      <c r="AB532" s="15" t="n"/>
      <c r="AC532" s="14" t="n"/>
      <c r="AD532" s="14" t="n"/>
      <c r="AE532" s="13" t="inlineStr">
        <is>
          <t>NOT_UPLOADED</t>
        </is>
      </c>
    </row>
    <row r="533" ht="16" customHeight="1">
      <c r="A533" s="17" t="n">
        <v>3600520457826</v>
      </c>
      <c r="B533" s="17" t="n">
        <v>3600522862543</v>
      </c>
      <c r="C533" s="13" t="n"/>
      <c r="D533" s="18" t="n"/>
      <c r="E533" s="18" t="inlineStr">
        <is>
          <t>FOR-3600520457826</t>
        </is>
      </c>
      <c r="F533" s="17" t="inlineStr">
        <is>
          <t>L5009</t>
        </is>
      </c>
      <c r="G533" s="18" t="inlineStr">
        <is>
          <t>Fortuna</t>
        </is>
      </c>
      <c r="H533" s="18" t="inlineStr">
        <is>
          <t>Loreal</t>
        </is>
      </c>
      <c r="I533" s="18" t="inlineStr">
        <is>
          <t>L'Oréal Paris Make up, liquid foundation with hyaluronic and aloe vera, true match make-up, 3.D/3.W, warm light, medium</t>
        </is>
      </c>
      <c r="J533" s="18" t="inlineStr">
        <is>
          <t>No</t>
        </is>
      </c>
      <c r="K533" s="18" t="inlineStr">
        <is>
          <t>https://www.amazon.de/-/en/LOr%C3%A9al-liquid-foundation-hyaluronic-make-up/dp/B01ECE6VCK/ref=sr_1_1?crid=1J7XMRWJ1P2CH&amp;dib=eyJ2IjoiMSJ9.Q6TdXxr3_P9YJN_3nDrGYQKUJRvby8CrdbjB-EEnS9PGjHj071QN20LucGBJIEps.89yhFiEYbVdtZvswLK2nzMdit3K2kaB31poQDXJ0Zok&amp;dib_tag=se&amp;keywords=3600522862543&amp;qid=1754312441&amp;s=beauty&amp;sprefix=3600522862543%2Cbeauty%2C260&amp;sr=1-1&amp;th=1</t>
        </is>
      </c>
      <c r="L533" s="18" t="inlineStr">
        <is>
          <t>B01ECE6VCK</t>
        </is>
      </c>
      <c r="M533" s="19" t="n">
        <v>19</v>
      </c>
      <c r="N533" s="19" t="n"/>
      <c r="O533" s="19" t="n">
        <v>18.8</v>
      </c>
      <c r="P533" s="19">
        <f>O533/1.19</f>
        <v/>
      </c>
      <c r="Q533" s="19">
        <f>O533-P533</f>
        <v/>
      </c>
      <c r="R533" s="19">
        <f>O533*0.15</f>
        <v/>
      </c>
      <c r="S533" s="19" t="n">
        <v>9.56</v>
      </c>
      <c r="T533" s="19">
        <f>S533*0.2</f>
        <v/>
      </c>
      <c r="U533" s="19" t="n">
        <v>0.400000000000002</v>
      </c>
      <c r="V533" s="19" t="n">
        <v>2.4</v>
      </c>
      <c r="W533" s="19">
        <f>V533*0.2</f>
        <v/>
      </c>
      <c r="X533" s="21">
        <f>O533-Q533-R533-S533-U533-V533+T533+W533</f>
        <v/>
      </c>
      <c r="Y533" s="18" t="n"/>
      <c r="Z533" s="19">
        <f>O533+1.5</f>
        <v/>
      </c>
      <c r="AA533" s="19" t="n"/>
      <c r="AB533" s="19" t="n"/>
      <c r="AC533" s="18" t="n"/>
      <c r="AD533" s="18" t="n"/>
      <c r="AE533" s="13" t="inlineStr">
        <is>
          <t>NOT_UPLOADED</t>
        </is>
      </c>
    </row>
    <row r="534" ht="16" customHeight="1">
      <c r="A534" s="12" t="n">
        <v>3600522862567</v>
      </c>
      <c r="B534" s="12" t="n">
        <v>3600522862567</v>
      </c>
      <c r="C534" s="13" t="n"/>
      <c r="D534" s="14" t="n"/>
      <c r="E534" s="14" t="inlineStr">
        <is>
          <t>FOR-36005228625673</t>
        </is>
      </c>
      <c r="F534" s="12" t="inlineStr">
        <is>
          <t>L5010</t>
        </is>
      </c>
      <c r="G534" s="14" t="inlineStr">
        <is>
          <t>Fortuna</t>
        </is>
      </c>
      <c r="H534" s="14" t="inlineStr">
        <is>
          <t>Loreal</t>
        </is>
      </c>
      <c r="I534" s="14" t="inlineStr">
        <is>
          <t>L'Oreal Paris True Match Foundation 30ml - Golden Sand (D5/W5)</t>
        </is>
      </c>
      <c r="J534" s="14" t="inlineStr">
        <is>
          <t>No</t>
        </is>
      </c>
      <c r="K534" s="14" t="inlineStr">
        <is>
          <t>https://www.amazon.de/-/en/LOreal-Paris-True-Match-Foundation/dp/B0160BR1XG/ref=sr_1_1?crid=3CKDFM1IUV4QO&amp;dib=eyJ2IjoiMSJ9.OViQADcR9y_yvCpUOa5T3frHHxOZJQWpVg2LAli2Jx5kEotKHnL0yBCgnHPipvZwGFHbVgMbpYzgMRKAfN9lckgbd2qZFbRg96qraWGbpAoHy8srbHazOYZNWZC08IE8HcAZi8vkg3FHpcr-lZEzyO2Sp_SYAiJb6UpvOHoXLYva5A1vQpr1BjW2tlXRRIewukqHdQIyxiCV9xfLTqvfcWoyxxFNaT3253OtUXbKKPdl3Bt5xLt-TCaMnOK5d2hESaKRVoGr-1TB6LYnHqypqcjhYSV9DiP-rY8nKfusKEo.jynldRKEBTgBUJQ4iOhRZ7q2YDU-coyME9qd_6lDnFA&amp;dib_tag=se&amp;keywords=loreal%2BFDT%2BTRUE%2BMATCH%2B5D%2F5W%2BGolden%2BSand&amp;qid=1754313335&amp;s=beauty&amp;sprefix=loreal%2Bfdt%2Btrue%2Bmatch%2B5d%2F5w%2Bgolden%2Bsand%2Cbeauty%2C200&amp;sr=1-1&amp;th=1</t>
        </is>
      </c>
      <c r="L534" s="14" t="inlineStr">
        <is>
          <t>B0160BR1XG</t>
        </is>
      </c>
      <c r="M534" s="15" t="n">
        <v>19</v>
      </c>
      <c r="N534" s="15" t="n"/>
      <c r="O534" s="15" t="n">
        <v>18.8</v>
      </c>
      <c r="P534" s="15">
        <f>O534/1.19</f>
        <v/>
      </c>
      <c r="Q534" s="15">
        <f>O534-P534</f>
        <v/>
      </c>
      <c r="R534" s="15">
        <f>O534*0.15</f>
        <v/>
      </c>
      <c r="S534" s="15" t="n">
        <v>9.56</v>
      </c>
      <c r="T534" s="15">
        <f>S534*0.2</f>
        <v/>
      </c>
      <c r="U534" s="15" t="n">
        <v>0.400000000000002</v>
      </c>
      <c r="V534" s="15" t="n">
        <v>2.4</v>
      </c>
      <c r="W534" s="15">
        <f>V534*0.2</f>
        <v/>
      </c>
      <c r="X534" s="21">
        <f>O534-Q534-R534-S534-U534-V534+T534+W534</f>
        <v/>
      </c>
      <c r="Y534" s="14" t="n"/>
      <c r="Z534" s="15">
        <f>O534+1.5</f>
        <v/>
      </c>
      <c r="AA534" s="15" t="n"/>
      <c r="AB534" s="15" t="n"/>
      <c r="AC534" s="14" t="n"/>
      <c r="AD534" s="14" t="n"/>
      <c r="AE534" s="13" t="inlineStr">
        <is>
          <t>NOT_UPLOADED</t>
        </is>
      </c>
    </row>
    <row r="535" ht="16" customHeight="1">
      <c r="A535" s="17" t="n">
        <v>3600522862567</v>
      </c>
      <c r="B535" s="17" t="n">
        <v>3600522862567</v>
      </c>
      <c r="C535" s="20" t="inlineStr">
        <is>
          <t>PACK X 2</t>
        </is>
      </c>
      <c r="D535" s="18" t="n"/>
      <c r="E535" s="18" t="inlineStr">
        <is>
          <t>FOR-3600522862567</t>
        </is>
      </c>
      <c r="F535" s="17" t="inlineStr">
        <is>
          <t>L5010</t>
        </is>
      </c>
      <c r="G535" s="18" t="inlineStr">
        <is>
          <t>Fortuna</t>
        </is>
      </c>
      <c r="H535" s="18" t="inlineStr">
        <is>
          <t>Loreal</t>
        </is>
      </c>
      <c r="I535" s="18" t="inlineStr">
        <is>
          <t>2 x L 'Oreal Paris True Match Foundation 30ml 5D/5 W Golden Sand</t>
        </is>
      </c>
      <c r="J535" s="18" t="inlineStr">
        <is>
          <t>No</t>
        </is>
      </c>
      <c r="K535" s="18" t="inlineStr">
        <is>
          <t>https://www.amazon.de/-/en/Oreal-Paris-Match-Foundation-Golden/dp/B01HOXPK96/ref=sr_1_3?crid=3CKDFM1IUV4QO&amp;dib=eyJ2IjoiMSJ9.OViQADcR9y_yvCpUOa5T3frHHxOZJQWpVg2LAli2Jx5kEotKHnL0yBCgnHPipvZwGFHbVgMbpYzgMRKAfN9lckgbd2qZFbRg96qraWGbpAoHy8srbHazOYZNWZC08IE8HcAZi8vkg3FHpcr-lZEzyO2Sp_SYAiJb6UpvOHoXLYva5A1vQpr1BjW2tlXRRIewukqHdQIyxiCV9xfLTqvfcWoyxxFNaT3253OtUXbKKPd7ZMyf9x1OjQ23Deux30f2m-qE1AT3E04on1YTBc6YxcjhYSV9DiP-rY8nKfusKEo.O1xZ_b282keUaofVkMqSb6bBPSxZMtr02tm0EzCxyOw&amp;dib_tag=se&amp;keywords=loreal%2BFDT%2BTRUE%2BMATCH%2B5D%2F5W%2BGolden%2BSand&amp;qid=1754313730&amp;s=beauty&amp;sprefix=loreal%2Bfdt%2Btrue%2Bmatch%2B5d%2F5w%2Bgolden%2Bsand%2Cbeauty%2C200&amp;sr=1-3&amp;th=1</t>
        </is>
      </c>
      <c r="L535" s="18" t="inlineStr">
        <is>
          <t>B01HOXPK96</t>
        </is>
      </c>
      <c r="M535" s="19" t="n">
        <v>36.76</v>
      </c>
      <c r="N535" s="19" t="n"/>
      <c r="O535" s="19" t="n">
        <v>35.9</v>
      </c>
      <c r="P535" s="19">
        <f>O535/1.19</f>
        <v/>
      </c>
      <c r="Q535" s="19">
        <f>O535-P535</f>
        <v/>
      </c>
      <c r="R535" s="19">
        <f>O535*0.15</f>
        <v/>
      </c>
      <c r="S535" s="19" t="n">
        <v>19.12</v>
      </c>
      <c r="T535" s="19">
        <f>S535*0.2</f>
        <v/>
      </c>
      <c r="U535" s="19" t="n">
        <v>0.400000000000002</v>
      </c>
      <c r="V535" s="19" t="n">
        <v>3.5</v>
      </c>
      <c r="W535" s="19">
        <f>V535*0.2</f>
        <v/>
      </c>
      <c r="X535" s="21">
        <f>O535-Q535-R535-S535-U535-V535+T535+W535</f>
        <v/>
      </c>
      <c r="Y535" s="18" t="n"/>
      <c r="Z535" s="19">
        <f>O535+1.5</f>
        <v/>
      </c>
      <c r="AA535" s="19" t="n"/>
      <c r="AB535" s="19" t="n"/>
      <c r="AC535" s="18" t="n"/>
      <c r="AD535" s="18" t="n"/>
      <c r="AE535" s="13" t="inlineStr">
        <is>
          <t>NOT_UPLOADED</t>
        </is>
      </c>
    </row>
    <row r="536" ht="16" customHeight="1">
      <c r="A536" s="12" t="n">
        <v>3600522862567</v>
      </c>
      <c r="B536" s="12" t="n">
        <v>3600522862567</v>
      </c>
      <c r="C536" s="20" t="inlineStr">
        <is>
          <t>PACK X 3</t>
        </is>
      </c>
      <c r="D536" s="14" t="n"/>
      <c r="E536" s="14" t="inlineStr">
        <is>
          <t>FORT-3600522862567</t>
        </is>
      </c>
      <c r="F536" s="12" t="inlineStr">
        <is>
          <t>L5010</t>
        </is>
      </c>
      <c r="G536" s="14" t="inlineStr">
        <is>
          <t>Fortuna</t>
        </is>
      </c>
      <c r="H536" s="14" t="inlineStr">
        <is>
          <t>Loreal</t>
        </is>
      </c>
      <c r="I536" s="14" t="inlineStr">
        <is>
          <t>3 x L'Oreal Paris New True Match Foundation 30ml - 5D/5W Golden Sand</t>
        </is>
      </c>
      <c r="J536" s="14" t="inlineStr">
        <is>
          <t>No</t>
        </is>
      </c>
      <c r="K536" s="14" t="inlineStr">
        <is>
          <t>https://www.amazon.de/-/en/LOreal-Paris-True-Match-Foundation/dp/B01HOXPJW4/ref=sr_1_5?crid=3CKDFM1IUV4QO&amp;dib=eyJ2IjoiMSJ9.OViQADcR9y_yvCpUOa5T3frHHxOZJQWpVg2LAli2Jx5kEotKHnL0yBCgnHPipvZwGFHbVgMbpYzgMRKAfN9lckgbd2qZFbRg96qraWGbpAoHy8srbHazOYZNWZC08IE8HcAZi8vkg3FHpcr-lZEzyO2Sp_SYAiJb6UpvOHoXLYva5A1vQpr1BjW2tlXRRIewukqHdQIyxiCV9xfLTqvfcWoyxxFNaT3253OtUXbKKPd7ZMyf9x1OjQ23Deux30f2m-qE1AT3E04on1YTBc6YxcjhYSV9DiP-rY8nKfusKEo.O1xZ_b282keUaofVkMqSb6bBPSxZMtr02tm0EzCxyOw&amp;dib_tag=se&amp;keywords=loreal+FDT+TRUE+MATCH+5D%2F5W+Golden+Sand&amp;qid=1754313730&amp;s=beauty&amp;sprefix=loreal+fdt+true+match+5d%2F5w+golden+sand%2Cbeauty%2C200&amp;sr=1-5</t>
        </is>
      </c>
      <c r="L536" s="14" t="inlineStr">
        <is>
          <t>B01HOXPJW4</t>
        </is>
      </c>
      <c r="M536" s="15" t="n">
        <v>53.59</v>
      </c>
      <c r="N536" s="15" t="n"/>
      <c r="O536" s="15" t="n">
        <v>53.4</v>
      </c>
      <c r="P536" s="15">
        <f>O536/1.19</f>
        <v/>
      </c>
      <c r="Q536" s="15">
        <f>O536-P536</f>
        <v/>
      </c>
      <c r="R536" s="15">
        <f>O536*0.15</f>
        <v/>
      </c>
      <c r="S536" s="15" t="n">
        <v>28.68</v>
      </c>
      <c r="T536" s="15">
        <f>S536*0.2</f>
        <v/>
      </c>
      <c r="U536" s="15" t="n">
        <v>0.400000000000002</v>
      </c>
      <c r="V536" s="15" t="n">
        <v>4.5</v>
      </c>
      <c r="W536" s="15">
        <f>V536*0.2</f>
        <v/>
      </c>
      <c r="X536" s="21">
        <f>O536-Q536-R536-S536-U536-V536+T536+W536</f>
        <v/>
      </c>
      <c r="Y536" s="14" t="n"/>
      <c r="Z536" s="15">
        <f>O536+1.5</f>
        <v/>
      </c>
      <c r="AA536" s="15" t="n"/>
      <c r="AB536" s="15" t="n"/>
      <c r="AC536" s="14" t="n"/>
      <c r="AD536" s="14" t="n"/>
      <c r="AE536" s="13" t="inlineStr">
        <is>
          <t>NOT_UPLOADED</t>
        </is>
      </c>
    </row>
    <row r="537" ht="16" customHeight="1">
      <c r="A537" s="17" t="n">
        <v>3600523636822</v>
      </c>
      <c r="B537" s="17" t="n">
        <v>3600522862567</v>
      </c>
      <c r="C537" s="13" t="n"/>
      <c r="D537" s="18" t="n"/>
      <c r="E537" s="18" t="inlineStr">
        <is>
          <t>FOR-3600523636822</t>
        </is>
      </c>
      <c r="F537" s="17" t="inlineStr">
        <is>
          <t>L5010</t>
        </is>
      </c>
      <c r="G537" s="18" t="inlineStr">
        <is>
          <t>Fortuna</t>
        </is>
      </c>
      <c r="H537" s="18" t="inlineStr">
        <is>
          <t>Loreal</t>
        </is>
      </c>
      <c r="I537" s="18" t="inlineStr">
        <is>
          <t>L'Oréal Paris Make up, Flüssige Foundation mit Hyaluron und Aloe Vera, True Match Make-Up, 2.D/2.W Warm Light</t>
        </is>
      </c>
      <c r="J537" s="18" t="inlineStr">
        <is>
          <t>No</t>
        </is>
      </c>
      <c r="K537" s="18" t="inlineStr">
        <is>
          <t>https://www.amazon.de/LOr%C3%A9al-Paris-Fl%C3%BCssige-Foundation-Hyaluron/dp/B07CT1H74W/ref=sr_1_1?__mk_de_DE=%C3%85M%C3%85%C5%BD%C3%95%C3%91&amp;crid=XZ0BTWJBA2XE&amp;dib=eyJ2IjoiMSJ9.R83_mtJkwjm0rQ393FvFSrgJkWKU_D2_GTL8NwHmtms.D9z6hSPsdWbUP_qUYeV5AlwmLGrMGEingxWDcV8fcZ4&amp;dib_tag=se&amp;keywords=3600523635672&amp;qid=1760549889&amp;rdc=1&amp;s=beauty&amp;sprefix=3600523635672%2Cbeauty%2C96&amp;sr=1-1&amp;th=1</t>
        </is>
      </c>
      <c r="L537" s="18" t="inlineStr">
        <is>
          <t>B07CT1H74W</t>
        </is>
      </c>
      <c r="M537" s="19" t="n"/>
      <c r="N537" s="19" t="n"/>
      <c r="O537" s="19" t="n">
        <v>19.95</v>
      </c>
      <c r="P537" s="19">
        <f>O537/1.19</f>
        <v/>
      </c>
      <c r="Q537" s="19">
        <f>O537-P537</f>
        <v/>
      </c>
      <c r="R537" s="19">
        <f>O537*0.15</f>
        <v/>
      </c>
      <c r="S537" s="19" t="n">
        <v>9.56</v>
      </c>
      <c r="T537" s="19">
        <f>S537*0.2</f>
        <v/>
      </c>
      <c r="U537" s="19" t="n">
        <v>0.400000000000002</v>
      </c>
      <c r="V537" s="19" t="n">
        <v>2.5</v>
      </c>
      <c r="W537" s="19">
        <f>V537*0.2</f>
        <v/>
      </c>
      <c r="X537" s="21">
        <f>O537-Q537-R537-S537-U537-V537+T537+W537</f>
        <v/>
      </c>
      <c r="Y537" s="18" t="n"/>
      <c r="Z537" s="19">
        <f>O537+1.5</f>
        <v/>
      </c>
      <c r="AA537" s="19" t="n">
        <v>8.44</v>
      </c>
      <c r="AB537" s="19" t="n">
        <v>1628942</v>
      </c>
      <c r="AC537" s="18" t="n"/>
      <c r="AD537" s="18" t="n"/>
      <c r="AE537" s="13" t="inlineStr">
        <is>
          <t>NOT_UPLOADED</t>
        </is>
      </c>
    </row>
    <row r="538" ht="16" customHeight="1">
      <c r="A538" s="12" t="n">
        <v>3600522862505</v>
      </c>
      <c r="B538" s="12" t="n">
        <v>3600522862505</v>
      </c>
      <c r="C538" s="13" t="n"/>
      <c r="D538" s="14" t="n"/>
      <c r="E538" s="14" t="inlineStr">
        <is>
          <t>FOR-3600522862505</t>
        </is>
      </c>
      <c r="F538" s="12" t="inlineStr">
        <is>
          <t>L5011</t>
        </is>
      </c>
      <c r="G538" s="14" t="inlineStr">
        <is>
          <t>Fortuna</t>
        </is>
      </c>
      <c r="H538" s="14" t="inlineStr">
        <is>
          <t>Loreal</t>
        </is>
      </c>
      <c r="I538" s="14" t="inlineStr">
        <is>
          <t>L'Oréal Paris Make-up, liquid foundation with hyaluronic and aloe vera, true match make-up, 5.R/5.C cool medium</t>
        </is>
      </c>
      <c r="J538" s="14" t="inlineStr">
        <is>
          <t>No</t>
        </is>
      </c>
      <c r="K538" s="14" t="inlineStr">
        <is>
          <t>https://www.amazon.de/-/en/LOreal-Paris-True-Match-Foundation/dp/B01CQLIVS8/ref=sr_1_1?crid=3PGZ14I30V15B&amp;dib=eyJ2IjoiMSJ9.o4hSLYOaTUi0FrbsaBYLwTWtfwH6H5DmDbfnwFJsVzDk0BOG9ecaZMgF1tyXxZ4K5nmGJAuZ4JVIEEmQcR8MZX36miwE182nGQeo8kHqkkRzN4p6ABFkMBHjCgkMYe1W_opdmkQ6xPD8vhdU8UHB0UHk175ZGiMPXQ6QDe6PdrHpGsM3EQvw6tNWYPMt-BeVHOkpgjNNUyUkT2PQa4gYSU8TosilGzBvyYKnxg-jPwuCUju_o-TcUDLFsmevplFxvSD6XNV3kjAzphZu8jvjBaSazQRGtzbyHpCL_9EEm3U._Auwq7gQseUaJimO85QFstm5EKe7rkKShH2Kttc4MGg&amp;dib_tag=se&amp;keywords=loreal%2BFDT%2BTRUE%2BMATCH%2B5.R%2F5.C%2BRose%2BSand&amp;qid=1754314070&amp;s=beauty&amp;sprefix=loreal%2Bfdt%2Btrue%2Bmatch%2B5.r%2F5.c%2Brose%2Bsand%2Cbeauty%2C319&amp;sr=1-1&amp;th=1</t>
        </is>
      </c>
      <c r="L538" s="14" t="inlineStr">
        <is>
          <t>B01CQLIVS8</t>
        </is>
      </c>
      <c r="M538" s="15" t="n">
        <v>19</v>
      </c>
      <c r="N538" s="15" t="n"/>
      <c r="O538" s="15" t="n">
        <v>18.4</v>
      </c>
      <c r="P538" s="15">
        <f>O538/1.19</f>
        <v/>
      </c>
      <c r="Q538" s="15">
        <f>O538-P538</f>
        <v/>
      </c>
      <c r="R538" s="15">
        <f>O538*0.15</f>
        <v/>
      </c>
      <c r="S538" s="15" t="n">
        <v>9.56</v>
      </c>
      <c r="T538" s="15">
        <f>S538*0.2</f>
        <v/>
      </c>
      <c r="U538" s="15" t="n">
        <v>0.400000000000002</v>
      </c>
      <c r="V538" s="15" t="n">
        <v>2.4</v>
      </c>
      <c r="W538" s="15">
        <f>V538*0.2</f>
        <v/>
      </c>
      <c r="X538" s="21">
        <f>O538-Q538-R538-S538-U538-V538+T538+W538</f>
        <v/>
      </c>
      <c r="Y538" s="14" t="n"/>
      <c r="Z538" s="15">
        <f>O538+1.5</f>
        <v/>
      </c>
      <c r="AA538" s="15" t="n"/>
      <c r="AB538" s="15" t="n"/>
      <c r="AC538" s="14" t="n"/>
      <c r="AD538" s="14" t="n"/>
      <c r="AE538" s="13" t="inlineStr">
        <is>
          <t>NOT_UPLOADED</t>
        </is>
      </c>
    </row>
    <row r="539" ht="16" customHeight="1">
      <c r="A539" s="17" t="n">
        <v>3600522862413</v>
      </c>
      <c r="B539" s="17" t="n">
        <v>3600522862413</v>
      </c>
      <c r="C539" s="13" t="n"/>
      <c r="D539" s="18" t="n"/>
      <c r="E539" s="18" t="inlineStr">
        <is>
          <t>FOR-3600522862413</t>
        </is>
      </c>
      <c r="F539" s="17" t="inlineStr">
        <is>
          <t>L5012</t>
        </is>
      </c>
      <c r="G539" s="18" t="inlineStr">
        <is>
          <t>Fortuna</t>
        </is>
      </c>
      <c r="H539" s="18" t="inlineStr">
        <is>
          <t>Loreal</t>
        </is>
      </c>
      <c r="I539" s="18" t="inlineStr">
        <is>
          <t>L'Oréal Paris True Match Foundation, No. N4 Beige, 30 ml</t>
        </is>
      </c>
      <c r="J539" s="18" t="inlineStr">
        <is>
          <t>No</t>
        </is>
      </c>
      <c r="K539" s="18" t="inlineStr">
        <is>
          <t>https://www.amazon.de/-/en/LOr%C3%A9al-Paris-Match-Foundation-Beige/dp/B015JBF1RQ/ref=sr_1_1?crid=1HXLYNVVJF7I2&amp;dib=eyJ2IjoiMSJ9.y0RcnjOaSY2Nhtgz80o6y4qmGUbdbUBCdF67ThNCCs7GjHj071QN20LucGBJIEps.NTykzAWfAOWaHKrpEmbOUVnd0uJG-i7MBWUSVO2lPaA&amp;dib_tag=se&amp;keywords=3600522862413&amp;qid=1754314475&amp;s=beauty&amp;sprefix=3600522862413%2Cbeauty%2C104&amp;sr=1-1&amp;th=1</t>
        </is>
      </c>
      <c r="L539" s="18" t="inlineStr">
        <is>
          <t>B015JBF1RQ</t>
        </is>
      </c>
      <c r="M539" s="19" t="n">
        <v>19</v>
      </c>
      <c r="N539" s="19" t="n"/>
      <c r="O539" s="19" t="n">
        <v>18.8</v>
      </c>
      <c r="P539" s="19">
        <f>O539/1.19</f>
        <v/>
      </c>
      <c r="Q539" s="19">
        <f>O539-P539</f>
        <v/>
      </c>
      <c r="R539" s="19">
        <f>O539*0.15</f>
        <v/>
      </c>
      <c r="S539" s="19" t="n">
        <v>9.56</v>
      </c>
      <c r="T539" s="19">
        <f>S539*0.2</f>
        <v/>
      </c>
      <c r="U539" s="19" t="n">
        <v>0.400000000000002</v>
      </c>
      <c r="V539" s="19" t="n">
        <v>2.4</v>
      </c>
      <c r="W539" s="19">
        <f>V539*0.2</f>
        <v/>
      </c>
      <c r="X539" s="21">
        <f>O539-Q539-R539-S539-U539-V539+T539+W539</f>
        <v/>
      </c>
      <c r="Y539" s="18" t="n"/>
      <c r="Z539" s="19">
        <f>O539+1.5</f>
        <v/>
      </c>
      <c r="AA539" s="19" t="n"/>
      <c r="AB539" s="19" t="n"/>
      <c r="AC539" s="18" t="n"/>
      <c r="AD539" s="18" t="n"/>
      <c r="AE539" s="13" t="inlineStr">
        <is>
          <t>NOT_UPLOADED</t>
        </is>
      </c>
    </row>
    <row r="540" ht="16" customHeight="1">
      <c r="A540" s="12" t="inlineStr">
        <is>
          <t>FORT-3600522862413</t>
        </is>
      </c>
      <c r="B540" s="12" t="n">
        <v>3600522862413</v>
      </c>
      <c r="C540" s="13" t="n"/>
      <c r="D540" s="14" t="n"/>
      <c r="E540" s="14" t="inlineStr">
        <is>
          <t>FORT-3600522862413</t>
        </is>
      </c>
      <c r="F540" s="12" t="inlineStr">
        <is>
          <t>L5012</t>
        </is>
      </c>
      <c r="G540" s="14" t="inlineStr">
        <is>
          <t>Fortuna</t>
        </is>
      </c>
      <c r="H540" s="14" t="inlineStr">
        <is>
          <t>Loreal</t>
        </is>
      </c>
      <c r="I540" s="14" t="inlineStr">
        <is>
          <t>L'Oreal Paris True Match Liquid Foundation, Skincare Infused with Hyaluronic Acid, SPF 17, Available in 40 Shades, 4N Beige, 30 ml</t>
        </is>
      </c>
      <c r="J540" s="14" t="inlineStr">
        <is>
          <t>No</t>
        </is>
      </c>
      <c r="K540" s="14" t="inlineStr">
        <is>
          <t>https://www.amazon.de/-/en/Foundation-Skincare-Infused-Hyaluronic-Available/dp/B016WOH4E2/ref=sr_1_2?crid=1HXLYNVVJF7I2&amp;dib=eyJ2IjoiMSJ9.y0RcnjOaSY2Nhtgz80o6y4qmGUbdbUBCdF67ThNCCs7GjHj071QN20LucGBJIEps.NTykzAWfAOWaHKrpEmbOUVnd0uJG-i7MBWUSVO2lPaA&amp;dib_tag=se&amp;keywords=3600522862413&amp;qid=1754314580&amp;s=beauty&amp;sprefix=3600522862413%2Cbeauty%2C104&amp;sr=1-2</t>
        </is>
      </c>
      <c r="L540" s="14" t="inlineStr">
        <is>
          <t>B016WOH4E2</t>
        </is>
      </c>
      <c r="M540" s="15" t="n">
        <v>20.74</v>
      </c>
      <c r="N540" s="15" t="n"/>
      <c r="O540" s="15" t="n">
        <v>20.5</v>
      </c>
      <c r="P540" s="15">
        <f>O540/1.19</f>
        <v/>
      </c>
      <c r="Q540" s="15">
        <f>O540-P540</f>
        <v/>
      </c>
      <c r="R540" s="15">
        <f>O540*0.15</f>
        <v/>
      </c>
      <c r="S540" s="15" t="n">
        <v>9.56</v>
      </c>
      <c r="T540" s="15">
        <f>S540*0.2</f>
        <v/>
      </c>
      <c r="U540" s="15" t="n">
        <v>0.400000000000002</v>
      </c>
      <c r="V540" s="15" t="n">
        <v>2.4</v>
      </c>
      <c r="W540" s="15">
        <f>V540*0.2</f>
        <v/>
      </c>
      <c r="X540" s="21">
        <f>O540-Q540-R540-S540-U540-V540+T540+W540</f>
        <v/>
      </c>
      <c r="Y540" s="14" t="n"/>
      <c r="Z540" s="15">
        <f>O540+1.5</f>
        <v/>
      </c>
      <c r="AA540" s="15" t="n"/>
      <c r="AB540" s="15" t="n"/>
      <c r="AC540" s="14" t="n"/>
      <c r="AD540" s="14" t="n"/>
      <c r="AE540" s="13" t="inlineStr">
        <is>
          <t>NOT_UPLOADED</t>
        </is>
      </c>
    </row>
    <row r="541" ht="16" customHeight="1">
      <c r="A541" s="17" t="n">
        <v>3600522862413</v>
      </c>
      <c r="B541" s="17" t="n">
        <v>3600522862413</v>
      </c>
      <c r="C541" s="20" t="inlineStr">
        <is>
          <t>PACK X 2</t>
        </is>
      </c>
      <c r="D541" s="18" t="n"/>
      <c r="E541" s="18" t="inlineStr">
        <is>
          <t>FORTU-3600522862413</t>
        </is>
      </c>
      <c r="F541" s="17" t="inlineStr">
        <is>
          <t>L5012</t>
        </is>
      </c>
      <c r="G541" s="18" t="inlineStr">
        <is>
          <t>Fortuna</t>
        </is>
      </c>
      <c r="H541" s="18" t="inlineStr">
        <is>
          <t>Loreal</t>
        </is>
      </c>
      <c r="I541" s="18" t="inlineStr">
        <is>
          <t>L'Oreal Paris New True Match Foundation, Pack of 2, 30 ml, 4N Beige</t>
        </is>
      </c>
      <c r="J541" s="18" t="inlineStr">
        <is>
          <t>No</t>
        </is>
      </c>
      <c r="K541" s="18" t="inlineStr">
        <is>
          <t>https://www.amazon.de/-/en/LOreal-Paris-Match-Foundation-Beige/dp/B01HOXPFC8/ref=sr_1_1?crid=O69I9YE6A51S&amp;dib=eyJ2IjoiMSJ9.r4VqQyCCvXoWN8AoqdrLNw.vI6Ln524ibjAtDiy6Y6AA0w9v7ndH9c0dox3Z8TwGJY&amp;dib_tag=se&amp;keywords=B01HOXPFC8&amp;qid=1769289877&amp;sprefix=b01hoxpfc8%2Caps%2C118&amp;sr=8-1&amp;th=1</t>
        </is>
      </c>
      <c r="L541" s="18" t="inlineStr">
        <is>
          <t>B01HOXPFC8</t>
        </is>
      </c>
      <c r="M541" s="19" t="n">
        <v>36.7</v>
      </c>
      <c r="N541" s="19" t="n"/>
      <c r="O541" s="19" t="n">
        <v>35.7</v>
      </c>
      <c r="P541" s="19">
        <f>O541/1.19</f>
        <v/>
      </c>
      <c r="Q541" s="19">
        <f>O541-P541</f>
        <v/>
      </c>
      <c r="R541" s="19">
        <f>O541*0.15</f>
        <v/>
      </c>
      <c r="S541" s="19" t="n">
        <v>19.12</v>
      </c>
      <c r="T541" s="19">
        <f>S541*0.2</f>
        <v/>
      </c>
      <c r="U541" s="19" t="n">
        <v>0.400000000000002</v>
      </c>
      <c r="V541" s="19" t="n">
        <v>3.5</v>
      </c>
      <c r="W541" s="19">
        <f>V541*0.2</f>
        <v/>
      </c>
      <c r="X541" s="21">
        <f>O541-Q541-R541-S541-U541-V541+T541+W541</f>
        <v/>
      </c>
      <c r="Y541" s="18" t="n"/>
      <c r="Z541" s="19">
        <f>O541+1.5</f>
        <v/>
      </c>
      <c r="AA541" s="19" t="n"/>
      <c r="AB541" s="19" t="n"/>
      <c r="AC541" s="18" t="n"/>
      <c r="AD541" s="18" t="n"/>
      <c r="AE541" s="13" t="inlineStr">
        <is>
          <t>NOT_UPLOADED</t>
        </is>
      </c>
    </row>
    <row r="542" ht="16" customHeight="1">
      <c r="A542" s="12" t="n">
        <v>3600522862390</v>
      </c>
      <c r="B542" s="12" t="n">
        <v>3600522862390</v>
      </c>
      <c r="C542" s="20" t="inlineStr">
        <is>
          <t>PACK X 2</t>
        </is>
      </c>
      <c r="D542" s="14" t="n"/>
      <c r="E542" s="14" t="inlineStr">
        <is>
          <t>FOR-36005228623902</t>
        </is>
      </c>
      <c r="F542" s="12" t="inlineStr">
        <is>
          <t>L5014</t>
        </is>
      </c>
      <c r="G542" s="14" t="inlineStr">
        <is>
          <t>Fortuna</t>
        </is>
      </c>
      <c r="H542" s="14" t="inlineStr">
        <is>
          <t>Loreal</t>
        </is>
      </c>
      <c r="I542" s="14" t="inlineStr">
        <is>
          <t>2 x L'Oreal Paris New True Match Foundation 30ml - 2.N Vanilla</t>
        </is>
      </c>
      <c r="J542" s="14" t="inlineStr">
        <is>
          <t>No</t>
        </is>
      </c>
      <c r="K542" s="14" t="inlineStr">
        <is>
          <t>https://www.amazon.de/-/en/LOreal-Paris-True-Match-Foundation/dp/B01HOXPMU8/ref=sr_1_10?crid=1ZYB7T1LXAAOI&amp;dib=eyJ2IjoiMSJ9.BM1N808_zWXV2Cl9wQAx7LLmRnU9E-DpOrFV6IXGSFRq75rqrQh6CVsjE2dPg8jntrAZmgDAP61F7rT9Njiby8bvarK2qOMQANoqEpGeVHc0iPXx0aY1nDfZ8kQN1i4BOEBqAV2wdlajqIkDTJVJIeIF8pFqda8uPptd5Wr6IbiyIQrxhq8MoI6ffPQW0rJMv3PZ_bui_BrpBL5l8xdZNaH4SLVJs0ORk5JXo5W0IoKqH0oA9GcHsstwaaY9U0wc47yo7N72Ic0wwfyGt94I85hiPkC7WE4OJ7o3XuJxzMo.AEjuuW-n6lc079YCDxojuxchXPjX1QSXqhVv25BFtWk&amp;dib_tag=se&amp;keywords=loreal+FDT+TRUE+MATCH+2N&amp;qid=1754318199&amp;s=beauty&amp;sprefix=loreal+fdt+true+match+2n+%2Cbeauty%2C184&amp;sr=1-10</t>
        </is>
      </c>
      <c r="L542" s="14" t="inlineStr">
        <is>
          <t>B01HOXPMU8</t>
        </is>
      </c>
      <c r="M542" s="15" t="n">
        <v>37.44</v>
      </c>
      <c r="N542" s="15" t="n"/>
      <c r="O542" s="15" t="n">
        <v>36.3</v>
      </c>
      <c r="P542" s="15">
        <f>O542/1.19</f>
        <v/>
      </c>
      <c r="Q542" s="15">
        <f>O542-P542</f>
        <v/>
      </c>
      <c r="R542" s="15">
        <f>O542*0.15</f>
        <v/>
      </c>
      <c r="S542" s="15" t="n">
        <v>19.12</v>
      </c>
      <c r="T542" s="15">
        <f>S542*0.2</f>
        <v/>
      </c>
      <c r="U542" s="15" t="n">
        <v>0.400000000000002</v>
      </c>
      <c r="V542" s="15" t="n">
        <v>3.5</v>
      </c>
      <c r="W542" s="15">
        <f>V542*0.2</f>
        <v/>
      </c>
      <c r="X542" s="21">
        <f>O542-Q542-R542-S542-U542-V542+T542+W542</f>
        <v/>
      </c>
      <c r="Y542" s="14" t="n"/>
      <c r="Z542" s="15">
        <f>O542+1.5</f>
        <v/>
      </c>
      <c r="AA542" s="15" t="n"/>
      <c r="AB542" s="15" t="n"/>
      <c r="AC542" s="14" t="n"/>
      <c r="AD542" s="14" t="n"/>
      <c r="AE542" s="13" t="inlineStr">
        <is>
          <t>NOT_UPLOADED</t>
        </is>
      </c>
    </row>
    <row r="543" ht="16" customHeight="1">
      <c r="A543" s="17" t="n">
        <v>3600522862390</v>
      </c>
      <c r="B543" s="17" t="n">
        <v>3600522862390</v>
      </c>
      <c r="C543" s="20" t="inlineStr">
        <is>
          <t>PACK X 3</t>
        </is>
      </c>
      <c r="D543" s="18" t="n"/>
      <c r="E543" s="18" t="inlineStr">
        <is>
          <t>FOR-36005228623903</t>
        </is>
      </c>
      <c r="F543" s="17" t="inlineStr">
        <is>
          <t>L5014</t>
        </is>
      </c>
      <c r="G543" s="18" t="inlineStr">
        <is>
          <t>Fortuna</t>
        </is>
      </c>
      <c r="H543" s="18" t="inlineStr">
        <is>
          <t>Loreal</t>
        </is>
      </c>
      <c r="I543" s="18" t="inlineStr">
        <is>
          <t>3 x New by L 'Oreal Paris True Match Foundation 30ml – 2.n Vanilla</t>
        </is>
      </c>
      <c r="J543" s="18" t="inlineStr">
        <is>
          <t>No</t>
        </is>
      </c>
      <c r="K543" s="18" t="inlineStr">
        <is>
          <t>https://www.amazon.de/-/en/Oreal-Paris-True-Match-Foundation/dp/B01HOXPEJC/ref=sr_1_3?dib=eyJ2IjoiMSJ9.q8SplkMzv0u_Lni9PZ1jtNwsNQ1oMenykS6lOpb_kEbGjHj071QN20LucGBJIEps.piIcc_OiWae5QAn5Xw7T2sC66Sg4GIHysUjReXeMnLg&amp;dib_tag=se&amp;keywords=3600522862390&amp;qid=1754318647&amp;s=beauty&amp;sr=1-3</t>
        </is>
      </c>
      <c r="L543" s="18" t="inlineStr">
        <is>
          <t>B01HOXPEJC</t>
        </is>
      </c>
      <c r="M543" s="19" t="n">
        <v>53.59</v>
      </c>
      <c r="N543" s="19" t="n"/>
      <c r="O543" s="19" t="n">
        <v>50.5</v>
      </c>
      <c r="P543" s="19">
        <f>O543/1.19</f>
        <v/>
      </c>
      <c r="Q543" s="19">
        <f>O543-P543</f>
        <v/>
      </c>
      <c r="R543" s="19">
        <f>O543*0.15</f>
        <v/>
      </c>
      <c r="S543" s="19" t="n">
        <v>28.68</v>
      </c>
      <c r="T543" s="19">
        <f>S543*0.2</f>
        <v/>
      </c>
      <c r="U543" s="19" t="n">
        <v>0.400000000000002</v>
      </c>
      <c r="V543" s="19" t="n">
        <v>4.5</v>
      </c>
      <c r="W543" s="19">
        <f>V543*0.2</f>
        <v/>
      </c>
      <c r="X543" s="21">
        <f>O543-Q543-R543-S543-U543-V543+T543+W543</f>
        <v/>
      </c>
      <c r="Y543" s="18" t="n"/>
      <c r="Z543" s="19">
        <f>O543+1.5</f>
        <v/>
      </c>
      <c r="AA543" s="19" t="n"/>
      <c r="AB543" s="19" t="n"/>
      <c r="AC543" s="18" t="n"/>
      <c r="AD543" s="18" t="n"/>
      <c r="AE543" s="13" t="inlineStr">
        <is>
          <t>NOT_UPLOADED</t>
        </is>
      </c>
    </row>
    <row r="544" ht="16" customHeight="1">
      <c r="A544" s="12" t="n">
        <v>3600522862529</v>
      </c>
      <c r="B544" s="12" t="n">
        <v>3600522862529</v>
      </c>
      <c r="C544" s="13" t="n"/>
      <c r="D544" s="14" t="n"/>
      <c r="E544" s="14" t="inlineStr">
        <is>
          <t>FOR-3600522862529</t>
        </is>
      </c>
      <c r="F544" s="12" t="inlineStr">
        <is>
          <t>L5015</t>
        </is>
      </c>
      <c r="G544" s="14" t="inlineStr">
        <is>
          <t>Fortuna</t>
        </is>
      </c>
      <c r="H544" s="14" t="inlineStr">
        <is>
          <t>Loreal</t>
        </is>
      </c>
      <c r="I544" s="14" t="inlineStr">
        <is>
          <t>L'Oréal Paris Make up, liquid foundation with hyaluronic and aloe vera, true match make-up, 1.D/1.W warm dore</t>
        </is>
      </c>
      <c r="J544" s="14" t="inlineStr">
        <is>
          <t>No</t>
        </is>
      </c>
      <c r="K544" s="14" t="inlineStr">
        <is>
          <t>https://www.amazon.de/-/en/LOr%C3%A9al-liquid-foundation-hyaluronic-make-up/dp/B015JB5X6U/ref=sr_1_1?crid=23COSI0ZZCRF9&amp;dib=eyJ2IjoiMSJ9.XDDLU57VhR7XXKqOOA69GnAF8IkmFcRvwj9lyEV99T3dpOU4shdtFcmM7J3Tbhpd.R8va7jDENEToAlTcRdPmMUTWWaHRNQ1-e6sLbaEKKh0&amp;dib_tag=se&amp;keywords=3600522862529&amp;qid=1754318784&amp;rdc=1&amp;s=beauty&amp;sprefix=3600522862529%2Cbeauty%2C200&amp;sr=1-1&amp;th=1</t>
        </is>
      </c>
      <c r="L544" s="14" t="inlineStr">
        <is>
          <t>B015JB5X6U</t>
        </is>
      </c>
      <c r="M544" s="15" t="n">
        <v>19</v>
      </c>
      <c r="N544" s="15" t="n"/>
      <c r="O544" s="15" t="n">
        <v>18.8</v>
      </c>
      <c r="P544" s="15">
        <f>O544/1.19</f>
        <v/>
      </c>
      <c r="Q544" s="15">
        <f>O544-P544</f>
        <v/>
      </c>
      <c r="R544" s="15">
        <f>O544*0.15</f>
        <v/>
      </c>
      <c r="S544" s="15" t="n">
        <v>9.56</v>
      </c>
      <c r="T544" s="15">
        <f>S544*0.2</f>
        <v/>
      </c>
      <c r="U544" s="15" t="n">
        <v>0.400000000000002</v>
      </c>
      <c r="V544" s="15" t="n">
        <v>2.4</v>
      </c>
      <c r="W544" s="15">
        <f>V544*0.2</f>
        <v/>
      </c>
      <c r="X544" s="21">
        <f>O544-Q544-R544-S544-U544-V544+T544+W544</f>
        <v/>
      </c>
      <c r="Y544" s="14" t="n"/>
      <c r="Z544" s="15">
        <f>O544+1.5</f>
        <v/>
      </c>
      <c r="AA544" s="15" t="n"/>
      <c r="AB544" s="15" t="n"/>
      <c r="AC544" s="14" t="n"/>
      <c r="AD544" s="14" t="n"/>
      <c r="AE544" s="13" t="inlineStr">
        <is>
          <t>NOT_UPLOADED</t>
        </is>
      </c>
    </row>
    <row r="545" ht="16" customHeight="1">
      <c r="A545" s="17" t="n">
        <v>3600522862529</v>
      </c>
      <c r="B545" s="17" t="n">
        <v>3600522862529</v>
      </c>
      <c r="C545" s="20" t="inlineStr">
        <is>
          <t>PACK X 2</t>
        </is>
      </c>
      <c r="D545" s="18" t="n"/>
      <c r="E545" s="18" t="inlineStr">
        <is>
          <t>FORT-3600522862529</t>
        </is>
      </c>
      <c r="F545" s="17" t="inlineStr">
        <is>
          <t>L5015</t>
        </is>
      </c>
      <c r="G545" s="18" t="inlineStr">
        <is>
          <t>Fortuna</t>
        </is>
      </c>
      <c r="H545" s="18" t="inlineStr">
        <is>
          <t>Loreal</t>
        </is>
      </c>
      <c r="I545" s="18" t="inlineStr">
        <is>
          <t>2 x L'Oreal Paris New True Match Foundation 30 ml - D1/W1 Golden Ivory</t>
        </is>
      </c>
      <c r="J545" s="18" t="inlineStr">
        <is>
          <t>No</t>
        </is>
      </c>
      <c r="K545" s="18" t="inlineStr">
        <is>
          <t>https://www.amazon.de/-/en/LOreal-Paris-True-Match-Foundation/dp/B088WY66PG/ref=sr_1_4?crid=23COSI0ZZCRF9&amp;dib=eyJ2IjoiMSJ9.XDDLU57VhR7XXKqOOA69GnAF8IkmFcRvwj9lyEV99T3dpOU4shdtFcmM7J3Tbhpd.R8va7jDENEToAlTcRdPmMUTWWaHRNQ1-e6sLbaEKKh0&amp;dib_tag=se&amp;keywords=3600522862529&amp;qid=1754318874&amp;s=beauty&amp;sprefix=3600522862529%2Cbeauty%2C200&amp;sr=1-4</t>
        </is>
      </c>
      <c r="L545" s="18" t="inlineStr">
        <is>
          <t>B088WY66PG</t>
        </is>
      </c>
      <c r="M545" s="19" t="n">
        <v>40.93</v>
      </c>
      <c r="N545" s="19" t="n"/>
      <c r="O545" s="19" t="n">
        <v>39</v>
      </c>
      <c r="P545" s="19">
        <f>O545/1.19</f>
        <v/>
      </c>
      <c r="Q545" s="19">
        <f>O545-P545</f>
        <v/>
      </c>
      <c r="R545" s="19">
        <f>O545*0.15</f>
        <v/>
      </c>
      <c r="S545" s="19" t="n">
        <v>19.12</v>
      </c>
      <c r="T545" s="19">
        <f>S545*0.2</f>
        <v/>
      </c>
      <c r="U545" s="19" t="n">
        <v>0.400000000000002</v>
      </c>
      <c r="V545" s="19" t="n">
        <v>3.5</v>
      </c>
      <c r="W545" s="19">
        <f>V545*0.2</f>
        <v/>
      </c>
      <c r="X545" s="21">
        <f>O545-Q545-R545-S545-U545-V545+T545+W545</f>
        <v/>
      </c>
      <c r="Y545" s="18" t="n"/>
      <c r="Z545" s="19">
        <f>O545+1.5</f>
        <v/>
      </c>
      <c r="AA545" s="19" t="n"/>
      <c r="AB545" s="19" t="n"/>
      <c r="AC545" s="18" t="n"/>
      <c r="AD545" s="18" t="n"/>
      <c r="AE545" s="13" t="inlineStr">
        <is>
          <t>NOT_UPLOADED</t>
        </is>
      </c>
    </row>
    <row r="546" ht="16" customHeight="1">
      <c r="A546" s="12" t="n">
        <v>3600522862550</v>
      </c>
      <c r="B546" s="12" t="n">
        <v>3600522862550</v>
      </c>
      <c r="C546" s="13" t="n"/>
      <c r="D546" s="14" t="n"/>
      <c r="E546" s="14" t="inlineStr">
        <is>
          <t>FOR-3600522862550</t>
        </is>
      </c>
      <c r="F546" s="12" t="inlineStr">
        <is>
          <t>L5016</t>
        </is>
      </c>
      <c r="G546" s="14" t="inlineStr">
        <is>
          <t>Fortuna</t>
        </is>
      </c>
      <c r="H546" s="14" t="inlineStr">
        <is>
          <t>Loreal</t>
        </is>
      </c>
      <c r="I546" s="14" t="inlineStr">
        <is>
          <t>L'Oreal Paris True Match Liquid Foundation, Skin Care with Hyaluronic Acid, SPF 17, Available in 40 Shades, 4D/4W, Naturel Dore/Golden Natural, 30 ml</t>
        </is>
      </c>
      <c r="J546" s="14" t="inlineStr">
        <is>
          <t>No</t>
        </is>
      </c>
      <c r="K546" s="14" t="inlineStr">
        <is>
          <t>https://www.amazon.de/-/en/Foundation-Hyaluronic-Available-Naturel-Natural/dp/B018WGKDMS/ref=sr_1_1?crid=FUI8FUAEFCWZ&amp;dib=eyJ2IjoiMSJ9.-6v71m2jSlg0Qu6ZKdurjYHZIPNvz_YJL2iiA4MLuZw.P3NP5sleqsyFyilyLDmMg4zdZS7RTL12_jCkLOEn6sc&amp;dib_tag=se&amp;keywords=3600522862550&amp;qid=1754319135&amp;rdc=1&amp;s=beauty&amp;sprefix=3600522862550%2Cbeauty%2C419&amp;sr=1-1</t>
        </is>
      </c>
      <c r="L546" s="14" t="inlineStr">
        <is>
          <t>B018WGKDMS</t>
        </is>
      </c>
      <c r="M546" s="15" t="n">
        <v>20.74</v>
      </c>
      <c r="N546" s="15" t="n"/>
      <c r="O546" s="15" t="n">
        <v>18.8</v>
      </c>
      <c r="P546" s="15">
        <f>O546/1.19</f>
        <v/>
      </c>
      <c r="Q546" s="15">
        <f>O546-P546</f>
        <v/>
      </c>
      <c r="R546" s="15">
        <f>O546*0.15</f>
        <v/>
      </c>
      <c r="S546" s="15" t="n">
        <v>9.56</v>
      </c>
      <c r="T546" s="15">
        <f>S546*0.2</f>
        <v/>
      </c>
      <c r="U546" s="15" t="n">
        <v>0.400000000000002</v>
      </c>
      <c r="V546" s="15" t="n">
        <v>2.4</v>
      </c>
      <c r="W546" s="15">
        <f>V546*0.2</f>
        <v/>
      </c>
      <c r="X546" s="21">
        <f>O546-Q546-R546-S546-U546-V546+T546+W546</f>
        <v/>
      </c>
      <c r="Y546" s="14" t="n"/>
      <c r="Z546" s="15">
        <f>O546+1.5</f>
        <v/>
      </c>
      <c r="AA546" s="15" t="n"/>
      <c r="AB546" s="15" t="n"/>
      <c r="AC546" s="14" t="n"/>
      <c r="AD546" s="14" t="n"/>
      <c r="AE546" s="13" t="inlineStr">
        <is>
          <t>NOT_UPLOADED</t>
        </is>
      </c>
    </row>
    <row r="547" ht="16" customHeight="1">
      <c r="A547" s="17" t="n"/>
      <c r="B547" s="17" t="n">
        <v>3600522862550</v>
      </c>
      <c r="C547" s="20" t="inlineStr">
        <is>
          <t>PACK X 2</t>
        </is>
      </c>
      <c r="D547" s="18" t="n"/>
      <c r="E547" s="18" t="inlineStr">
        <is>
          <t>Approval required</t>
        </is>
      </c>
      <c r="F547" s="17" t="inlineStr">
        <is>
          <t>L5016</t>
        </is>
      </c>
      <c r="G547" s="18" t="inlineStr">
        <is>
          <t>Fortuna</t>
        </is>
      </c>
      <c r="H547" s="18" t="inlineStr">
        <is>
          <t>Loreal</t>
        </is>
      </c>
      <c r="I547" s="18" t="inlineStr">
        <is>
          <t>2 x L'Oreal Paris New True Match Foundation 30 ml - 4D/4W Golden Natural</t>
        </is>
      </c>
      <c r="J547" s="18" t="inlineStr">
        <is>
          <t>No</t>
        </is>
      </c>
      <c r="K547" s="18" t="inlineStr">
        <is>
          <t>https://www.amazon.de/-/en/LOreal-Paris-True-Match-Foundation/dp/B01HOXPE92/ref=sr_1_2?crid=FUI8FUAEFCWZ&amp;dib=eyJ2IjoiMSJ9.-6v71m2jSlg0Qu6ZKdurjYHZIPNvz_YJL2iiA4MLuZw.P3NP5sleqsyFyilyLDmMg4zdZS7RTL12_jCkLOEn6sc&amp;dib_tag=se&amp;keywords=3600522862550&amp;qid=1754319317&amp;s=beauty&amp;sprefix=3600522862550%2Cbeauty%2C419&amp;sr=1-2</t>
        </is>
      </c>
      <c r="L547" s="18" t="inlineStr">
        <is>
          <t>B01HOXPE92</t>
        </is>
      </c>
      <c r="M547" s="19" t="n">
        <v>37.44</v>
      </c>
      <c r="N547" s="19" t="n"/>
      <c r="O547" s="19" t="n">
        <v>36</v>
      </c>
      <c r="P547" s="19">
        <f>O547/1.19</f>
        <v/>
      </c>
      <c r="Q547" s="19">
        <f>O547-P547</f>
        <v/>
      </c>
      <c r="R547" s="19">
        <f>O547*0.15</f>
        <v/>
      </c>
      <c r="S547" s="19" t="n">
        <v>19.12</v>
      </c>
      <c r="T547" s="19">
        <f>S547*0.2</f>
        <v/>
      </c>
      <c r="U547" s="19" t="n">
        <v>0.400000000000002</v>
      </c>
      <c r="V547" s="19" t="n">
        <v>3.5</v>
      </c>
      <c r="W547" s="19">
        <f>V547*0.2</f>
        <v/>
      </c>
      <c r="X547" s="21">
        <f>O547-Q547-R547-S547-U547-V547+T547+W547</f>
        <v/>
      </c>
      <c r="Y547" s="18" t="n"/>
      <c r="Z547" s="19">
        <f>O547+1.5</f>
        <v/>
      </c>
      <c r="AA547" s="19" t="n"/>
      <c r="AB547" s="19" t="n"/>
      <c r="AC547" s="18" t="n"/>
      <c r="AD547" s="18" t="n"/>
      <c r="AE547" s="13" t="inlineStr">
        <is>
          <t>NOT_UPLOADED</t>
        </is>
      </c>
    </row>
    <row r="548" ht="16" customHeight="1">
      <c r="A548" s="12" t="n">
        <v>3600522862581</v>
      </c>
      <c r="B548" s="12" t="n">
        <v>3600522862581</v>
      </c>
      <c r="C548" s="13" t="n"/>
      <c r="D548" s="14" t="n"/>
      <c r="E548" s="14" t="inlineStr">
        <is>
          <t>FOR-3600522862581</t>
        </is>
      </c>
      <c r="F548" s="12" t="inlineStr">
        <is>
          <t>L5017</t>
        </is>
      </c>
      <c r="G548" s="14" t="inlineStr">
        <is>
          <t>Fortuna</t>
        </is>
      </c>
      <c r="H548" s="14" t="inlineStr">
        <is>
          <t>Loreal</t>
        </is>
      </c>
      <c r="I548" s="14" t="inlineStr">
        <is>
          <t>L'Oréal Paris True Match,super mischbare Grundierung Spf 17 30 ml</t>
        </is>
      </c>
      <c r="J548" s="14" t="inlineStr">
        <is>
          <t>No</t>
        </is>
      </c>
      <c r="K548" s="14" t="inlineStr">
        <is>
          <t>https://www.amazon.de/Oreal-Paris-True-Match-Foundation/dp/B01BNCX6V8/ref=sr_1_1?__mk_de_DE=%C3%85M%C3%85%C5%BD%C3%95%C3%91&amp;crid=2JOQQ8AP065SJ&amp;dib=eyJ2IjoiMSJ9.cx45aCM8k6Md-ZKOUucjOHPV_GzouQg59Toavt7QOSw.eSz1syhUdSpPfM_45EGE3R0Zte9Vk9P5nE-E0kSz3To&amp;dib_tag=se&amp;keywords=3600522862581&amp;qid=1760552243&amp;s=beauty&amp;sprefix=3600522862581%2Cbeauty%2C83&amp;sr=1-1</t>
        </is>
      </c>
      <c r="L548" s="14" t="inlineStr">
        <is>
          <t>B01BNCX6V8</t>
        </is>
      </c>
      <c r="M548" s="15" t="n"/>
      <c r="N548" s="15" t="n"/>
      <c r="O548" s="15" t="n">
        <v>18.99</v>
      </c>
      <c r="P548" s="15">
        <f>O548/1.19</f>
        <v/>
      </c>
      <c r="Q548" s="15">
        <f>O548-P548</f>
        <v/>
      </c>
      <c r="R548" s="15">
        <f>O548*0.15</f>
        <v/>
      </c>
      <c r="S548" s="15" t="n">
        <v>9.56</v>
      </c>
      <c r="T548" s="15">
        <f>S548*0.2</f>
        <v/>
      </c>
      <c r="U548" s="15" t="n">
        <v>0.400000000000002</v>
      </c>
      <c r="V548" s="15" t="n">
        <v>2.4</v>
      </c>
      <c r="W548" s="15">
        <f>V548*0.2</f>
        <v/>
      </c>
      <c r="X548" s="21">
        <f>O548-Q548-R548-S548-U548-V548+T548+W548</f>
        <v/>
      </c>
      <c r="Y548" s="14" t="n"/>
      <c r="Z548" s="15">
        <f>O548+1.5</f>
        <v/>
      </c>
      <c r="AA548" s="15" t="n">
        <v>8.44</v>
      </c>
      <c r="AB548" s="15" t="n">
        <v>2091192</v>
      </c>
      <c r="AC548" s="14" t="n"/>
      <c r="AD548" s="14" t="n"/>
      <c r="AE548" s="13" t="inlineStr">
        <is>
          <t>NOT_UPLOADED</t>
        </is>
      </c>
    </row>
    <row r="549" ht="16" customHeight="1">
      <c r="A549" s="17" t="n">
        <v>3600523614516</v>
      </c>
      <c r="B549" s="17" t="n">
        <v>3600523614516</v>
      </c>
      <c r="C549" s="13" t="n"/>
      <c r="D549" s="18" t="n"/>
      <c r="E549" s="18" t="inlineStr">
        <is>
          <t>FOR-3600523614516</t>
        </is>
      </c>
      <c r="F549" s="17" t="inlineStr">
        <is>
          <t>L5030</t>
        </is>
      </c>
      <c r="G549" s="18" t="inlineStr">
        <is>
          <t>Fortuna</t>
        </is>
      </c>
      <c r="H549" s="18" t="inlineStr">
        <is>
          <t>Loreal</t>
        </is>
      </c>
      <c r="I549" s="18" t="inlineStr">
        <is>
          <t>L'Oréal Paris makeup, waterproof and long-lasting liquid foundation with SPF 25, Infaillible 32H Fresh Wear makeup, No. 125 natural rose, 30 ml</t>
        </is>
      </c>
      <c r="J549" s="18" t="inlineStr">
        <is>
          <t>No</t>
        </is>
      </c>
      <c r="K549" s="18" t="inlineStr">
        <is>
          <t>https://www.amazon.de/-/en/waterproof-long-lasting-foundation-Infaillible-natural/dp/B07DSWJLJ1/ref=sr_1_1?crid=2USP4T8GCHAZU&amp;dib=eyJ2IjoiMSJ9.8YB5Jb55HBDHLn5HLb2mo67xS6aSz_wzCJNtaQ0inqgmrAFju-oiS3mDdFP_wIEp.q331K4K1gEoPAd6HHQuy5dGUQlMBG05vWW5FLJI19NM&amp;dib_tag=se&amp;keywords=3600523614516&amp;qid=1754319668&amp;rdc=1&amp;s=beauty&amp;sprefix=3600523614516%2Cbeauty%2C121&amp;sr=1-1&amp;th=1</t>
        </is>
      </c>
      <c r="L549" s="18" t="inlineStr">
        <is>
          <t>B07DSWJLJ1</t>
        </is>
      </c>
      <c r="M549" s="19" t="n">
        <v>19.6</v>
      </c>
      <c r="N549" s="19" t="n"/>
      <c r="O549" s="19" t="n">
        <v>18.99</v>
      </c>
      <c r="P549" s="19">
        <f>O549/1.19</f>
        <v/>
      </c>
      <c r="Q549" s="19">
        <f>O549-P549</f>
        <v/>
      </c>
      <c r="R549" s="19">
        <f>O549*0.15</f>
        <v/>
      </c>
      <c r="S549" s="19" t="n">
        <v>9.890000000000001</v>
      </c>
      <c r="T549" s="19">
        <f>S549*0.2</f>
        <v/>
      </c>
      <c r="U549" s="19" t="n">
        <v>0.400000000000002</v>
      </c>
      <c r="V549" s="19" t="n">
        <v>2.4</v>
      </c>
      <c r="W549" s="19">
        <f>V549*0.2</f>
        <v/>
      </c>
      <c r="X549" s="21">
        <f>O549-Q549-R549-S549-U549-V549+T549+W549</f>
        <v/>
      </c>
      <c r="Y549" s="18" t="n"/>
      <c r="Z549" s="19">
        <f>O549+1.5</f>
        <v/>
      </c>
      <c r="AA549" s="19" t="n">
        <v>10.36</v>
      </c>
      <c r="AB549" s="19" t="n"/>
      <c r="AC549" s="18" t="n"/>
      <c r="AD549" s="18" t="n"/>
      <c r="AE549" s="13" t="inlineStr">
        <is>
          <t>NOT_UPLOADED</t>
        </is>
      </c>
    </row>
    <row r="550" ht="16" customHeight="1">
      <c r="A550" s="12" t="n">
        <v>3600523614516</v>
      </c>
      <c r="B550" s="12" t="n">
        <v>3600523614516</v>
      </c>
      <c r="C550" s="13" t="n"/>
      <c r="D550" s="14" t="n"/>
      <c r="E550" s="14" t="inlineStr">
        <is>
          <t>FORT-3600523614516</t>
        </is>
      </c>
      <c r="F550" s="12" t="inlineStr">
        <is>
          <t>L5030</t>
        </is>
      </c>
      <c r="G550" s="14" t="inlineStr">
        <is>
          <t>Fortuna</t>
        </is>
      </c>
      <c r="H550" s="14" t="inlineStr">
        <is>
          <t>Loreal</t>
        </is>
      </c>
      <c r="I550" s="14" t="inlineStr">
        <is>
          <t>L'Oréal Paris Infaillible 24H Fresh Wear Make-Up in No. 125 Natural Rose High Coverage 30 ml</t>
        </is>
      </c>
      <c r="J550" s="14" t="inlineStr">
        <is>
          <t>No</t>
        </is>
      </c>
      <c r="K550" s="14" t="inlineStr">
        <is>
          <t>https://www.amazon.de/-/en/LOr%C3%A9al-Infaillible-Make-Up-Natural-Coverage/dp/B07P5L9PK6/ref=sr_1_4?crid=2USP4T8GCHAZU&amp;dib=eyJ2IjoiMSJ9.8YB5Jb55HBDHLn5HLb2mo67xS6aSz_wzCJNtaQ0inqgmrAFju-oiS3mDdFP_wIEp.q331K4K1gEoPAd6HHQuy5dGUQlMBG05vWW5FLJI19NM&amp;dib_tag=se&amp;keywords=3600523614516&amp;qid=1754319841&amp;s=beauty&amp;sprefix=3600523614516%2Cbeauty%2C121&amp;sr=1-4</t>
        </is>
      </c>
      <c r="L550" s="14" t="inlineStr">
        <is>
          <t>B07P5L9PK6</t>
        </is>
      </c>
      <c r="M550" s="15" t="n">
        <v>21.8</v>
      </c>
      <c r="N550" s="15" t="n"/>
      <c r="O550" s="15" t="n">
        <v>19.7</v>
      </c>
      <c r="P550" s="15">
        <f>O550/1.19</f>
        <v/>
      </c>
      <c r="Q550" s="15">
        <f>O550-P550</f>
        <v/>
      </c>
      <c r="R550" s="15">
        <f>O550*0.15</f>
        <v/>
      </c>
      <c r="S550" s="15" t="n">
        <v>9.57</v>
      </c>
      <c r="T550" s="15">
        <f>S550*0.2</f>
        <v/>
      </c>
      <c r="U550" s="15" t="n">
        <v>0.400000000000002</v>
      </c>
      <c r="V550" s="15" t="n">
        <v>2.4</v>
      </c>
      <c r="W550" s="15">
        <f>V550*0.2</f>
        <v/>
      </c>
      <c r="X550" s="21">
        <f>O550-Q550-R550-S550-U550-V550+T550+W550</f>
        <v/>
      </c>
      <c r="Y550" s="14" t="n"/>
      <c r="Z550" s="15">
        <f>O550+1.5</f>
        <v/>
      </c>
      <c r="AA550" s="15" t="n"/>
      <c r="AB550" s="15" t="n"/>
      <c r="AC550" s="14" t="n"/>
      <c r="AD550" s="14" t="n"/>
      <c r="AE550" s="13" t="inlineStr">
        <is>
          <t>NOT_UPLOADED</t>
        </is>
      </c>
    </row>
    <row r="551" ht="16" customHeight="1">
      <c r="A551" s="17" t="n"/>
      <c r="B551" s="17" t="n">
        <v>3600523614516</v>
      </c>
      <c r="C551" s="20" t="inlineStr">
        <is>
          <t>PACK X 3</t>
        </is>
      </c>
      <c r="D551" s="18" t="n"/>
      <c r="E551" s="18" t="inlineStr">
        <is>
          <t>Approval required</t>
        </is>
      </c>
      <c r="F551" s="17" t="inlineStr">
        <is>
          <t>L5030</t>
        </is>
      </c>
      <c r="G551" s="18" t="inlineStr">
        <is>
          <t>Fortuna</t>
        </is>
      </c>
      <c r="H551" s="18" t="inlineStr">
        <is>
          <t>Loreal</t>
        </is>
      </c>
      <c r="I551" s="18" t="inlineStr">
        <is>
          <t>L'Oréal Paris Foundation Infaillible 24H Fresh Wear Make-Up 125 Natural Rose Pack of 3 x 30 ml</t>
        </is>
      </c>
      <c r="J551" s="18" t="inlineStr">
        <is>
          <t>No</t>
        </is>
      </c>
      <c r="K551" s="18" t="inlineStr">
        <is>
          <t>https://www.amazon.de/-/en/LOr%C3%A9al-Foundation-Infaillible-Make-Up-Natural/dp/B08WJLBTGC/ref=sr_1_3?crid=2USP4T8GCHAZU&amp;dib=eyJ2IjoiMSJ9.8YB5Jb55HBDHLn5HLb2mo67xS6aSz_wzCJNtaQ0inqgmrAFju-oiS3mDdFP_wIEp.q331K4K1gEoPAd6HHQuy5dGUQlMBG05vWW5FLJI19NM&amp;dib_tag=se&amp;keywords=3600523614516&amp;qid=1754319841&amp;s=beauty&amp;sprefix=3600523614516%2Cbeauty%2C121&amp;sr=1-3</t>
        </is>
      </c>
      <c r="L551" s="18" t="inlineStr">
        <is>
          <t>B08WJLBTGC</t>
        </is>
      </c>
      <c r="M551" s="19" t="n">
        <v>55.24</v>
      </c>
      <c r="N551" s="19" t="n"/>
      <c r="O551" s="19" t="n">
        <v>54</v>
      </c>
      <c r="P551" s="19">
        <f>O551/1.19</f>
        <v/>
      </c>
      <c r="Q551" s="19">
        <f>O551-P551</f>
        <v/>
      </c>
      <c r="R551" s="19">
        <f>O551*0.15</f>
        <v/>
      </c>
      <c r="S551" s="19" t="n">
        <v>29.67</v>
      </c>
      <c r="T551" s="19">
        <f>S551*0.2</f>
        <v/>
      </c>
      <c r="U551" s="19" t="n">
        <v>0.400000000000002</v>
      </c>
      <c r="V551" s="19" t="n">
        <v>4.5</v>
      </c>
      <c r="W551" s="19">
        <f>V551*0.2</f>
        <v/>
      </c>
      <c r="X551" s="21">
        <f>O551-Q551-R551-S551-U551-V551+T551+W551</f>
        <v/>
      </c>
      <c r="Y551" s="18" t="n"/>
      <c r="Z551" s="19">
        <f>O551+1.5</f>
        <v/>
      </c>
      <c r="AA551" s="19" t="n"/>
      <c r="AB551" s="19" t="n"/>
      <c r="AC551" s="18" t="n"/>
      <c r="AD551" s="18" t="n"/>
      <c r="AE551" s="13" t="inlineStr">
        <is>
          <t>NOT_UPLOADED</t>
        </is>
      </c>
    </row>
    <row r="552" ht="16" customHeight="1">
      <c r="A552" s="12" t="n">
        <v>3600523614417</v>
      </c>
      <c r="B552" s="12" t="n">
        <v>3600523614417</v>
      </c>
      <c r="C552" s="13" t="n"/>
      <c r="D552" s="14" t="n"/>
      <c r="E552" s="14" t="inlineStr">
        <is>
          <t>FOR-3600523614417</t>
        </is>
      </c>
      <c r="F552" s="12" t="inlineStr">
        <is>
          <t>L5031</t>
        </is>
      </c>
      <c r="G552" s="14" t="inlineStr">
        <is>
          <t>Fortuna</t>
        </is>
      </c>
      <c r="H552" s="14" t="inlineStr">
        <is>
          <t>Loreal</t>
        </is>
      </c>
      <c r="I552" s="14" t="inlineStr">
        <is>
          <t>L'Oréal Paris makeup, waterproof and long-lasting liquid foundation with SPF 25, Infaillible 32H Fresh Wear makeup, No. 130 true beige, 30 ml</t>
        </is>
      </c>
      <c r="J552" s="14" t="inlineStr">
        <is>
          <t>No</t>
        </is>
      </c>
      <c r="K552" s="14" t="inlineStr">
        <is>
          <t>https://www.amazon.de/-/en/LOr%C3%A9al-waterproof-long-lasting-foundation-Infaillible/dp/B07D7HD7WR/ref=sr_1_1?crid=118JEV8EUMTZK&amp;dib=eyJ2IjoiMSJ9.NZNfUJTty5KuZLtSgyf8oCIoXDViS3keNHkhkdCSs5SDkl1bdok63K-MVeOtgZ4y.aIXg2y0CTT3hErLu0Yk7E80vY5oIFKu8eCkpQhC4VIU&amp;dib_tag=se&amp;keywords=3600523614417&amp;qid=1754322369&amp;rdc=1&amp;s=beauty&amp;sprefix=3600523614417%2Cbeauty%2C111&amp;sr=1-1&amp;th=1</t>
        </is>
      </c>
      <c r="L552" s="14" t="inlineStr">
        <is>
          <t>B07D7HD7WR</t>
        </is>
      </c>
      <c r="M552" s="15" t="n">
        <v>19.6</v>
      </c>
      <c r="N552" s="15" t="n"/>
      <c r="O552" s="15" t="n">
        <v>19.2</v>
      </c>
      <c r="P552" s="15">
        <f>O552/1.19</f>
        <v/>
      </c>
      <c r="Q552" s="15">
        <f>O552-P552</f>
        <v/>
      </c>
      <c r="R552" s="15">
        <f>O552*0.15</f>
        <v/>
      </c>
      <c r="S552" s="15" t="n">
        <v>9.890000000000001</v>
      </c>
      <c r="T552" s="15">
        <f>S552*0.2</f>
        <v/>
      </c>
      <c r="U552" s="15" t="n">
        <v>0.400000000000002</v>
      </c>
      <c r="V552" s="15" t="n">
        <v>2.4</v>
      </c>
      <c r="W552" s="15">
        <f>V552*0.2</f>
        <v/>
      </c>
      <c r="X552" s="21">
        <f>O552-Q552-R552-S552-U552-V552+T552+W552</f>
        <v/>
      </c>
      <c r="Y552" s="14" t="n"/>
      <c r="Z552" s="15">
        <f>O552+1.5</f>
        <v/>
      </c>
      <c r="AA552" s="15" t="n"/>
      <c r="AB552" s="15" t="n"/>
      <c r="AC552" s="14" t="n"/>
      <c r="AD552" s="14" t="n"/>
      <c r="AE552" s="13" t="inlineStr">
        <is>
          <t>NOT_UPLOADED</t>
        </is>
      </c>
    </row>
    <row r="553" ht="16" customHeight="1">
      <c r="A553" s="17" t="n">
        <v>3600523614493</v>
      </c>
      <c r="B553" s="17" t="n">
        <v>3600523614493</v>
      </c>
      <c r="C553" s="20" t="inlineStr">
        <is>
          <t>PACK X 3</t>
        </is>
      </c>
      <c r="D553" s="18" t="n"/>
      <c r="E553" s="18" t="inlineStr">
        <is>
          <t>FOR-3600523614493</t>
        </is>
      </c>
      <c r="F553" s="17" t="inlineStr">
        <is>
          <t>L5032</t>
        </is>
      </c>
      <c r="G553" s="18" t="inlineStr">
        <is>
          <t>Fortuna</t>
        </is>
      </c>
      <c r="H553" s="18" t="inlineStr">
        <is>
          <t>Loreal</t>
        </is>
      </c>
      <c r="I553" s="18" t="inlineStr">
        <is>
          <t>L'Oréal Paris Foundation Infaillible 24H Fresh Wear Make-Up 140 Golden Beige Pack of 3 x 30 ml</t>
        </is>
      </c>
      <c r="J553" s="18" t="inlineStr">
        <is>
          <t>No</t>
        </is>
      </c>
      <c r="K553" s="18" t="inlineStr">
        <is>
          <t>https://www.amazon.de/-/en/LOr%C3%A9al-Foundation-Infaillible-Make-Up-Golden/dp/B09FGW2XMJ/ref=sr_1_4?crid=ZZBLPR4DV0LO&amp;dib=eyJ2IjoiMSJ9.wI9vl8eZgyrj-wbKNKBN-5QMfBRrgalmM0cYK0S5bisbtgr5mGJAso_kQ9tLm4gzq-FB_wRhYobSYyxvIe5HHnz6BLioBbznYlPwH447oq-yFVGba7Rt0IFIERKX3T2jeyQ_LiGFtPQFa7VEg8P7Wal3GXIQUHouWV3NG4elb8vkVPaq31K2Gff0al02q4-7D2cT4_CzCnqQyX4hETc3s0-H06UVGBtEZAUd4PpjDl63Hui-behsGj9rH-S_68tM.cmJbGzOqWoPak3qUQG8E33aI3BKpxYrydo3ffRoabFM&amp;dib_tag=se&amp;keywords=LOREAL+FDT+INFAILLIBLE+140&amp;qid=1754322974&amp;s=beauty&amp;sprefix=loreal+fdt+infaillible+140%2Cbeauty%2C186&amp;sr=1-4</t>
        </is>
      </c>
      <c r="L553" s="18" t="inlineStr">
        <is>
          <t>B09FGW2XMJ</t>
        </is>
      </c>
      <c r="M553" s="19" t="n">
        <v>55.27</v>
      </c>
      <c r="N553" s="19" t="n"/>
      <c r="O553" s="19" t="n">
        <v>54</v>
      </c>
      <c r="P553" s="19">
        <f>O553/1.19</f>
        <v/>
      </c>
      <c r="Q553" s="19">
        <f>O553-P553</f>
        <v/>
      </c>
      <c r="R553" s="19">
        <f>O553*0.15</f>
        <v/>
      </c>
      <c r="S553" s="19" t="n">
        <v>29.67</v>
      </c>
      <c r="T553" s="19">
        <f>S553*0.2</f>
        <v/>
      </c>
      <c r="U553" s="19" t="n">
        <v>0.400000000000002</v>
      </c>
      <c r="V553" s="19" t="n">
        <v>4.5</v>
      </c>
      <c r="W553" s="19">
        <f>V553*0.2</f>
        <v/>
      </c>
      <c r="X553" s="21">
        <f>O553-Q553-R553-S553-U553-V553+T553+W553</f>
        <v/>
      </c>
      <c r="Y553" s="18" t="n"/>
      <c r="Z553" s="19">
        <f>O553+1.5</f>
        <v/>
      </c>
      <c r="AA553" s="19" t="n"/>
      <c r="AB553" s="19" t="n"/>
      <c r="AC553" s="18" t="n"/>
      <c r="AD553" s="18" t="n"/>
      <c r="AE553" s="13" t="inlineStr">
        <is>
          <t>NOT_UPLOADED</t>
        </is>
      </c>
    </row>
    <row r="554" ht="16" customHeight="1">
      <c r="A554" s="12" t="n">
        <v>3600523614431</v>
      </c>
      <c r="B554" s="12" t="n">
        <v>3600523614431</v>
      </c>
      <c r="C554" s="13" t="n"/>
      <c r="D554" s="14" t="n"/>
      <c r="E554" s="14" t="inlineStr">
        <is>
          <t>FOR-3600523614431</t>
        </is>
      </c>
      <c r="F554" s="12" t="inlineStr">
        <is>
          <t>L5033</t>
        </is>
      </c>
      <c r="G554" s="14" t="inlineStr">
        <is>
          <t>Fortuna</t>
        </is>
      </c>
      <c r="H554" s="14" t="inlineStr">
        <is>
          <t>Loreal</t>
        </is>
      </c>
      <c r="I554" s="14" t="inlineStr">
        <is>
          <t>L'Oréal Paris makeup, waterproof and long-lasting liquid foundation with SPF 25, Infaillible 24H Fresh Wear makeup, No. 145 rose beige, 30 ml</t>
        </is>
      </c>
      <c r="J554" s="14" t="inlineStr">
        <is>
          <t>No</t>
        </is>
      </c>
      <c r="K554" s="14" t="inlineStr">
        <is>
          <t>https://www.amazon.de/-/en/LOr%C3%A9al-waterproof-long-lasting-foundation-Infaillible/dp/B07DSH55BM/ref=sr_1_1?crid=1D8NJ9WL5M7ML&amp;dib=eyJ2IjoiMSJ9.6kPNsFztyAVirJKDBmYJyC8-5wUyQUTOPbHWhCsaygEr6Q6up6C4vCZ14iQD05Zt.wA1gRzexA8r3CMBZITxsGRLP1Tpr1xPfy1KrgCcPuV4&amp;dib_tag=se&amp;keywords=3600523614431&amp;qid=1754323150&amp;rdc=1&amp;s=beauty&amp;sprefix=3600523614431%2Cbeauty%2C138&amp;sr=1-1&amp;th=1</t>
        </is>
      </c>
      <c r="L554" s="14" t="inlineStr">
        <is>
          <t>B07DSH55BM</t>
        </is>
      </c>
      <c r="M554" s="15" t="n">
        <v>19.6</v>
      </c>
      <c r="N554" s="15" t="n"/>
      <c r="O554" s="15" t="n">
        <v>19.9</v>
      </c>
      <c r="P554" s="15">
        <f>O554/1.19</f>
        <v/>
      </c>
      <c r="Q554" s="15">
        <f>O554-P554</f>
        <v/>
      </c>
      <c r="R554" s="15">
        <f>O554*0.15</f>
        <v/>
      </c>
      <c r="S554" s="15" t="n">
        <v>9.890000000000001</v>
      </c>
      <c r="T554" s="15">
        <f>S554*0.2</f>
        <v/>
      </c>
      <c r="U554" s="15" t="n">
        <v>0.400000000000002</v>
      </c>
      <c r="V554" s="15" t="n">
        <v>2.4</v>
      </c>
      <c r="W554" s="15">
        <f>V554*0.2</f>
        <v/>
      </c>
      <c r="X554" s="21">
        <f>O554-Q554-R554-S554-U554-V554+T554+W554</f>
        <v/>
      </c>
      <c r="Y554" s="14" t="n"/>
      <c r="Z554" s="15">
        <f>O554+1.5</f>
        <v/>
      </c>
      <c r="AA554" s="15" t="n"/>
      <c r="AB554" s="15" t="n"/>
      <c r="AC554" s="14" t="n"/>
      <c r="AD554" s="14" t="n"/>
      <c r="AE554" s="13" t="inlineStr">
        <is>
          <t>NOT_UPLOADED</t>
        </is>
      </c>
    </row>
    <row r="555" ht="16" customHeight="1">
      <c r="A555" s="17" t="n">
        <v>8411300833878</v>
      </c>
      <c r="B555" s="17" t="n">
        <v>3600523614509</v>
      </c>
      <c r="C555" s="13" t="n"/>
      <c r="D555" s="18" t="n"/>
      <c r="E555" s="18" t="inlineStr">
        <is>
          <t>FOR-8411300833878</t>
        </is>
      </c>
      <c r="F555" s="17" t="inlineStr">
        <is>
          <t>L5034</t>
        </is>
      </c>
      <c r="G555" s="18" t="inlineStr">
        <is>
          <t>Fortuna</t>
        </is>
      </c>
      <c r="H555" s="18" t="inlineStr">
        <is>
          <t>Loreal</t>
        </is>
      </c>
      <c r="I555" s="18" t="inlineStr">
        <is>
          <t>L'Oréal Paris makeup, waterproof and long-lasting liquid foundation with SPF 25, Infaillible 32H Fresh Wear makeup, No. 200 golden sand, 30 ml</t>
        </is>
      </c>
      <c r="J555" s="18" t="inlineStr">
        <is>
          <t>No</t>
        </is>
      </c>
      <c r="K555" s="18" t="inlineStr">
        <is>
          <t>https://www.amazon.de/-/en/LOr%C3%A9al-waterproof-long-lasting-foundation-Infaillible/dp/B07D7LGK8X/ref=sr_1_2?dib=eyJ2IjoiMSJ9.dFBBMPO5QrFcw_2PNnMzPw4BCBUWiD1IH5nJ1l03EUTDzyzadfUrYMGuC0o56kKluyljH1ilpuHJbcaD35fJIlumXl4T9NChIqxcu2P6j9Aa_5mGdQljF9MvpFoZALougQM6k8raVG-sTeEZz8hQyWPNf6dDlIHZjmci1fizvmnHRTsDy7rrID-qTKB_x38dh3UTjUV3LxL04r3ifoaBRUjoJr_t_SQFqcEGOKvtGLx0k7v-h4h8mx1za9ar7Qyvzt1S84I5EWskU3_wpAA2RJa9QtpYCAVtxs3ddHxNikA.IMnHRUhhlfF02lQccU1dF4gdzFoilaVzoEhJ2t3Dt-Y&amp;dib_tag=se&amp;keywords=LOREAL+FDT+INFAILLIBLE+200&amp;qid=1754323313&amp;rdc=1&amp;s=beauty&amp;sr=1-2</t>
        </is>
      </c>
      <c r="L555" s="18" t="inlineStr">
        <is>
          <t>B07D7LGK8X</t>
        </is>
      </c>
      <c r="M555" s="19" t="n">
        <v>19.6</v>
      </c>
      <c r="N555" s="19" t="n"/>
      <c r="O555" s="19" t="n">
        <v>19.2</v>
      </c>
      <c r="P555" s="19">
        <f>O555/1.19</f>
        <v/>
      </c>
      <c r="Q555" s="19">
        <f>O555-P555</f>
        <v/>
      </c>
      <c r="R555" s="19">
        <f>O555*0.15</f>
        <v/>
      </c>
      <c r="S555" s="19" t="n">
        <v>9.890000000000001</v>
      </c>
      <c r="T555" s="19">
        <f>S555*0.2</f>
        <v/>
      </c>
      <c r="U555" s="19" t="n">
        <v>0.400000000000002</v>
      </c>
      <c r="V555" s="19" t="n">
        <v>2.4</v>
      </c>
      <c r="W555" s="19">
        <f>V555*0.2</f>
        <v/>
      </c>
      <c r="X555" s="21">
        <f>O555-Q555-R555-S555-U555-V555+T555+W555</f>
        <v/>
      </c>
      <c r="Y555" s="18" t="n"/>
      <c r="Z555" s="19">
        <f>O555+1.5</f>
        <v/>
      </c>
      <c r="AA555" s="19" t="n"/>
      <c r="AB555" s="19" t="n"/>
      <c r="AC555" s="18" t="n"/>
      <c r="AD555" s="18" t="n"/>
      <c r="AE555" s="13" t="inlineStr">
        <is>
          <t>NOT_UPLOADED</t>
        </is>
      </c>
    </row>
    <row r="556" ht="16" customHeight="1">
      <c r="A556" s="12" t="n">
        <v>3600523614479</v>
      </c>
      <c r="B556" s="12" t="n">
        <v>3600523614479</v>
      </c>
      <c r="C556" s="13" t="n"/>
      <c r="D556" s="14" t="n"/>
      <c r="E556" s="14" t="inlineStr">
        <is>
          <t>FOR-3600523614479</t>
        </is>
      </c>
      <c r="F556" s="12" t="inlineStr">
        <is>
          <t>L5035</t>
        </is>
      </c>
      <c r="G556" s="14" t="inlineStr">
        <is>
          <t>Fortuna</t>
        </is>
      </c>
      <c r="H556" s="14" t="inlineStr">
        <is>
          <t>Loreal</t>
        </is>
      </c>
      <c r="I556" s="14" t="inlineStr">
        <is>
          <t>L'Oréal Paris makeup, waterproof and long-lasting liquid foundation with SPF 25, Infaillible 32H Fresh Wear makeup, No. 220 sand, 30 ml</t>
        </is>
      </c>
      <c r="J556" s="14" t="inlineStr">
        <is>
          <t>No</t>
        </is>
      </c>
      <c r="K556" s="14" t="inlineStr">
        <is>
          <t>https://www.amazon.de/-/en/LOr%C3%A9al-waterproof-long-lasting-foundation-Infaillible/dp/B07DSBJF9F/ref=sr_1_1?dib=eyJ2IjoiMSJ9.wBVsblqzovMSya3e99jrtayRsZBOq8Ev6BfbXNYarNJeJYrDUjFXUU2eJU1OLoVW.aFeB8-wDdVYKQvEyH0Kpr17U9vIQm9KyGtqLKSRw9OM&amp;dib_tag=se&amp;keywords=3600523614479&amp;qid=1754323489&amp;s=beauty&amp;sr=1-1</t>
        </is>
      </c>
      <c r="L556" s="14" t="inlineStr">
        <is>
          <t>B07DSBJF9F</t>
        </is>
      </c>
      <c r="M556" s="15" t="n">
        <v>19.6</v>
      </c>
      <c r="N556" s="15" t="n"/>
      <c r="O556" s="15" t="n">
        <v>19.2</v>
      </c>
      <c r="P556" s="15">
        <f>O556/1.19</f>
        <v/>
      </c>
      <c r="Q556" s="15">
        <f>O556-P556</f>
        <v/>
      </c>
      <c r="R556" s="15">
        <f>O556*0.15</f>
        <v/>
      </c>
      <c r="S556" s="15" t="n">
        <v>9.890000000000001</v>
      </c>
      <c r="T556" s="15">
        <f>S556*0.2</f>
        <v/>
      </c>
      <c r="U556" s="15" t="n">
        <v>0.400000000000002</v>
      </c>
      <c r="V556" s="15" t="n">
        <v>2.4</v>
      </c>
      <c r="W556" s="15">
        <f>V556*0.2</f>
        <v/>
      </c>
      <c r="X556" s="21">
        <f>O556-Q556-R556-S556-U556-V556+T556+W556</f>
        <v/>
      </c>
      <c r="Y556" s="14" t="n"/>
      <c r="Z556" s="15">
        <f>O556+1.5</f>
        <v/>
      </c>
      <c r="AA556" s="15" t="n"/>
      <c r="AB556" s="15" t="n"/>
      <c r="AC556" s="14" t="n"/>
      <c r="AD556" s="14" t="n"/>
      <c r="AE556" s="13" t="inlineStr">
        <is>
          <t>NOT_UPLOADED</t>
        </is>
      </c>
    </row>
    <row r="557" ht="16" customHeight="1">
      <c r="A557" s="17" t="n">
        <v>3600523614479</v>
      </c>
      <c r="B557" s="17" t="n">
        <v>3600523614479</v>
      </c>
      <c r="C557" s="20" t="inlineStr">
        <is>
          <t>PACK X 3</t>
        </is>
      </c>
      <c r="D557" s="18" t="n"/>
      <c r="E557" s="18" t="inlineStr">
        <is>
          <t>FORT-3600523614479</t>
        </is>
      </c>
      <c r="F557" s="17" t="inlineStr">
        <is>
          <t>L5035</t>
        </is>
      </c>
      <c r="G557" s="18" t="inlineStr">
        <is>
          <t>Fortuna</t>
        </is>
      </c>
      <c r="H557" s="18" t="inlineStr">
        <is>
          <t>Loreal</t>
        </is>
      </c>
      <c r="I557" s="18" t="inlineStr">
        <is>
          <t>L'Oréal Paris Infaillible 24H Fresh Wear Make-Up Foundation 220 Sand Pack of 3 x 30 ml</t>
        </is>
      </c>
      <c r="J557" s="18" t="inlineStr">
        <is>
          <t>No</t>
        </is>
      </c>
      <c r="K557" s="18" t="inlineStr">
        <is>
          <t>https://www.amazon.de/-/en/LOr%C3%A9al-Paris-Infaillible-Make-Up-Foundation/dp/B0C1VDZBPZ/ref=sr_1_3?dib=eyJ2IjoiMSJ9.wBVsblqzovMSya3e99jrtayRsZBOq8Ev6BfbXNYarNJeJYrDUjFXUU2eJU1OLoVW.aFeB8-wDdVYKQvEyH0Kpr17U9vIQm9KyGtqLKSRw9OM&amp;dib_tag=se&amp;keywords=3600523614479&amp;qid=1754323561&amp;s=beauty&amp;sr=1-3</t>
        </is>
      </c>
      <c r="L557" s="18" t="inlineStr">
        <is>
          <t>B0C1VDZBPZ</t>
        </is>
      </c>
      <c r="M557" s="19" t="n">
        <v>56.3</v>
      </c>
      <c r="N557" s="19" t="n"/>
      <c r="O557" s="19" t="n">
        <v>55.7</v>
      </c>
      <c r="P557" s="19">
        <f>O557/1.19</f>
        <v/>
      </c>
      <c r="Q557" s="19">
        <f>O557-P557</f>
        <v/>
      </c>
      <c r="R557" s="19">
        <f>O557*0.15</f>
        <v/>
      </c>
      <c r="S557" s="19" t="n">
        <v>29.67</v>
      </c>
      <c r="T557" s="19">
        <f>S557*0.2</f>
        <v/>
      </c>
      <c r="U557" s="19" t="n">
        <v>0.400000000000002</v>
      </c>
      <c r="V557" s="19" t="n">
        <v>4.5</v>
      </c>
      <c r="W557" s="19">
        <f>V557*0.2</f>
        <v/>
      </c>
      <c r="X557" s="21">
        <f>O557-Q557-R557-S557-U557-V557+T557+W557</f>
        <v/>
      </c>
      <c r="Y557" s="18" t="n"/>
      <c r="Z557" s="19">
        <f>O557+1.5</f>
        <v/>
      </c>
      <c r="AA557" s="19" t="n"/>
      <c r="AB557" s="19" t="n"/>
      <c r="AC557" s="18" t="n"/>
      <c r="AD557" s="18" t="n"/>
      <c r="AE557" s="13" t="inlineStr">
        <is>
          <t>NOT_UPLOADED</t>
        </is>
      </c>
    </row>
    <row r="558" ht="16" customHeight="1">
      <c r="A558" s="12" t="n">
        <v>885790574746</v>
      </c>
      <c r="B558" s="12" t="n">
        <v>3600523614530</v>
      </c>
      <c r="C558" s="13" t="n"/>
      <c r="D558" s="14" t="n"/>
      <c r="E558" s="14" t="inlineStr">
        <is>
          <t>FOR-885790574746</t>
        </is>
      </c>
      <c r="F558" s="12" t="inlineStr">
        <is>
          <t>L5036</t>
        </is>
      </c>
      <c r="G558" s="14" t="inlineStr">
        <is>
          <t>Fortuna</t>
        </is>
      </c>
      <c r="H558" s="14" t="inlineStr">
        <is>
          <t>Loreal</t>
        </is>
      </c>
      <c r="I558" s="14" t="inlineStr">
        <is>
          <t>L'Oréal Paris makeup, waterproof and long-lasting liquid foundation with SPF 25, Infaillible 32H Fresh Wear makeup, No. 235 honey, 30 ml</t>
        </is>
      </c>
      <c r="J558" s="14" t="inlineStr">
        <is>
          <t>No</t>
        </is>
      </c>
      <c r="K558" s="14" t="inlineStr">
        <is>
          <t>https://www.amazon.de/-/en/LOr%C3%A9al-waterproof-long-lasting-foundation-Infaillible/dp/B07DSHXRPR/ref=sr_1_1?crid=3NC15PGXGQB29&amp;dib=eyJ2IjoiMSJ9.LHk1JxWIZdLETqZNrpei8GpPccRPszZFmz3ayJya6KLGjHj071QN20LucGBJIEps.jigAPA8z7P301yg1ScA0uYyRq1jBoIg8allDFrRq6uE&amp;dib_tag=se&amp;keywords=3600523614530&amp;qid=1754323670&amp;rdc=1&amp;s=beauty&amp;sprefix=3600523614479%2Cbeauty%2C3349&amp;sr=1-1&amp;th=1</t>
        </is>
      </c>
      <c r="L558" s="14" t="inlineStr">
        <is>
          <t>B07DSHXRPR</t>
        </is>
      </c>
      <c r="M558" s="15" t="n">
        <v>19.6</v>
      </c>
      <c r="N558" s="15" t="n"/>
      <c r="O558" s="15" t="n">
        <v>19.2</v>
      </c>
      <c r="P558" s="15">
        <f>O558/1.19</f>
        <v/>
      </c>
      <c r="Q558" s="15">
        <f>O558-P558</f>
        <v/>
      </c>
      <c r="R558" s="15">
        <f>O558*0.15</f>
        <v/>
      </c>
      <c r="S558" s="15" t="n">
        <v>9.890000000000001</v>
      </c>
      <c r="T558" s="15">
        <f>S558*0.2</f>
        <v/>
      </c>
      <c r="U558" s="15" t="n">
        <v>0.400000000000002</v>
      </c>
      <c r="V558" s="15" t="n">
        <v>2.4</v>
      </c>
      <c r="W558" s="15">
        <f>V558*0.2</f>
        <v/>
      </c>
      <c r="X558" s="21">
        <f>O558-Q558-R558-S558-U558-V558+T558+W558</f>
        <v/>
      </c>
      <c r="Y558" s="14" t="n"/>
      <c r="Z558" s="15">
        <f>O558+1.5</f>
        <v/>
      </c>
      <c r="AA558" s="15" t="n"/>
      <c r="AB558" s="15" t="n"/>
      <c r="AC558" s="14" t="n"/>
      <c r="AD558" s="14" t="n"/>
      <c r="AE558" s="13" t="inlineStr">
        <is>
          <t>NOT_UPLOADED</t>
        </is>
      </c>
    </row>
    <row r="559" ht="16" customHeight="1">
      <c r="A559" s="17" t="n">
        <v>3600523614523</v>
      </c>
      <c r="B559" s="17" t="n">
        <v>3600523614523</v>
      </c>
      <c r="C559" s="13" t="n"/>
      <c r="D559" s="18" t="n"/>
      <c r="E559" s="18" t="inlineStr">
        <is>
          <t>FOR-3600523614523</t>
        </is>
      </c>
      <c r="F559" s="17" t="inlineStr">
        <is>
          <t>L5037</t>
        </is>
      </c>
      <c r="G559" s="18" t="inlineStr">
        <is>
          <t>Fortuna</t>
        </is>
      </c>
      <c r="H559" s="18" t="inlineStr">
        <is>
          <t>Loreal</t>
        </is>
      </c>
      <c r="I559" s="18" t="inlineStr">
        <is>
          <t>L'Oréal Paris makeup, waterproof and long-lasting liquid foundation with SPF 25, Infaillible 32H Fresh Wear makeup, No. 300 amber, 30 ml</t>
        </is>
      </c>
      <c r="J559" s="18" t="inlineStr">
        <is>
          <t>No</t>
        </is>
      </c>
      <c r="K559" s="18" t="inlineStr">
        <is>
          <t>https://www.amazon.de/-/en/LOr%C3%A9al-waterproof-long-lasting-foundation-Infaillible/dp/B07DSBG1LR/ref=sr_1_1?crid=1NK0ET1TXDHY3&amp;dib=eyJ2IjoiMSJ9.wFxJIZP5_QFOqRrhAqcrI9aE7tRHwENqVKErOhx_wrjbKDJm77sEAEhzemDkCv7izeHDpWc-WGLTGqAkRw1iAwcuhpxaVSkG9iOQOM22eKzBYqR_WS_MO3F6EdrDy3mSlDygUwltXMPQeM0i8WinD2UzOIMfNV5GWRgorc2T52ah_9H79K7nm0yuoGHV2_gA-nwxtLeCgh3HXMnFbDGPHH79tFDsZzsXRKo1kLzWceXGfBtrUPbYDv3KhmvxcR_ZngpIir8rVbo3sFHh0rE4jd2_qAxX7mfkUklh0Wrhwmo.6xz4sWHoHO0mVr8UiyTL_4Ht-mo3JE904xz7TAUluCI&amp;dib_tag=se&amp;keywords=LOREAL%2BFDT%2BINFAILLIBLE%2B300&amp;qid=1754323960&amp;rdc=1&amp;s=beauty&amp;sprefix=loreal%2Bfdt%2Binfaillible%2B300%2Cbeauty%2C2039&amp;sr=1-1&amp;th=1</t>
        </is>
      </c>
      <c r="L559" s="18" t="inlineStr">
        <is>
          <t>B07DSBG1LR</t>
        </is>
      </c>
      <c r="M559" s="19" t="n">
        <v>19.6</v>
      </c>
      <c r="N559" s="19" t="n"/>
      <c r="O559" s="19" t="n">
        <v>17.2</v>
      </c>
      <c r="P559" s="19">
        <f>O559/1.19</f>
        <v/>
      </c>
      <c r="Q559" s="19">
        <f>O559-P559</f>
        <v/>
      </c>
      <c r="R559" s="19">
        <f>O559*0.15</f>
        <v/>
      </c>
      <c r="S559" s="19" t="n">
        <v>7.41</v>
      </c>
      <c r="T559" s="19">
        <f>S559*0.2</f>
        <v/>
      </c>
      <c r="U559" s="19" t="n">
        <v>0.400000000000002</v>
      </c>
      <c r="V559" s="19" t="n">
        <v>2.4</v>
      </c>
      <c r="W559" s="19">
        <f>V559*0.2</f>
        <v/>
      </c>
      <c r="X559" s="21">
        <f>O559-Q559-R559-S559-U559-V559+T559+W559</f>
        <v/>
      </c>
      <c r="Y559" s="18" t="n"/>
      <c r="Z559" s="19">
        <f>O559+1.5</f>
        <v/>
      </c>
      <c r="AA559" s="19" t="n"/>
      <c r="AB559" s="19" t="n"/>
      <c r="AC559" s="18" t="n"/>
      <c r="AD559" s="18" t="n"/>
      <c r="AE559" s="13" t="inlineStr">
        <is>
          <t>NOT_UPLOADED</t>
        </is>
      </c>
    </row>
    <row r="560" ht="16" customHeight="1">
      <c r="A560" s="12" t="n">
        <v>3600531609689</v>
      </c>
      <c r="B560" s="12" t="n">
        <v>3600531609689</v>
      </c>
      <c r="C560" s="13" t="n"/>
      <c r="D560" s="14" t="n"/>
      <c r="E560" s="14" t="inlineStr">
        <is>
          <t>FOR-3600531609689</t>
        </is>
      </c>
      <c r="F560" s="12" t="inlineStr">
        <is>
          <t>M5010</t>
        </is>
      </c>
      <c r="G560" s="14" t="inlineStr">
        <is>
          <t>Fortuna</t>
        </is>
      </c>
      <c r="H560" s="14" t="inlineStr">
        <is>
          <t>Loreal</t>
        </is>
      </c>
      <c r="I560" s="14" t="inlineStr">
        <is>
          <t>Maybelline New York Lifter Gloss Nu 001 Pearl</t>
        </is>
      </c>
      <c r="J560" s="14" t="inlineStr">
        <is>
          <t>No</t>
        </is>
      </c>
      <c r="K560" s="14" t="inlineStr">
        <is>
          <t>https://www.amazon.de/dp/B082XRXSP8</t>
        </is>
      </c>
      <c r="L560" s="14" t="inlineStr">
        <is>
          <t>B082XRXSP8</t>
        </is>
      </c>
      <c r="M560" s="15" t="n">
        <v>14.08</v>
      </c>
      <c r="N560" s="15" t="n"/>
      <c r="O560" s="15" t="n">
        <v>13.8</v>
      </c>
      <c r="P560" s="15">
        <f>O560/1.19</f>
        <v/>
      </c>
      <c r="Q560" s="15">
        <f>O560-P560</f>
        <v/>
      </c>
      <c r="R560" s="15">
        <f>O560*0.15</f>
        <v/>
      </c>
      <c r="S560" s="15" t="n">
        <v>5.6</v>
      </c>
      <c r="T560" s="15">
        <f>S560*0.2</f>
        <v/>
      </c>
      <c r="U560" s="15" t="n">
        <v>0.400000000000002</v>
      </c>
      <c r="V560" s="15" t="n">
        <v>2.1</v>
      </c>
      <c r="W560" s="15">
        <f>V560*0.2</f>
        <v/>
      </c>
      <c r="X560" s="21">
        <f>O560-Q560-R560-S560-U560-V560+T560+W560</f>
        <v/>
      </c>
      <c r="Y560" s="14" t="n"/>
      <c r="Z560" s="15">
        <f>O560+1.5</f>
        <v/>
      </c>
      <c r="AA560" s="15" t="n"/>
      <c r="AB560" s="15" t="n"/>
      <c r="AC560" s="14" t="n"/>
      <c r="AD560" s="14" t="n"/>
      <c r="AE560" s="13" t="inlineStr">
        <is>
          <t>NOT_UPLOADED</t>
        </is>
      </c>
    </row>
    <row r="561" ht="16" customHeight="1">
      <c r="A561" s="17" t="n">
        <v>3600531609764</v>
      </c>
      <c r="B561" s="17" t="n">
        <v>3600531609764</v>
      </c>
      <c r="C561" s="13" t="n"/>
      <c r="D561" s="18" t="n"/>
      <c r="E561" s="18" t="inlineStr">
        <is>
          <t>FOR-3600531609764</t>
        </is>
      </c>
      <c r="F561" s="17" t="inlineStr">
        <is>
          <t>M5011</t>
        </is>
      </c>
      <c r="G561" s="18" t="inlineStr">
        <is>
          <t>Fortuna</t>
        </is>
      </c>
      <c r="H561" s="18" t="inlineStr">
        <is>
          <t>Loreal</t>
        </is>
      </c>
      <c r="I561" s="18" t="inlineStr">
        <is>
          <t>Maybelline New York Glänzender Lipgloss für voller wirkende Lippen, Feuchtigkeitsspendend, Mit Hyaluronsäure, Lifter Gloss, Farbe: Nr. 002 Ice (Nude), 1 x 5,4 ml</t>
        </is>
      </c>
      <c r="J561" s="18" t="inlineStr">
        <is>
          <t>No</t>
        </is>
      </c>
      <c r="K561" s="18" t="inlineStr">
        <is>
          <t>https://www.amazon.de/dp/B082XRFVNN?th=1</t>
        </is>
      </c>
      <c r="L561" s="18" t="inlineStr">
        <is>
          <t>B082XRFVNN</t>
        </is>
      </c>
      <c r="M561" s="19" t="n">
        <v>14.08</v>
      </c>
      <c r="N561" s="19" t="n"/>
      <c r="O561" s="19" t="n">
        <v>13.8</v>
      </c>
      <c r="P561" s="19">
        <f>O561/1.19</f>
        <v/>
      </c>
      <c r="Q561" s="19">
        <f>O561-P561</f>
        <v/>
      </c>
      <c r="R561" s="19">
        <f>O561*0.15</f>
        <v/>
      </c>
      <c r="S561" s="19" t="n">
        <v>5.6</v>
      </c>
      <c r="T561" s="19">
        <f>S561*0.2</f>
        <v/>
      </c>
      <c r="U561" s="19" t="n">
        <v>0.400000000000002</v>
      </c>
      <c r="V561" s="19" t="n">
        <v>2.1</v>
      </c>
      <c r="W561" s="19">
        <f>V561*0.2</f>
        <v/>
      </c>
      <c r="X561" s="21">
        <f>O561-Q561-R561-S561-U561-V561+T561+W561</f>
        <v/>
      </c>
      <c r="Y561" s="18" t="n"/>
      <c r="Z561" s="19">
        <f>O561+1.5</f>
        <v/>
      </c>
      <c r="AA561" s="19" t="n"/>
      <c r="AB561" s="19" t="n"/>
      <c r="AC561" s="18" t="n"/>
      <c r="AD561" s="18" t="n"/>
      <c r="AE561" s="13" t="inlineStr">
        <is>
          <t>NOT_UPLOADED</t>
        </is>
      </c>
    </row>
    <row r="562" ht="16" customHeight="1">
      <c r="A562" s="12" t="n">
        <v>4103040113672</v>
      </c>
      <c r="B562" s="12" t="n">
        <v>4103040113672</v>
      </c>
      <c r="C562" s="20" t="inlineStr">
        <is>
          <t>PACK X 3</t>
        </is>
      </c>
      <c r="D562" s="14" t="n"/>
      <c r="E562" s="14" t="inlineStr">
        <is>
          <t>ORBI-4103040113672</t>
        </is>
      </c>
      <c r="F562" s="12" t="n">
        <v>1100006542</v>
      </c>
      <c r="G562" s="14" t="inlineStr">
        <is>
          <t>Orbico</t>
        </is>
      </c>
      <c r="H562" s="14" t="inlineStr">
        <is>
          <t>Sebamed</t>
        </is>
      </c>
      <c r="I562" s="14" t="inlineStr">
        <is>
          <t>Sebamed Baby Cleansing Bar 100g - (Pack of3)</t>
        </is>
      </c>
      <c r="J562" s="14" t="inlineStr">
        <is>
          <t>No</t>
        </is>
      </c>
      <c r="K562" s="14" t="inlineStr">
        <is>
          <t>https://www.amazon.de/Sebamed-Baby-Cleansing-Bar-100g/dp/B008S0RLAG/ref=sr_1_1?__mk_de_DE=%C3%85M%C3%85%C5%BD%C3%95%C3%91&amp;crid=AAIOBZNJYFQ0&amp;dib=eyJ2IjoiMSJ9.QcrSeLvgE7pd0rXm55yX2nYo3O_zrDw47_oT59kzGBGo3V7dJP6r7EE0PsOukMF_DAcox1aYAAvaNhE2WPLvo4NfXPRZpwA5qjcPK5Sar31JyFQ6QAgULtS-htF3bCcsjtIsIg6vk0rP0wqdEt-xnN9lWjpZoqS6ItRrY48oehSPRavoUtL5hLIhso60m8XgmGhJTQ9tTn5jn3gg4CRTc5ZTtdV6jUrBhL5nBee_EGJK9cqlGlBrLP78QKS7GePadw1uNKyAPZNU5pNL6i3LOtxmLUnxNS1jv9LkCcqcx7g.Hqa8FRBHyxyIlIRV6dyWoAhAxNoAtup08CF6smFPFQE&amp;dib_tag=se&amp;keywords=SEBAMED+BABY+CLEANSING+BAR&amp;qid=1754993816&amp;sprefix=sebamed+baby+cleansing+bar%2Caps%2C111&amp;sr=8-1</t>
        </is>
      </c>
      <c r="L562" s="14" t="inlineStr">
        <is>
          <t>B008S0RLAG</t>
        </is>
      </c>
      <c r="M562" s="15" t="n">
        <v>21.26</v>
      </c>
      <c r="N562" s="15" t="n"/>
      <c r="O562" s="15" t="n">
        <v>21</v>
      </c>
      <c r="P562" s="15">
        <f>O562/1.19</f>
        <v/>
      </c>
      <c r="Q562" s="15">
        <f>O562-P562</f>
        <v/>
      </c>
      <c r="R562" s="15">
        <f>O562*0.15</f>
        <v/>
      </c>
      <c r="S562" s="15" t="n">
        <v>9.779999999999999</v>
      </c>
      <c r="T562" s="15">
        <f>S562*0.2</f>
        <v/>
      </c>
      <c r="U562" s="15" t="n">
        <v>0.400000000000002</v>
      </c>
      <c r="V562" s="15" t="n">
        <v>4.75</v>
      </c>
      <c r="W562" s="15">
        <f>V562*0.2</f>
        <v/>
      </c>
      <c r="X562" s="21">
        <f>O562-Q562-R562-S562-U562-V562+T562+W562</f>
        <v/>
      </c>
      <c r="Y562" s="14" t="n"/>
      <c r="Z562" s="15">
        <f>O562+1.5</f>
        <v/>
      </c>
      <c r="AA562" s="15" t="n"/>
      <c r="AB562" s="15" t="n"/>
      <c r="AC562" s="14" t="n"/>
      <c r="AD562" s="14" t="n"/>
      <c r="AE562" s="13" t="inlineStr">
        <is>
          <t>NOT_UPLOADED</t>
        </is>
      </c>
    </row>
    <row r="563" ht="16" customHeight="1">
      <c r="A563" s="17" t="n">
        <v>4103040113672</v>
      </c>
      <c r="B563" s="17" t="n">
        <v>4103040113672</v>
      </c>
      <c r="C563" s="20" t="inlineStr">
        <is>
          <t>PACK X 4</t>
        </is>
      </c>
      <c r="D563" s="18" t="n"/>
      <c r="E563" s="18" t="inlineStr">
        <is>
          <t>ORBIC-4103040113672</t>
        </is>
      </c>
      <c r="F563" s="17" t="n">
        <v>1100006542</v>
      </c>
      <c r="G563" s="18" t="inlineStr">
        <is>
          <t>Orbico</t>
        </is>
      </c>
      <c r="H563" s="18" t="inlineStr">
        <is>
          <t>Sebamed</t>
        </is>
      </c>
      <c r="I563" s="18" t="inlineStr">
        <is>
          <t>Sebamed Baby Cleansing Bar, 3.5-Ounce Boxes (Pack of 4)</t>
        </is>
      </c>
      <c r="J563" s="18" t="inlineStr">
        <is>
          <t>No</t>
        </is>
      </c>
      <c r="K563" s="18" t="inlineStr">
        <is>
          <t>https://www.amazon.de/Sebamed-Baby-Cleansing-3-5-Ounce-Boxes/dp/B00DRE5ARY/ref=sr_1_3?__mk_de_DE=%C3%85M%C3%85%C5%BD%C3%95%C3%91&amp;crid=AAIOBZNJYFQ0&amp;dib=eyJ2IjoiMSJ9.QcrSeLvgE7pd0rXm55yX2nYo3O_zrDw47_oT59kzGBGo3V7dJP6r7EE0PsOukMF_DAcox1aYAAvaNhE2WPLvo4NfXPRZpwA5qjcPK5Sar31JyFQ6QAgULtS-htF3bCcsjtIsIg6vk0rP0wqdEt-xnN9lWjpZoqS6ItRrY48oehSPRavoUtL5hLIhso60m8XgmGhJTQ9tTn5jn3gg4CRTc5ZTtdV6jUrBhL5nBee_EGJK9cqlGlBrLP78QKS7GePadw1uNKyAPZNU5pNL6i3LOtxmLUnxNS1jv9LkCcqcx7g.Hqa8FRBHyxyIlIRV6dyWoAhAxNoAtup08CF6smFPFQE&amp;dib_tag=se&amp;keywords=SEBAMED+BABY+CLEANSING+BAR&amp;qid=1754993816&amp;sprefix=sebamed+baby+cleansing+bar%2Caps%2C111&amp;sr=8-3</t>
        </is>
      </c>
      <c r="L563" s="18" t="inlineStr">
        <is>
          <t>B00DRE5ARY</t>
        </is>
      </c>
      <c r="M563" s="19" t="n">
        <v>26.41</v>
      </c>
      <c r="N563" s="19" t="n"/>
      <c r="O563" s="19" t="n">
        <v>27</v>
      </c>
      <c r="P563" s="19">
        <f>O563/1.19</f>
        <v/>
      </c>
      <c r="Q563" s="19">
        <f>O563-P563</f>
        <v/>
      </c>
      <c r="R563" s="19">
        <f>O563*0.15</f>
        <v/>
      </c>
      <c r="S563" s="19" t="n">
        <v>13.04</v>
      </c>
      <c r="T563" s="19">
        <f>S563*0.2</f>
        <v/>
      </c>
      <c r="U563" s="19" t="n">
        <v>0.400000000000002</v>
      </c>
      <c r="V563" s="19" t="n">
        <v>5.6</v>
      </c>
      <c r="W563" s="19">
        <f>V563*0.2</f>
        <v/>
      </c>
      <c r="X563" s="21">
        <f>O563-Q563-R563-S563-U563-V563+T563+W563</f>
        <v/>
      </c>
      <c r="Y563" s="18" t="n"/>
      <c r="Z563" s="19">
        <f>O563+1.5</f>
        <v/>
      </c>
      <c r="AA563" s="19" t="n"/>
      <c r="AB563" s="19" t="n"/>
      <c r="AC563" s="18" t="n"/>
      <c r="AD563" s="18" t="n"/>
      <c r="AE563" s="13" t="inlineStr">
        <is>
          <t>NOT_UPLOADED</t>
        </is>
      </c>
    </row>
    <row r="564" ht="16" customHeight="1">
      <c r="A564" s="12" t="n">
        <v>5060493185290</v>
      </c>
      <c r="B564" s="12" t="n">
        <v>4103040113672</v>
      </c>
      <c r="C564" s="20" t="inlineStr">
        <is>
          <t>PACK X 6</t>
        </is>
      </c>
      <c r="D564" s="14" t="n"/>
      <c r="E564" s="14" t="inlineStr">
        <is>
          <t>ORB-5060493185290</t>
        </is>
      </c>
      <c r="F564" s="12" t="n">
        <v>1100006542</v>
      </c>
      <c r="G564" s="14" t="inlineStr">
        <is>
          <t>Orbico</t>
        </is>
      </c>
      <c r="H564" s="14" t="inlineStr">
        <is>
          <t>Sebamed</t>
        </is>
      </c>
      <c r="I564" s="14" t="inlineStr">
        <is>
          <t>Sebamed Baby Cleansing Bar 100 g, 6 Stück</t>
        </is>
      </c>
      <c r="J564" s="14" t="inlineStr">
        <is>
          <t>No</t>
        </is>
      </c>
      <c r="K564" s="14" t="inlineStr">
        <is>
          <t>https://www.amazon.de/-/en/Sebamed-Baby-Cleansing-100g-Pack/dp/B08G4Y39J5/ref=sr_1_7?crid=16UASN2UFKMAS&amp;dib=eyJ2IjoiMSJ9.YK1HZrHTgFZ_4z-kFv3Y8Jg9XTS8L-VsaAB6GjAQmYGR-g4lvkK6JepFkKZisMucMYpTWMAi9RuCxyn9ZnM24uaxmcA8sGbCMIkCckOR9lK4N3X1khi_dxuzdKq18B33OIBRPL8D6FNqkXNpgFE5WLBj6ftUNZ-YuZbHjF6mraO9wbJ4Lla6nMct4pMP8KKkf7lmJG--MM39AanjTqUrasTWh-dwGf5IY8f2bRikkzAqjfqvBZ_j5rVOUe-ufspcOl7igc_KFLudbzNPNzKz3QquZLAQ23IW5S0KyHBFsTA.XgPCjUZz22ufClxQ2oFZFR3yHzZFsseuO2GpD0tNofQ&amp;dib_tag=se&amp;keywords=SEBAMED+BABY+SOAP&amp;qid=1757056861&amp;sprefix=sebamed+baby+soap%2Caps%2C804&amp;sr=8-7</t>
        </is>
      </c>
      <c r="L564" s="14" t="inlineStr">
        <is>
          <t>B08G4Y39J5</t>
        </is>
      </c>
      <c r="M564" s="15" t="n">
        <v>37.72</v>
      </c>
      <c r="N564" s="15" t="n"/>
      <c r="O564" s="15" t="n">
        <v>39.7</v>
      </c>
      <c r="P564" s="15">
        <f>O564/1.19</f>
        <v/>
      </c>
      <c r="Q564" s="15">
        <f>O564-P564</f>
        <v/>
      </c>
      <c r="R564" s="15">
        <f>O564*0.15</f>
        <v/>
      </c>
      <c r="S564" s="15" t="n">
        <v>19.66</v>
      </c>
      <c r="T564" s="15">
        <f>S564*0.2</f>
        <v/>
      </c>
      <c r="U564" s="15" t="n">
        <v>0.400000000000002</v>
      </c>
      <c r="V564" s="15" t="n">
        <v>9.35</v>
      </c>
      <c r="W564" s="15">
        <f>V564*0.2</f>
        <v/>
      </c>
      <c r="X564" s="21">
        <f>O564-Q564-R564-S564-U564-V564+T564+W564</f>
        <v/>
      </c>
      <c r="Y564" s="14" t="n"/>
      <c r="Z564" s="15">
        <f>O564+1.5</f>
        <v/>
      </c>
      <c r="AA564" s="15" t="n"/>
      <c r="AB564" s="15" t="n"/>
      <c r="AC564" s="14" t="n"/>
      <c r="AD564" s="14" t="n"/>
      <c r="AE564" s="13" t="inlineStr">
        <is>
          <t>NOT_UPLOADED</t>
        </is>
      </c>
    </row>
    <row r="565" ht="16" customHeight="1">
      <c r="A565" s="17" t="n">
        <v>4000290006405</v>
      </c>
      <c r="B565" s="17" t="n">
        <v>8002030142318</v>
      </c>
      <c r="C565" s="13" t="n"/>
      <c r="D565" s="18" t="n"/>
      <c r="E565" s="18" t="inlineStr">
        <is>
          <t>ORB-4000290006405</t>
        </is>
      </c>
      <c r="F565" s="17" t="n">
        <v>1001001105</v>
      </c>
      <c r="G565" s="18" t="inlineStr">
        <is>
          <t>Orbico</t>
        </is>
      </c>
      <c r="H565" s="18" t="inlineStr">
        <is>
          <t>Autan</t>
        </is>
      </c>
      <c r="I565" s="18" t="inlineStr">
        <is>
          <t>Autan Family Care Pumpspray Mückenschutz für die Familie, Repellent, mit Aloe Vera, Travel Essentials, 1er Pack (1 x 100 ml</t>
        </is>
      </c>
      <c r="J565" s="18" t="inlineStr">
        <is>
          <t>No</t>
        </is>
      </c>
      <c r="K565" s="18" t="inlineStr">
        <is>
          <t>https://www.amazon.de/dp/B00E3V5UDY</t>
        </is>
      </c>
      <c r="L565" s="18" t="inlineStr">
        <is>
          <t>B00E3V5UDY</t>
        </is>
      </c>
      <c r="M565" s="19" t="n">
        <v>10.99</v>
      </c>
      <c r="N565" s="19" t="n"/>
      <c r="O565" s="19" t="n">
        <v>13.2</v>
      </c>
      <c r="P565" s="19">
        <f>O565/1.19</f>
        <v/>
      </c>
      <c r="Q565" s="19">
        <f>O565-P565</f>
        <v/>
      </c>
      <c r="R565" s="19">
        <f>O565*0.15</f>
        <v/>
      </c>
      <c r="S565" s="19" t="n">
        <v>4.57</v>
      </c>
      <c r="T565" s="19">
        <f>S565*0.2</f>
        <v/>
      </c>
      <c r="U565" s="19" t="n">
        <v>0.400000000000002</v>
      </c>
      <c r="V565" s="19" t="n">
        <v>3</v>
      </c>
      <c r="W565" s="19">
        <f>V565*0.2</f>
        <v/>
      </c>
      <c r="X565" s="21">
        <f>O565-Q565-R565-S565-U565-V565+T565+W565</f>
        <v/>
      </c>
      <c r="Y565" s="18" t="n"/>
      <c r="Z565" s="19">
        <f>O565+1.5</f>
        <v/>
      </c>
      <c r="AA565" s="19" t="n"/>
      <c r="AB565" s="19" t="n"/>
      <c r="AC565" s="18" t="n"/>
      <c r="AD565" s="18" t="n"/>
      <c r="AE565" s="13" t="inlineStr">
        <is>
          <t>NOT_UPLOADED</t>
        </is>
      </c>
    </row>
    <row r="566" ht="16" customHeight="1">
      <c r="A566" s="12" t="n">
        <v>8002030142318</v>
      </c>
      <c r="B566" s="12" t="n">
        <v>8002030142318</v>
      </c>
      <c r="C566" s="13" t="n"/>
      <c r="D566" s="14" t="inlineStr">
        <is>
          <t>FR</t>
        </is>
      </c>
      <c r="E566" s="14" t="inlineStr">
        <is>
          <t>ORB-80020301423181</t>
        </is>
      </c>
      <c r="F566" s="12" t="n">
        <v>1001001105</v>
      </c>
      <c r="G566" s="14" t="inlineStr">
        <is>
          <t>Orbico</t>
        </is>
      </c>
      <c r="H566" s="14" t="inlineStr">
        <is>
          <t>Autan</t>
        </is>
      </c>
      <c r="I566" s="14" t="inlineStr">
        <is>
          <t>Autan Family Care Spray - Anti-Mosquito Spray - Up to 4 Hours of Immediate Protection - Contains Skin Moisturizing Agents - 1 Spray, 100 ml</t>
        </is>
      </c>
      <c r="J566" s="14" t="inlineStr">
        <is>
          <t>No</t>
        </is>
      </c>
      <c r="K566" s="14" t="inlineStr">
        <is>
          <t>https://www.amazon.fr/dp/B06XKQKXYW</t>
        </is>
      </c>
      <c r="L566" s="14" t="inlineStr">
        <is>
          <t>B06XKQKXYW</t>
        </is>
      </c>
      <c r="M566" s="15" t="n"/>
      <c r="N566" s="15" t="n"/>
      <c r="O566" s="15" t="n">
        <v>13.2</v>
      </c>
      <c r="P566" s="15">
        <f>O566/1.19</f>
        <v/>
      </c>
      <c r="Q566" s="15">
        <f>O566-P566</f>
        <v/>
      </c>
      <c r="R566" s="15">
        <f>O566*0.15</f>
        <v/>
      </c>
      <c r="S566" s="15" t="n">
        <v>4.57</v>
      </c>
      <c r="T566" s="15">
        <f>S566*0.2</f>
        <v/>
      </c>
      <c r="U566" s="15" t="n">
        <v>0.400000000000002</v>
      </c>
      <c r="V566" s="15" t="n">
        <v>3</v>
      </c>
      <c r="W566" s="15">
        <f>V566*0.2</f>
        <v/>
      </c>
      <c r="X566" s="21">
        <f>O566-Q566-R566-S566-U566-V566+T566+W566</f>
        <v/>
      </c>
      <c r="Y566" s="14" t="n"/>
      <c r="Z566" s="15">
        <f>O566+1.5</f>
        <v/>
      </c>
      <c r="AA566" s="15" t="n"/>
      <c r="AB566" s="15" t="n"/>
      <c r="AC566" s="14" t="n"/>
      <c r="AD566" s="14" t="n"/>
      <c r="AE566" s="13" t="inlineStr">
        <is>
          <t>NOT_UPLOADED</t>
        </is>
      </c>
    </row>
    <row r="567" ht="16" customHeight="1">
      <c r="A567" s="17" t="n"/>
      <c r="B567" s="17" t="n"/>
      <c r="C567" s="13" t="n"/>
      <c r="D567" s="18" t="n"/>
      <c r="E567" s="18" t="inlineStr">
        <is>
          <t>AMP-B00DQUZXAS</t>
        </is>
      </c>
      <c r="F567" s="17" t="n">
        <v>2904002</v>
      </c>
      <c r="G567" s="18" t="inlineStr">
        <is>
          <t>Amperel</t>
        </is>
      </c>
      <c r="H567" s="18" t="inlineStr">
        <is>
          <t>Corega</t>
        </is>
      </c>
      <c r="I567" s="18" t="inlineStr">
        <is>
          <t>Corega Extra Strong 40 g - denture adhesive cream by Corega</t>
        </is>
      </c>
      <c r="J567" s="18" t="inlineStr">
        <is>
          <t>No</t>
        </is>
      </c>
      <c r="K567" s="18" t="inlineStr">
        <is>
          <t>https://www.amazon.de/dp/B00DQUZXAS</t>
        </is>
      </c>
      <c r="L567" s="18" t="inlineStr">
        <is>
          <t>B00DQUZXAS</t>
        </is>
      </c>
      <c r="M567" s="19" t="n">
        <v>10.32</v>
      </c>
      <c r="N567" s="19" t="n"/>
      <c r="O567" s="19" t="n">
        <v>9.949999999999999</v>
      </c>
      <c r="P567" s="19">
        <f>O567/1.19</f>
        <v/>
      </c>
      <c r="Q567" s="19">
        <f>O567-P567</f>
        <v/>
      </c>
      <c r="R567" s="19">
        <f>O567*0.15</f>
        <v/>
      </c>
      <c r="S567" s="19" t="n">
        <v>3.5</v>
      </c>
      <c r="T567" s="19">
        <f>S567*0.2</f>
        <v/>
      </c>
      <c r="U567" s="19" t="n">
        <v>0.400000000000002</v>
      </c>
      <c r="V567" s="19" t="n">
        <v>2</v>
      </c>
      <c r="W567" s="19">
        <f>V567*0.2</f>
        <v/>
      </c>
      <c r="X567" s="21">
        <f>O567-Q567-R567-S567-U567-V567+T567+W567</f>
        <v/>
      </c>
      <c r="Y567" s="18" t="n"/>
      <c r="Z567" s="19">
        <f>O567+1.5</f>
        <v/>
      </c>
      <c r="AA567" s="19" t="n"/>
      <c r="AB567" s="19" t="n"/>
      <c r="AC567" s="18" t="n"/>
      <c r="AD567" s="18" t="n"/>
      <c r="AE567" s="13" t="inlineStr">
        <is>
          <t>NOT_UPLOADED</t>
        </is>
      </c>
    </row>
    <row r="568" ht="16" customHeight="1">
      <c r="A568" s="12" t="n">
        <v>3800132250734</v>
      </c>
      <c r="B568" s="12" t="n">
        <v>3800132250734</v>
      </c>
      <c r="C568" s="20" t="inlineStr">
        <is>
          <t>PACK X 3</t>
        </is>
      </c>
      <c r="D568" s="14" t="n"/>
      <c r="E568" s="14" t="inlineStr">
        <is>
          <t>AMP-3800132250734</t>
        </is>
      </c>
      <c r="F568" s="12" t="n">
        <v>2904005</v>
      </c>
      <c r="G568" s="14" t="inlineStr">
        <is>
          <t>Amperel</t>
        </is>
      </c>
      <c r="H568" s="14" t="inlineStr">
        <is>
          <t>Corega</t>
        </is>
      </c>
      <c r="I568" s="14" t="inlineStr">
        <is>
          <t>Corega, Tooth Cream, Fresh, Pack of 3, 40 g</t>
        </is>
      </c>
      <c r="J568" s="14" t="inlineStr">
        <is>
          <t>No</t>
        </is>
      </c>
      <c r="K568" s="14" t="inlineStr">
        <is>
          <t>https://www.amazon.de/dp/B0F21M4JYJ</t>
        </is>
      </c>
      <c r="L568" s="14" t="inlineStr">
        <is>
          <t>B0F21M4JYJ</t>
        </is>
      </c>
      <c r="M568" s="15" t="n">
        <v>23.89</v>
      </c>
      <c r="N568" s="15" t="n"/>
      <c r="O568" s="15" t="n">
        <v>23.8</v>
      </c>
      <c r="P568" s="15">
        <f>O568/1.19</f>
        <v/>
      </c>
      <c r="Q568" s="15">
        <f>O568-P568</f>
        <v/>
      </c>
      <c r="R568" s="15">
        <f>O568*0.15</f>
        <v/>
      </c>
      <c r="S568" s="15" t="n">
        <v>11.14</v>
      </c>
      <c r="T568" s="15">
        <f>S568*0.2</f>
        <v/>
      </c>
      <c r="U568" s="15" t="n">
        <v>0.400000000000002</v>
      </c>
      <c r="V568" s="15" t="n">
        <v>4</v>
      </c>
      <c r="W568" s="15">
        <f>V568*0.2</f>
        <v/>
      </c>
      <c r="X568" s="21">
        <f>O568-Q568-R568-S568-U568-V568+T568+W568</f>
        <v/>
      </c>
      <c r="Y568" s="14" t="n"/>
      <c r="Z568" s="15">
        <f>O568+1.5</f>
        <v/>
      </c>
      <c r="AA568" s="15" t="n"/>
      <c r="AB568" s="15" t="n"/>
      <c r="AC568" s="14" t="n"/>
      <c r="AD568" s="14" t="n"/>
      <c r="AE568" s="13" t="inlineStr">
        <is>
          <t>NOT_UPLOADED</t>
        </is>
      </c>
    </row>
    <row r="569" ht="16" customHeight="1">
      <c r="A569" s="17" t="n">
        <v>5054563207357</v>
      </c>
      <c r="B569" s="17" t="n">
        <v>5054563207357</v>
      </c>
      <c r="C569" s="13" t="n"/>
      <c r="D569" s="18" t="n"/>
      <c r="E569" s="18" t="inlineStr">
        <is>
          <t>AM-5054563207357</t>
        </is>
      </c>
      <c r="F569" s="17" t="inlineStr">
        <is>
          <t>CLINICAL REPAIR</t>
        </is>
      </c>
      <c r="G569" s="18" t="inlineStr">
        <is>
          <t>Amperel</t>
        </is>
      </c>
      <c r="H569" s="18" t="inlineStr">
        <is>
          <t>SENSODINE</t>
        </is>
      </c>
      <c r="I569" s="18" t="inlineStr">
        <is>
          <t>Sensodyne Clinical Repair Toothpaste for Sensitive Teeth with 5% NovaMin for Long-Lasting Relief, 75ml</t>
        </is>
      </c>
      <c r="J569" s="18" t="inlineStr">
        <is>
          <t>No</t>
        </is>
      </c>
      <c r="K569" s="18" t="inlineStr">
        <is>
          <t>https://www.amazon.de/-/en/Sensodyne-Clinical-Toothpaste-Sensitive-Long-Lasting/dp/B0D6725872/ref=sr_1_2?crid=3CPWM5BJO014R&amp;dib=eyJ2IjoiMSJ9.HLNDJ0SAHHOXjUFvxMIAS7qZMjml9S3ZlQ0IwJYg8B18YDqkVNgQTJFW0qgD2imGA1NzRswuinKRde6tRwVrceJwGv1pFEaJzLyo3NYbO6akMcru79-llocUIYm-gPLKmwojOKuRSaEnH7RydEtOLEtLIrQa1L95MyVhJNlAnMGkm3X3mKZKKO6w2hLsnyCZ5uEyuA2CoUYJRPNfPB9cvYWWFXbCBu5G1JkSjx_OFxjtLle3Gktio1oCm9Ws3L1JBn3Zo5aIwT-KID_Amp70e1AIdwN5jN_1XTFYtGLeT8E.s1BiMUmzeRilYhXdI6gXjUhNGai1Co0b1nyFYeF_Qcc&amp;dib_tag=se&amp;keywords=sensodyne%2Bactive%2Brepair&amp;qid=1755595505&amp;rdc=1&amp;sprefix=sensodine%2Bactive%2Brepair%2Caps%2C165&amp;sr=8-2&amp;th=1</t>
        </is>
      </c>
      <c r="L569" s="18" t="inlineStr">
        <is>
          <t>B0D6725872</t>
        </is>
      </c>
      <c r="M569" s="19" t="n"/>
      <c r="N569" s="19" t="n"/>
      <c r="O569" s="19" t="n">
        <v>10.8</v>
      </c>
      <c r="P569" s="19">
        <f>O569/1.19</f>
        <v/>
      </c>
      <c r="Q569" s="19">
        <f>O569-P569</f>
        <v/>
      </c>
      <c r="R569" s="19">
        <f>O569*0.15</f>
        <v/>
      </c>
      <c r="S569" s="19" t="n">
        <v>3.59</v>
      </c>
      <c r="T569" s="19">
        <f>S569*0.2</f>
        <v/>
      </c>
      <c r="U569" s="19" t="n">
        <v>0.400000000000002</v>
      </c>
      <c r="V569" s="19" t="n">
        <v>2.65</v>
      </c>
      <c r="W569" s="19">
        <f>V569*0.2</f>
        <v/>
      </c>
      <c r="X569" s="21">
        <f>O569-Q569-R569-S569-U569-V569+T569+W569</f>
        <v/>
      </c>
      <c r="Y569" s="18" t="n"/>
      <c r="Z569" s="19">
        <f>O569+1.5</f>
        <v/>
      </c>
      <c r="AA569" s="19" t="n"/>
      <c r="AB569" s="19" t="n"/>
      <c r="AC569" s="18" t="n"/>
      <c r="AD569" s="18" t="n"/>
      <c r="AE569" s="13" t="inlineStr">
        <is>
          <t>NOT_UPLOADED</t>
        </is>
      </c>
    </row>
    <row r="570" ht="16" customHeight="1">
      <c r="A570" s="12" t="n">
        <v>5054563207357</v>
      </c>
      <c r="B570" s="12" t="n">
        <v>5054563207357</v>
      </c>
      <c r="C570" s="13" t="n"/>
      <c r="D570" s="14" t="n"/>
      <c r="E570" s="14" t="inlineStr">
        <is>
          <t>AMP-5054563207357</t>
        </is>
      </c>
      <c r="F570" s="12" t="inlineStr">
        <is>
          <t>CLINICAL REPAIR</t>
        </is>
      </c>
      <c r="G570" s="14" t="inlineStr">
        <is>
          <t>Amperel</t>
        </is>
      </c>
      <c r="H570" s="14" t="inlineStr">
        <is>
          <t>SENSODINE</t>
        </is>
      </c>
      <c r="I570" s="14" t="inlineStr">
        <is>
          <t>Sensodyne Clinical Repair Tiefenreinigung, Zahnpasta für empfindliche Zähne, beginnt mit der Reparatur empfindlicher Zähne in 2 Minuten*, 75 ml</t>
        </is>
      </c>
      <c r="J570" s="14" t="inlineStr">
        <is>
          <t>No</t>
        </is>
      </c>
      <c r="K570" s="14" t="inlineStr">
        <is>
          <t>https://www.amazon.de/dp/B0F4FCCT1N</t>
        </is>
      </c>
      <c r="L570" s="14" t="inlineStr">
        <is>
          <t>B0F4FCCT1N</t>
        </is>
      </c>
      <c r="M570" s="15" t="n">
        <v>14.2</v>
      </c>
      <c r="N570" s="15" t="n"/>
      <c r="O570" s="15" t="n">
        <v>12.1</v>
      </c>
      <c r="P570" s="15">
        <f>O570/1.19</f>
        <v/>
      </c>
      <c r="Q570" s="15">
        <f>O570-P570</f>
        <v/>
      </c>
      <c r="R570" s="15">
        <f>O570*0.15</f>
        <v/>
      </c>
      <c r="S570" s="15" t="n">
        <v>3.59</v>
      </c>
      <c r="T570" s="15">
        <f>S570*0.2</f>
        <v/>
      </c>
      <c r="U570" s="15" t="n">
        <v>0.400000000000002</v>
      </c>
      <c r="V570" s="15" t="n">
        <v>2.65</v>
      </c>
      <c r="W570" s="15">
        <f>V570*0.2</f>
        <v/>
      </c>
      <c r="X570" s="21">
        <f>O570-Q570-R570-S570-U570-V570+T570+W570</f>
        <v/>
      </c>
      <c r="Y570" s="14" t="n"/>
      <c r="Z570" s="15">
        <f>O570+1.5</f>
        <v/>
      </c>
      <c r="AA570" s="15" t="n"/>
      <c r="AB570" s="15" t="n"/>
      <c r="AC570" s="14" t="n"/>
      <c r="AD570" s="14" t="n"/>
      <c r="AE570" s="13" t="inlineStr">
        <is>
          <t>NOT_UPLOADED</t>
        </is>
      </c>
    </row>
    <row r="571" ht="16" customHeight="1">
      <c r="A571" s="17" t="n">
        <v>5054563207357</v>
      </c>
      <c r="B571" s="17" t="n">
        <v>5054563207357</v>
      </c>
      <c r="C571" s="20" t="inlineStr">
        <is>
          <t>PACK X 3</t>
        </is>
      </c>
      <c r="D571" s="18" t="n"/>
      <c r="E571" s="18" t="inlineStr">
        <is>
          <t>AMPE-5054563207357</t>
        </is>
      </c>
      <c r="F571" s="17" t="inlineStr">
        <is>
          <t>CLINICAL REPAIR</t>
        </is>
      </c>
      <c r="G571" s="18" t="inlineStr">
        <is>
          <t>Amperel</t>
        </is>
      </c>
      <c r="H571" s="18" t="inlineStr">
        <is>
          <t>SENSODINE</t>
        </is>
      </c>
      <c r="I571" s="18" t="inlineStr">
        <is>
          <t>Sensodyne Clinical Repair Toothpaste for Sensitive Teeth with 5% NovaMin, for Long-Lasting Relief, 3 x 75 ml</t>
        </is>
      </c>
      <c r="J571" s="18" t="inlineStr">
        <is>
          <t>No</t>
        </is>
      </c>
      <c r="K571" s="18" t="inlineStr">
        <is>
          <t>https://www.amazon.de/-/en/Sensodyne-Clinical-Toothpaste-Sensitive-Long-Lasting/dp/B0D6W6ZKXY/ref=sr_1_2?crid=2ATE6TVADK3Z4&amp;dib=eyJ2IjoiMSJ9.g43m8te2I4dSXot_PmAbPXPgx19mbCtE9W7Jj-jZCTAVQ6E5PaP8ef9pYR-y3kyKBtjEiY-fH3TJMb94HAMMvRHi9WvnDrXfY5gHkgEPWIYM0yGtUudKDBCRDTL_X4BWom-RZxe57kL-gip59AAv4aZXViZGmkfhyFid9G9oGTg1cynHbQVV69cD1WqYGfRYz5bT75yqVBwb4a-CZMGQqfTercdN2yrLBN3ZlxGOhVwUD4Bs01XTdIIDFXVuG_-WMnA5XLPhsKenWaD2GzGMerSXJhDbwA8fe7TGVqS_Ikg.sqTXY4Xv0KIHdCaCgvrpffUSks_rxr8e3r9_Ap-xPM4&amp;dib_tag=se&amp;keywords=sensodyne+clinical&amp;qid=1755599071&amp;rdc=1&amp;sprefix=sensodyne+clinical+%2Caps%2C163&amp;sr=8-2</t>
        </is>
      </c>
      <c r="L571" s="18" t="inlineStr">
        <is>
          <t>B0D6W6ZKXY</t>
        </is>
      </c>
      <c r="M571" s="19" t="n"/>
      <c r="N571" s="19" t="n">
        <v>20.85</v>
      </c>
      <c r="O571" s="19" t="n">
        <v>26.95</v>
      </c>
      <c r="P571" s="19">
        <f>O571/1.19</f>
        <v/>
      </c>
      <c r="Q571" s="19">
        <f>O571-P571</f>
        <v/>
      </c>
      <c r="R571" s="19">
        <f>O571*0.15</f>
        <v/>
      </c>
      <c r="S571" s="19" t="n">
        <v>11</v>
      </c>
      <c r="T571" s="19">
        <f>S571*0.2</f>
        <v/>
      </c>
      <c r="U571" s="19" t="n">
        <v>0.400000000000002</v>
      </c>
      <c r="V571" s="19" t="n">
        <v>7.6</v>
      </c>
      <c r="W571" s="19">
        <f>V571*0.2</f>
        <v/>
      </c>
      <c r="X571" s="21">
        <f>O571-Q571-R571-S571-U571-V571+T571+W571</f>
        <v/>
      </c>
      <c r="Y571" s="18" t="n"/>
      <c r="Z571" s="19">
        <f>O571+1.5</f>
        <v/>
      </c>
      <c r="AA571" s="19" t="n"/>
      <c r="AB571" s="19" t="n"/>
      <c r="AC571" s="18" t="n"/>
      <c r="AD571" s="18" t="n"/>
      <c r="AE571" s="13" t="inlineStr">
        <is>
          <t>NOT_UPLOADED</t>
        </is>
      </c>
    </row>
    <row r="572" ht="16" customHeight="1">
      <c r="A572" s="12" t="n">
        <v>5054563228345</v>
      </c>
      <c r="B572" s="12" t="n">
        <v>5054563228345</v>
      </c>
      <c r="C572" s="20" t="inlineStr">
        <is>
          <t>PACK X 3</t>
        </is>
      </c>
      <c r="D572" s="14" t="n"/>
      <c r="E572" s="14" t="inlineStr">
        <is>
          <t>AMP-5054563228345</t>
        </is>
      </c>
      <c r="F572" s="12" t="inlineStr">
        <is>
          <t>CLINICAL WHITE</t>
        </is>
      </c>
      <c r="G572" s="14" t="inlineStr">
        <is>
          <t>Amperel</t>
        </is>
      </c>
      <c r="H572" s="14" t="inlineStr">
        <is>
          <t>SENSODINE</t>
        </is>
      </c>
      <c r="I572" s="14" t="inlineStr">
        <is>
          <t>Sensodyne Clinical White Sensodyne Anti Stain Toothpaste Mint Flavour Sensitivity Protection 3 x 75ml</t>
        </is>
      </c>
      <c r="J572" s="14" t="inlineStr">
        <is>
          <t>No</t>
        </is>
      </c>
      <c r="K572" s="14" t="inlineStr">
        <is>
          <t>https://www.amazon.de/-/en/Sensodyne-Clinical-Toothpaste-Sensitivity-Protection/dp/B0D5B2KLJX/ref=sr_1_1?crid=1LQSUS00JM3ZQ&amp;dib=eyJ2IjoiMSJ9._4Ku_mQrsLWyBHe83PrPG3Wn1CewphrKRTqKl3O53vURwglJ87lrbDA2bw_8FxMEIHTvhbO86lffpC6rmHlRKiG69ycgSdP-HtBuCH3FsGFUNntN2zKoqs8YVtiFyatG6K7dKF6CAodbBYik5oIQfW4VWhkpVQvyqq86AX-T11UgH4TcXK5yL59bBeFknE4UrisX3eNBrb45NZzn4wfUPt5TORwHXn8-obVMsKl5xagueKORbf1EfLitOsZok749N-ZN_TDpDBviy-jjTN5JcccUcv1cYmH3K4lHzP5mg7s.GDJhbWC_RBVd0vbD5Q8icNyh8JQwO9Tw1rqfhTtDiOU&amp;dib_tag=se&amp;keywords=sensodyne+CLINICAL+WHITE&amp;qid=1755603182&amp;sprefix=sensodyne+clinical+white%2Caps%2C146&amp;sr=8-1</t>
        </is>
      </c>
      <c r="L572" s="14" t="inlineStr">
        <is>
          <t>B0D5B2KLJX</t>
        </is>
      </c>
      <c r="M572" s="15" t="n"/>
      <c r="N572" s="15" t="n">
        <v>19.26</v>
      </c>
      <c r="O572" s="15" t="n">
        <v>27.8</v>
      </c>
      <c r="P572" s="15">
        <f>O572/1.19</f>
        <v/>
      </c>
      <c r="Q572" s="15">
        <f>O572-P572</f>
        <v/>
      </c>
      <c r="R572" s="15">
        <f>O572*0.15</f>
        <v/>
      </c>
      <c r="S572" s="15" t="n">
        <v>11.3</v>
      </c>
      <c r="T572" s="15">
        <f>S572*0.2</f>
        <v/>
      </c>
      <c r="U572" s="15" t="n">
        <v>0.400000000000002</v>
      </c>
      <c r="V572" s="15" t="n">
        <v>7.7</v>
      </c>
      <c r="W572" s="15">
        <f>V572*0.2</f>
        <v/>
      </c>
      <c r="X572" s="21">
        <f>O572-Q572-R572-S572-U572-V572+T572+W572</f>
        <v/>
      </c>
      <c r="Y572" s="14" t="n"/>
      <c r="Z572" s="15">
        <f>O572+1.5</f>
        <v/>
      </c>
      <c r="AA572" s="15" t="n"/>
      <c r="AB572" s="15" t="n"/>
      <c r="AC572" s="14" t="n"/>
      <c r="AD572" s="14" t="n"/>
      <c r="AE572" s="13" t="inlineStr">
        <is>
          <t>NOT_UPLOADED</t>
        </is>
      </c>
    </row>
    <row r="573" ht="16" customHeight="1">
      <c r="A573" s="17" t="n">
        <v>5054563222169</v>
      </c>
      <c r="B573" s="17" t="n">
        <v>5054563228345</v>
      </c>
      <c r="C573" s="20" t="inlineStr">
        <is>
          <t>PACK X 4</t>
        </is>
      </c>
      <c r="D573" s="18" t="inlineStr">
        <is>
          <t>ONLY ENGLAND</t>
        </is>
      </c>
      <c r="E573" s="18" t="inlineStr">
        <is>
          <t>AMP-5054563222169</t>
        </is>
      </c>
      <c r="F573" s="17" t="inlineStr">
        <is>
          <t>CLINICAL WHITE</t>
        </is>
      </c>
      <c r="G573" s="18" t="inlineStr">
        <is>
          <t>Amperel</t>
        </is>
      </c>
      <c r="H573" s="18" t="inlineStr">
        <is>
          <t>SENSODINE</t>
        </is>
      </c>
      <c r="I573" s="18" t="inlineStr">
        <is>
          <t>Sensodyne Toothpaste Clinical White, Teeth Whitening Toothpaste for Sensitive Teeth, Stain Protector, Mint, Multipack 4 x 75ml</t>
        </is>
      </c>
      <c r="J573" s="18" t="inlineStr">
        <is>
          <t>No</t>
        </is>
      </c>
      <c r="K573" s="18" t="inlineStr">
        <is>
          <t>https://www.amazon.co.uk/dp/B0D1YM5FYF</t>
        </is>
      </c>
      <c r="L573" s="18" t="inlineStr">
        <is>
          <t>B0D1YM5FYF</t>
        </is>
      </c>
      <c r="M573" s="19" t="n"/>
      <c r="N573" s="19" t="n"/>
      <c r="O573" s="19" t="n">
        <v>41.97</v>
      </c>
      <c r="P573" s="19">
        <f>O573/1.19</f>
        <v/>
      </c>
      <c r="Q573" s="19">
        <f>O573-P573</f>
        <v/>
      </c>
      <c r="R573" s="19">
        <f>O573*0.15</f>
        <v/>
      </c>
      <c r="S573" s="19" t="n">
        <v>14.36</v>
      </c>
      <c r="T573" s="19">
        <f>S573*0.2</f>
        <v/>
      </c>
      <c r="U573" s="19" t="n">
        <v>0.400000000000002</v>
      </c>
      <c r="V573" s="19" t="n">
        <v>7.9</v>
      </c>
      <c r="W573" s="19">
        <f>V573*0.2</f>
        <v/>
      </c>
      <c r="X573" s="21">
        <f>O573-Q573-R573-S573-U573-V573+T573+W573</f>
        <v/>
      </c>
      <c r="Y573" s="18" t="n"/>
      <c r="Z573" s="19">
        <f>O573+1.5</f>
        <v/>
      </c>
      <c r="AA573" s="19" t="n"/>
      <c r="AB573" s="19" t="n"/>
      <c r="AC573" s="18" t="n"/>
      <c r="AD573" s="18" t="n"/>
      <c r="AE573" s="13" t="inlineStr">
        <is>
          <t>NOT_UPLOADED</t>
        </is>
      </c>
    </row>
    <row r="574" ht="16" customHeight="1">
      <c r="A574" s="12" t="n">
        <v>5054563191908</v>
      </c>
      <c r="B574" s="12" t="n">
        <v>5054563228345</v>
      </c>
      <c r="C574" s="13" t="n"/>
      <c r="D574" s="14" t="inlineStr">
        <is>
          <t>ONLY ENGLAND</t>
        </is>
      </c>
      <c r="E574" s="14" t="inlineStr">
        <is>
          <t>AMP-5054563191908</t>
        </is>
      </c>
      <c r="F574" s="12" t="inlineStr">
        <is>
          <t>CLINICAL WHITE</t>
        </is>
      </c>
      <c r="G574" s="14" t="inlineStr">
        <is>
          <t>Amperel</t>
        </is>
      </c>
      <c r="H574" s="14" t="inlineStr">
        <is>
          <t>SENSODINE</t>
        </is>
      </c>
      <c r="I574" s="14" t="inlineStr">
        <is>
          <t>Sensodyne Clinical White Stain Protector Toothpaste 75ml</t>
        </is>
      </c>
      <c r="J574" s="14" t="inlineStr">
        <is>
          <t>No</t>
        </is>
      </c>
      <c r="K574" s="14" t="inlineStr">
        <is>
          <t>https://www.amazon.co.uk/Sensodyne-Clinical-White-Protector-Toothpaste/dp/B0D3QSLJMV/ref=sr_1_3_f3_0o_morri?crid=2CNEOF9YPXTPN&amp;dib=eyJ2IjoiMSJ9.SlB0k4FcFXjLnfJI0XJpTno0CNXf1ZurGfH2Gi9PZzxkI1-o84zKpsGyaLEsKUL9x0FXCrfCRS9GDEx-7wkD9Q35qCkKmD5mo41CYZFJbBeOygg8JgbwQIt64bqvYOz2wcTKW5XQpn4idzveVPKaVU-8-L019xmle0DgZ_UEB4C641CSBUshMkpqaLR-FBfOoGUxM9XVlJnp2uKUvK0r3-s7xl-mrs-0L7jdtvRnyUigLtZ-pezyJokQe96Ugk4ZjjhcSHyC6UFiM8Zh80j78RKrKO4UkLZ7MRwq7Plu1iQ.0NmEuUenxb33hPOTCimUwsG46mtQP_ZO2H1ozkHrkH0&amp;dib_tag=se&amp;keywords=sensodyne+clinical+white&amp;qid=1763887418&amp;s=drugstore&amp;sprefix=sensodine+clinical+white%2Cdrugstore%2C221&amp;sr=1-3</t>
        </is>
      </c>
      <c r="L574" s="14" t="inlineStr">
        <is>
          <t>B0D3QSLJMV</t>
        </is>
      </c>
      <c r="M574" s="15" t="n"/>
      <c r="N574" s="15" t="n"/>
      <c r="O574" s="15" t="n">
        <v>11.31</v>
      </c>
      <c r="P574" s="15">
        <f>O574/1.19</f>
        <v/>
      </c>
      <c r="Q574" s="15">
        <f>O574-P574</f>
        <v/>
      </c>
      <c r="R574" s="15">
        <f>O574*0.15</f>
        <v/>
      </c>
      <c r="S574" s="15" t="n">
        <v>3.59</v>
      </c>
      <c r="T574" s="15">
        <f>S574*0.2</f>
        <v/>
      </c>
      <c r="U574" s="15" t="n">
        <v>0.400000000000002</v>
      </c>
      <c r="V574" s="15" t="n">
        <v>2.65</v>
      </c>
      <c r="W574" s="15">
        <f>V574*0.2</f>
        <v/>
      </c>
      <c r="X574" s="21">
        <f>O574-Q574-R574-S574-U574-V574+T574+W574</f>
        <v/>
      </c>
      <c r="Y574" s="14" t="n"/>
      <c r="Z574" s="15">
        <f>O574+1.5</f>
        <v/>
      </c>
      <c r="AA574" s="15" t="n"/>
      <c r="AB574" s="15" t="n"/>
      <c r="AC574" s="14" t="n"/>
      <c r="AD574" s="14" t="n"/>
      <c r="AE574" s="13" t="inlineStr">
        <is>
          <t>NOT_UPLOADED</t>
        </is>
      </c>
    </row>
    <row r="575" ht="16" customHeight="1">
      <c r="A575" s="17" t="n">
        <v>3830029293629</v>
      </c>
      <c r="B575" s="17" t="n">
        <v>3830029293629</v>
      </c>
      <c r="C575" s="13" t="n"/>
      <c r="D575" s="18" t="n"/>
      <c r="E575" s="18" t="inlineStr">
        <is>
          <t>AMP-38300292936299</t>
        </is>
      </c>
      <c r="F575" s="17" t="n">
        <v>3301009</v>
      </c>
      <c r="G575" s="18" t="inlineStr">
        <is>
          <t>Amperel</t>
        </is>
      </c>
      <c r="H575" s="18" t="inlineStr">
        <is>
          <t>SENSODINE</t>
        </is>
      </c>
      <c r="I575" s="18" t="inlineStr">
        <is>
          <t>Sensodyne Dent whitinig Rip &amp; Prot 7</t>
        </is>
      </c>
      <c r="J575" s="18" t="inlineStr">
        <is>
          <t>No</t>
        </is>
      </c>
      <c r="K575" s="18" t="inlineStr">
        <is>
          <t>https://www.amazon.de/-/en/Sensodyne-Dent-whitinig-Rip-Prot/dp/B01MA1DJ8O/ref=sr_1_1?crid=2ORK9PFD2T7R9&amp;dib=eyJ2IjoiMSJ9.XmacNpIkllf8hs7HxnPu6W4DvuPnPivxQxgCT051DBTVWxG5Av9h50JtIrYxmEn-rzsRuiKFYJ1tXGZDtBGTsupELio0JNTsqahlaayIIhhnjqpjxLf1MI1AgfhwhC7ELIxvMSHVv8iWc79PJOUsBZywK0QP-ZLvSUb5W-sttunZRjNc4zPZY_A6ZfrFOnql0de6Wm7SaT0kOoI6vUtp0A-YD9XmpAOOaFAQ_a07-FZUDD1twQMWpfuMG8Z3LHI2QwO8TW1k8OO-Dk5FftJ3GWJUQCKmsc7qyyhPFtSdNmw.1xhjchynKJWu0RaDh_mgwuaaZSeEec0n7M4BDO9BY_g&amp;dib_tag=se&amp;keywords=sensodyne%2BWHITENING&amp;qid=1755603535&amp;rdc=1&amp;sprefix=sensodyne%2Bwhitening%2Caps%2C138&amp;sr=8-1&amp;th=1</t>
        </is>
      </c>
      <c r="L575" s="18" t="inlineStr">
        <is>
          <t>B01MA1DJ8O</t>
        </is>
      </c>
      <c r="M575" s="19" t="n"/>
      <c r="N575" s="19" t="n"/>
      <c r="O575" s="19" t="n">
        <v>9.9</v>
      </c>
      <c r="P575" s="19">
        <f>O575/1.19</f>
        <v/>
      </c>
      <c r="Q575" s="19">
        <f>O575-P575</f>
        <v/>
      </c>
      <c r="R575" s="19">
        <f>O575*0.15</f>
        <v/>
      </c>
      <c r="S575" s="19" t="n">
        <v>3.58</v>
      </c>
      <c r="T575" s="19">
        <f>S575*0.2</f>
        <v/>
      </c>
      <c r="U575" s="19" t="n">
        <v>0.400000000000002</v>
      </c>
      <c r="V575" s="19" t="n">
        <v>2.65</v>
      </c>
      <c r="W575" s="19">
        <f>V575*0.2</f>
        <v/>
      </c>
      <c r="X575" s="16">
        <f>O575-Q575-R575-S575-U575-V575+T575+W575</f>
        <v/>
      </c>
      <c r="Y575" s="18" t="n"/>
      <c r="Z575" s="19">
        <f>O575+1.5</f>
        <v/>
      </c>
      <c r="AA575" s="19" t="n"/>
      <c r="AB575" s="19" t="n"/>
      <c r="AC575" s="18" t="n"/>
      <c r="AD575" s="18" t="n"/>
      <c r="AE575" s="13" t="inlineStr">
        <is>
          <t>NOT_UPLOADED</t>
        </is>
      </c>
    </row>
    <row r="576" ht="16" customHeight="1">
      <c r="A576" s="12" t="n">
        <v>3830029293629</v>
      </c>
      <c r="B576" s="12" t="n">
        <v>3830029293629</v>
      </c>
      <c r="C576" s="20" t="inlineStr">
        <is>
          <t>PACK X 4</t>
        </is>
      </c>
      <c r="D576" s="14" t="n"/>
      <c r="E576" s="14" t="inlineStr">
        <is>
          <t>AM-3830029293629</t>
        </is>
      </c>
      <c r="F576" s="12" t="n">
        <v>3301009</v>
      </c>
      <c r="G576" s="14" t="inlineStr">
        <is>
          <t>Amperel</t>
        </is>
      </c>
      <c r="H576" s="14" t="inlineStr">
        <is>
          <t>SENSODINE</t>
        </is>
      </c>
      <c r="I576" s="14" t="inlineStr">
        <is>
          <t>Sensodyne Repair &amp; Protect Whitening Toothpaste for Sensitive Teeth Daily Use 4 x 75ml</t>
        </is>
      </c>
      <c r="J576" s="14" t="inlineStr">
        <is>
          <t>No</t>
        </is>
      </c>
      <c r="K576" s="14" t="inlineStr">
        <is>
          <t>https://www.amazon.de/-/en/Sensodyne-Protect-Whitening-Toothpaste-Sensitive/dp/B0B3FB8T3N/ref=sr_1_7?crid=2ORK9PFD2T7R9&amp;dib=eyJ2IjoiMSJ9.GN4gzDqMjdTwjIeLKn1lt98b7lbxV7HrG84j4V2I6Tsl73fKuzyho4XH2Z3OOzGkF_wMv-sms5PTiffNWR2PFjuWv82KbSsrBH4fdNgudHzED0zQNTuA3UH1P7sxUry5uAJEhHk4vOvups1uiKA8r__pKs1QeuXv_yK_RXSAfiLh83Y66zZtz_gaZJmMVuJEdGC1vYQlsHdoeGiA9ipDi6oBtS_gqWekmNVGLvxCp4EjJzbMzhqRnCTBHsBvvgbDlIDD1bPehj-sBXR9pIx61GQdk0MEXQq9agJkZ9Khs7A.chMwIkQDiOaQnX5SHNEAVnEmCXS0CFBh5i4PLgCUcGw&amp;dib_tag=se&amp;keywords=sensodyne+WHITENING&amp;qid=1755613263&amp;refinements=p_123%3A242098&amp;rnid=91049101031&amp;sprefix=sensodyne+whitening%2Caps%2C138&amp;sr=8-7</t>
        </is>
      </c>
      <c r="L576" s="14" t="inlineStr">
        <is>
          <t>B0B3FB8T3N</t>
        </is>
      </c>
      <c r="M576" s="15" t="n"/>
      <c r="N576" s="15" t="n">
        <v>27.95</v>
      </c>
      <c r="O576" s="15" t="n">
        <v>33.7</v>
      </c>
      <c r="P576" s="15">
        <f>O576/1.19</f>
        <v/>
      </c>
      <c r="Q576" s="15">
        <f>O576-P576</f>
        <v/>
      </c>
      <c r="R576" s="15">
        <f>O576*0.15</f>
        <v/>
      </c>
      <c r="S576" s="15" t="n">
        <v>14.75</v>
      </c>
      <c r="T576" s="15">
        <f>S576*0.2</f>
        <v/>
      </c>
      <c r="U576" s="15" t="n">
        <v>0.400000000000002</v>
      </c>
      <c r="V576" s="15" t="n">
        <v>8</v>
      </c>
      <c r="W576" s="15">
        <f>V576*0.2</f>
        <v/>
      </c>
      <c r="X576" s="21">
        <f>O576-Q576-R576-S576-U576-V576+T576+W576</f>
        <v/>
      </c>
      <c r="Y576" s="14" t="n"/>
      <c r="Z576" s="15">
        <f>O576+1.5</f>
        <v/>
      </c>
      <c r="AA576" s="15" t="n"/>
      <c r="AB576" s="15" t="n"/>
      <c r="AC576" s="14" t="n"/>
      <c r="AD576" s="14" t="n"/>
      <c r="AE576" s="13" t="inlineStr">
        <is>
          <t>NOT_UPLOADED</t>
        </is>
      </c>
    </row>
    <row r="577" ht="16" customHeight="1">
      <c r="A577" s="17" t="n">
        <v>3830029293629</v>
      </c>
      <c r="B577" s="17" t="n">
        <v>3830029293629</v>
      </c>
      <c r="C577" s="20" t="inlineStr">
        <is>
          <t>PACK X 6</t>
        </is>
      </c>
      <c r="D577" s="18" t="n"/>
      <c r="E577" s="18" t="inlineStr">
        <is>
          <t>AMPE-3830029293629</t>
        </is>
      </c>
      <c r="F577" s="17" t="n">
        <v>3301009</v>
      </c>
      <c r="G577" s="18" t="inlineStr">
        <is>
          <t>Amperel</t>
        </is>
      </c>
      <c r="H577" s="18" t="inlineStr">
        <is>
          <t>SENSODINE</t>
        </is>
      </c>
      <c r="I577" s="18" t="inlineStr">
        <is>
          <t>6 x Sensodyne Repair &amp; Protect Whitening Toothpaste – 75 ml</t>
        </is>
      </c>
      <c r="J577" s="18" t="inlineStr">
        <is>
          <t>No</t>
        </is>
      </c>
      <c r="K577" s="18" t="inlineStr">
        <is>
          <t>https://www.amazon.de/-/en/Sensodyne-Repair-Protect-Whitening-Toothpaste/dp/B06XJHBCSP/ref=sr_1_11?crid=2ORK9PFD2T7R9&amp;dib=eyJ2IjoiMSJ9.GN4gzDqMjdTwjIeLKn1lt98b7lbxV7HrG84j4V2I6Tsl73fKuzyho4XH2Z3OOzGkF_wMv-sms5PTiffNWR2PFjuWv82KbSsrBH4fdNgudHzED0zQNTuA3UH1P7sxUry5uAJEhHk4vOvups1uiKA8r__pKs1QeuXv_yK_RXSAfiLh83Y66zZtz_gaZJmMVuJEdGC1vYQlsHdoeGiA9ipDi6oBtS_gqWekmNVGLvxCp4EjJzbMzhqRnCTBHsBvvgbDlIDD1bPehj-sBXR9pIx61GQdk0MEXQq9agJkZ9Khs7A.chMwIkQDiOaQnX5SHNEAVnEmCXS0CFBh5i4PLgCUcGw&amp;dib_tag=se&amp;keywords=sensodyne+WHITENING&amp;qid=1755613263&amp;refinements=p_123%3A242098&amp;rnid=91049101031&amp;sprefix=sensodyne+whitening%2Caps%2C138&amp;sr=8-11</t>
        </is>
      </c>
      <c r="L577" s="18" t="inlineStr">
        <is>
          <t>B06XJHBCSP</t>
        </is>
      </c>
      <c r="M577" s="19" t="n">
        <v>32.99</v>
      </c>
      <c r="N577" s="19" t="n"/>
      <c r="O577" s="19" t="n">
        <v>44.7</v>
      </c>
      <c r="P577" s="19">
        <f>O577/1.19</f>
        <v/>
      </c>
      <c r="Q577" s="19">
        <f>O577-P577</f>
        <v/>
      </c>
      <c r="R577" s="19">
        <f>O577*0.15</f>
        <v/>
      </c>
      <c r="S577" s="19" t="n">
        <v>21.48</v>
      </c>
      <c r="T577" s="19">
        <f>S577*0.2</f>
        <v/>
      </c>
      <c r="U577" s="19" t="n">
        <v>0.400000000000002</v>
      </c>
      <c r="V577" s="19" t="n">
        <v>7.7</v>
      </c>
      <c r="W577" s="19">
        <f>V577*0.2</f>
        <v/>
      </c>
      <c r="X577" s="21">
        <f>O577-Q577-R577-S577-U577-V577+T577+W577</f>
        <v/>
      </c>
      <c r="Y577" s="18" t="n"/>
      <c r="Z577" s="19">
        <f>O577+1.5</f>
        <v/>
      </c>
      <c r="AA577" s="19" t="n"/>
      <c r="AB577" s="19" t="n"/>
      <c r="AC577" s="18" t="n"/>
      <c r="AD577" s="18" t="n"/>
      <c r="AE577" s="13" t="inlineStr">
        <is>
          <t>NOT_UPLOADED</t>
        </is>
      </c>
    </row>
    <row r="578" ht="16" customHeight="1">
      <c r="A578" s="12" t="n">
        <v>3830029293629</v>
      </c>
      <c r="B578" s="12" t="n">
        <v>3830029293629</v>
      </c>
      <c r="C578" s="20" t="inlineStr">
        <is>
          <t>PACK X 2</t>
        </is>
      </c>
      <c r="D578" s="14" t="n"/>
      <c r="E578" s="14" t="inlineStr">
        <is>
          <t>A-3830029293629</t>
        </is>
      </c>
      <c r="F578" s="12" t="n">
        <v>3301009</v>
      </c>
      <c r="G578" s="14" t="inlineStr">
        <is>
          <t>Amperel</t>
        </is>
      </c>
      <c r="H578" s="14" t="inlineStr">
        <is>
          <t>SENSODINE</t>
        </is>
      </c>
      <c r="I578" s="14" t="inlineStr">
        <is>
          <t>2x SENSODYNE Repair &amp; Protect Whitening Toothpaste 75 ml PZN: 9927678 Toothpaste</t>
        </is>
      </c>
      <c r="J578" s="14" t="inlineStr">
        <is>
          <t>No</t>
        </is>
      </c>
      <c r="K578" s="14" t="inlineStr">
        <is>
          <t>https://www.amazon.de/-/en/SENSODYNE-Repair-Protect-Whitening-Toothpaste/dp/B07FCQRJQX/ref=sr_1_17?crid=2ORK9PFD2T7R9&amp;dib=eyJ2IjoiMSJ9.GN4gzDqMjdTwjIeLKn1lt98b7lbxV7HrG84j4V2I6Tsl73fKuzyho4XH2Z3OOzGkF_wMv-sms5PTiffNWR2PFjuWv82KbSsrBH4fdNgudHzED0zQNTuA3UH1P7sxUry5uAJEhHk4vOvups1uiKA8r__pKs1QeuXv_yK_RXSAfiLh83Y66zZtz_gaZJmMVuJEdGC1vYQlsHdoeGiA9ipDi6oBtS_gqWekmNVGLvxCp4EjJzbMzhqRnCTBHsBvvgbDlIDD1bPehj-sBXR9pIx61GQdk0MEXQq9agJkZ9Khs7A.chMwIkQDiOaQnX5SHNEAVnEmCXS0CFBh5i4PLgCUcGw&amp;dib_tag=se&amp;keywords=sensodyne+WHITENING&amp;qid=1755613656&amp;refinements=p_123%3A242098&amp;rnid=91049101031&amp;sprefix=sensodyne+whitening%2Caps%2C138&amp;sr=8-17</t>
        </is>
      </c>
      <c r="L578" s="14" t="inlineStr">
        <is>
          <t>B07FCQRJQX</t>
        </is>
      </c>
      <c r="M578" s="15" t="n"/>
      <c r="N578" s="15" t="n"/>
      <c r="O578" s="15" t="n">
        <v>16.75</v>
      </c>
      <c r="P578" s="15">
        <f>O578/1.19</f>
        <v/>
      </c>
      <c r="Q578" s="15">
        <f>O578-P578</f>
        <v/>
      </c>
      <c r="R578" s="15">
        <f>O578*0.15</f>
        <v/>
      </c>
      <c r="S578" s="15" t="n">
        <v>7.16</v>
      </c>
      <c r="T578" s="15">
        <f>S578*0.2</f>
        <v/>
      </c>
      <c r="U578" s="15" t="n">
        <v>0.400000000000002</v>
      </c>
      <c r="V578" s="15" t="n">
        <v>3</v>
      </c>
      <c r="W578" s="15">
        <f>V578*0.2</f>
        <v/>
      </c>
      <c r="X578" s="21">
        <f>O578-Q578-R578-S578-U578-V578+T578+W578</f>
        <v/>
      </c>
      <c r="Y578" s="14" t="n"/>
      <c r="Z578" s="15">
        <f>O578+1.5</f>
        <v/>
      </c>
      <c r="AA578" s="15" t="n"/>
      <c r="AB578" s="15" t="n"/>
      <c r="AC578" s="14" t="n"/>
      <c r="AD578" s="14" t="n"/>
      <c r="AE578" s="13" t="inlineStr">
        <is>
          <t>NOT_UPLOADED</t>
        </is>
      </c>
    </row>
    <row r="579" ht="16" customHeight="1">
      <c r="A579" s="17" t="n">
        <v>3830029293629</v>
      </c>
      <c r="B579" s="17" t="n">
        <v>3830029293629</v>
      </c>
      <c r="C579" s="20" t="inlineStr">
        <is>
          <t>PACK X 4</t>
        </is>
      </c>
      <c r="D579" s="18" t="n"/>
      <c r="E579" s="18" t="inlineStr">
        <is>
          <t>REL-3830029293629</t>
        </is>
      </c>
      <c r="F579" s="17" t="n">
        <v>3301009</v>
      </c>
      <c r="G579" s="18" t="inlineStr">
        <is>
          <t>Amperel</t>
        </is>
      </c>
      <c r="H579" s="18" t="inlineStr">
        <is>
          <t>SENSODINE</t>
        </is>
      </c>
      <c r="I579" s="18" t="inlineStr">
        <is>
          <t>Sensodyne Repair &amp; Protect Whitening Toothpaste 75 ml - Pack of 4 by Whitening</t>
        </is>
      </c>
      <c r="J579" s="18" t="inlineStr">
        <is>
          <t>No</t>
        </is>
      </c>
      <c r="K579" s="18" t="inlineStr">
        <is>
          <t>https://www.amazon.de/-/en/Sensodyne-Repair-Protect-Whitening-Toothpaste/dp/B00EF39784/ref=sr_1_22?crid=2ORK9PFD2T7R9&amp;dib=eyJ2IjoiMSJ9.GN4gzDqMjdTwjIeLKn1lt98b7lbxV7HrG84j4V2I6Tsl73fKuzyho4XH2Z3OOzGkF_wMv-sms5PTiffNWR2PFjuWv82KbSsrBH4fdNgudHzED0zQNTuA3UH1P7sxUry5uAJEhHk4vOvups1uiKA8r__pKs1QeuXv_yK_RXSAfiLh83Y66zZtz_gaZJmMVuJEdGC1vYQlsHdoeGiA9ipDi6oBtS_gqWekmNVGLvxCp4EjJzbMzhqRnCTBHsBvvgbDlIDD1bPehj-sBXR9pIx61GQdk0MEXQq9agJkZ9Khs7A.chMwIkQDiOaQnX5SHNEAVnEmCXS0CFBh5i4PLgCUcGw&amp;dib_tag=se&amp;keywords=sensodyne+WHITENING&amp;qid=1755613656&amp;refinements=p_123%3A242098&amp;rnid=91049101031&amp;sprefix=sensodyne+whitening%2Caps%2C138&amp;sr=8-22</t>
        </is>
      </c>
      <c r="L579" s="18" t="inlineStr">
        <is>
          <t>B00EF39784</t>
        </is>
      </c>
      <c r="M579" s="19" t="n"/>
      <c r="N579" s="19" t="n"/>
      <c r="O579" s="19" t="n">
        <v>31.6</v>
      </c>
      <c r="P579" s="19">
        <f>O579/1.19</f>
        <v/>
      </c>
      <c r="Q579" s="19">
        <f>O579-P579</f>
        <v/>
      </c>
      <c r="R579" s="19">
        <f>O579*0.15</f>
        <v/>
      </c>
      <c r="S579" s="19" t="n">
        <v>14.32</v>
      </c>
      <c r="T579" s="19">
        <f>S579*0.2</f>
        <v/>
      </c>
      <c r="U579" s="19" t="n">
        <v>0.400000000000002</v>
      </c>
      <c r="V579" s="19" t="n">
        <v>5.85</v>
      </c>
      <c r="W579" s="19">
        <f>V579*0.2</f>
        <v/>
      </c>
      <c r="X579" s="21">
        <f>O579-Q579-R579-S579-U579-V579+T579+W579</f>
        <v/>
      </c>
      <c r="Y579" s="18" t="n"/>
      <c r="Z579" s="19">
        <f>O579+1.5</f>
        <v/>
      </c>
      <c r="AA579" s="19" t="n"/>
      <c r="AB579" s="19" t="n"/>
      <c r="AC579" s="18" t="n"/>
      <c r="AD579" s="18" t="n"/>
      <c r="AE579" s="13" t="inlineStr">
        <is>
          <t>NOT_UPLOADED</t>
        </is>
      </c>
    </row>
    <row r="580" ht="16" customHeight="1">
      <c r="A580" s="12" t="n">
        <v>3830029293629</v>
      </c>
      <c r="B580" s="12" t="n">
        <v>3830029293629</v>
      </c>
      <c r="C580" s="20" t="inlineStr">
        <is>
          <t>PACK X 3</t>
        </is>
      </c>
      <c r="D580" s="14" t="n"/>
      <c r="E580" s="14" t="inlineStr">
        <is>
          <t>SE-3830029293629</t>
        </is>
      </c>
      <c r="F580" s="12" t="n">
        <v>3301009</v>
      </c>
      <c r="G580" s="14" t="inlineStr">
        <is>
          <t>Amperel</t>
        </is>
      </c>
      <c r="H580" s="14" t="inlineStr">
        <is>
          <t>SENSODINE</t>
        </is>
      </c>
      <c r="I580" s="14" t="inlineStr">
        <is>
          <t>Sensodyne Repair and Protect Whitening Toothpaste, 75 ml, Pack of 3</t>
        </is>
      </c>
      <c r="J580" s="14" t="inlineStr">
        <is>
          <t>No</t>
        </is>
      </c>
      <c r="K580" s="14" t="inlineStr">
        <is>
          <t>https://www.amazon.de/-/en/Sensodyne-Repair-Protect-Whitening-Toothpaste/dp/B008MKCW2O/ref=sr_1_26?crid=2ORK9PFD2T7R9&amp;dib=eyJ2IjoiMSJ9.GN4gzDqMjdTwjIeLKn1lt98b7lbxV7HrG84j4V2I6Tsl73fKuzyho4XH2Z3OOzGkF_wMv-sms5PTiffNWR2PFjuWv82KbSsrBH4fdNgudHzED0zQNTuA3UH1P7sxUry5uAJEhHk4vOvups1uiKA8r__pKs1QeuXv_yK_RXSAfiLh83Y66zZtz_gaZJmMVuJEdGC1vYQlsHdoeGiA9ipDi6oBtS_gqWekmNVGLvxCp4EjJzbMzhqRnCTBHsBvvgbDlIDD1bPehj-sBXR9pIx61GQdk0MEXQq9agJkZ9Khs7A.chMwIkQDiOaQnX5SHNEAVnEmCXS0CFBh5i4PLgCUcGw&amp;dib_tag=se&amp;keywords=sensodyne%2BWHITENING&amp;qid=1755613656&amp;refinements=p_123%3A242098&amp;rnid=91049101031&amp;sprefix=sensodyne%2Bwhitening%2Caps%2C138&amp;sr=8-26&amp;th=1</t>
        </is>
      </c>
      <c r="L580" s="14" t="inlineStr">
        <is>
          <t>B008MKCW2O</t>
        </is>
      </c>
      <c r="M580" s="15" t="n"/>
      <c r="N580" s="15" t="n"/>
      <c r="O580" s="15" t="n">
        <v>26.45</v>
      </c>
      <c r="P580" s="15">
        <f>O580/1.19</f>
        <v/>
      </c>
      <c r="Q580" s="15">
        <f>O580-P580</f>
        <v/>
      </c>
      <c r="R580" s="15">
        <f>O580*0.15</f>
        <v/>
      </c>
      <c r="S580" s="15" t="n">
        <v>10.85</v>
      </c>
      <c r="T580" s="15">
        <f>S580*0.2</f>
        <v/>
      </c>
      <c r="U580" s="15" t="n">
        <v>0.400000000000002</v>
      </c>
      <c r="V580" s="15" t="n">
        <v>7</v>
      </c>
      <c r="W580" s="15">
        <f>V580*0.2</f>
        <v/>
      </c>
      <c r="X580" s="21">
        <f>O580-Q580-R580-S580-U580-V580+T580+W580</f>
        <v/>
      </c>
      <c r="Y580" s="14" t="n"/>
      <c r="Z580" s="15">
        <f>O580+1.5</f>
        <v/>
      </c>
      <c r="AA580" s="15" t="n"/>
      <c r="AB580" s="15" t="n"/>
      <c r="AC580" s="14" t="n"/>
      <c r="AD580" s="14" t="n"/>
      <c r="AE580" s="13" t="inlineStr">
        <is>
          <t>NOT_UPLOADED</t>
        </is>
      </c>
    </row>
    <row r="581" ht="16" customHeight="1">
      <c r="A581" s="17" t="n">
        <v>3830029293629</v>
      </c>
      <c r="B581" s="17" t="n">
        <v>3830029293629</v>
      </c>
      <c r="C581" s="13" t="n"/>
      <c r="D581" s="18" t="n"/>
      <c r="E581" s="18" t="inlineStr">
        <is>
          <t>S-3830029293629</t>
        </is>
      </c>
      <c r="F581" s="17" t="n">
        <v>3301009</v>
      </c>
      <c r="G581" s="18" t="inlineStr">
        <is>
          <t>Amperel</t>
        </is>
      </c>
      <c r="H581" s="18" t="inlineStr">
        <is>
          <t>SENSODINE</t>
        </is>
      </c>
      <c r="I581" s="18" t="inlineStr">
        <is>
          <t>Sensodyne Repair and Protect Whitening Toothpaste (75 ml) by Sensodyne</t>
        </is>
      </c>
      <c r="J581" s="18" t="inlineStr">
        <is>
          <t>No</t>
        </is>
      </c>
      <c r="K581" s="18" t="inlineStr">
        <is>
          <t>https://www.amazon.de/-/en/Sensodyne-Repair-Protect-Whitening-Toothpaste/dp/B01I0F6TPG/ref=sr_1_28?crid=2ORK9PFD2T7R9&amp;dib=eyJ2IjoiMSJ9.GN4gzDqMjdTwjIeLKn1lt98b7lbxV7HrG84j4V2I6Tsl73fKuzyho4XH2Z3OOzGkF_wMv-sms5PTiffNWR2PFjuWv82KbSsrBH4fdNgudHzED0zQNTuA3UH1P7sxUry5uAJEhHk4vOvups1uiKA8r__pKs1QeuXv_yK_RXSAfiLh83Y66zZtz_gaZJmMVuJEdGC1vYQlsHdoeGiA9ipDi6oBtS_gqWekmNVGLvxCp4EjJzbMzhqRnCTBHsBvvgbDlIDD1bPehj-sBXR9pIx61GQdk0MEXQq9agJkZ9Khs7A.chMwIkQDiOaQnX5SHNEAVnEmCXS0CFBh5i4PLgCUcGw&amp;dib_tag=se&amp;keywords=sensodyne+WHITENING&amp;qid=1755613656&amp;refinements=p_123%3A242098&amp;rnid=91049101031&amp;sprefix=sensodyne+whitening%2Caps%2C138&amp;sr=8-28</t>
        </is>
      </c>
      <c r="L581" s="18" t="inlineStr">
        <is>
          <t>B01I0F6TPG</t>
        </is>
      </c>
      <c r="M581" s="19" t="n"/>
      <c r="N581" s="19" t="n"/>
      <c r="O581" s="19" t="n">
        <v>11.3</v>
      </c>
      <c r="P581" s="19">
        <f>O581/1.19</f>
        <v/>
      </c>
      <c r="Q581" s="19">
        <f>O581-P581</f>
        <v/>
      </c>
      <c r="R581" s="19">
        <f>O581*0.15</f>
        <v/>
      </c>
      <c r="S581" s="19" t="n">
        <v>3.58</v>
      </c>
      <c r="T581" s="19">
        <f>S581*0.2</f>
        <v/>
      </c>
      <c r="U581" s="19" t="n">
        <v>0.400000000000002</v>
      </c>
      <c r="V581" s="19" t="n">
        <v>2.65</v>
      </c>
      <c r="W581" s="19">
        <f>V581*0.2</f>
        <v/>
      </c>
      <c r="X581" s="21">
        <f>O581-Q581-R581-S581-U581-V581+T581+W581</f>
        <v/>
      </c>
      <c r="Y581" s="18" t="n"/>
      <c r="Z581" s="19">
        <f>O581+1.5</f>
        <v/>
      </c>
      <c r="AA581" s="19" t="n"/>
      <c r="AB581" s="19" t="n"/>
      <c r="AC581" s="18" t="n"/>
      <c r="AD581" s="18" t="n"/>
      <c r="AE581" s="13" t="inlineStr">
        <is>
          <t>NOT_UPLOADED</t>
        </is>
      </c>
    </row>
    <row r="582" ht="16" customHeight="1">
      <c r="A582" s="12" t="n">
        <v>3830029293629</v>
      </c>
      <c r="B582" s="12" t="n">
        <v>3830029293629</v>
      </c>
      <c r="C582" s="13" t="n"/>
      <c r="D582" s="14" t="n"/>
      <c r="E582" s="14" t="inlineStr">
        <is>
          <t>SEN-3830029293629</t>
        </is>
      </c>
      <c r="F582" s="12" t="n">
        <v>3301009</v>
      </c>
      <c r="G582" s="14" t="inlineStr">
        <is>
          <t>Amperel</t>
        </is>
      </c>
      <c r="H582" s="14" t="inlineStr">
        <is>
          <t>SENSODINE</t>
        </is>
      </c>
      <c r="I582" s="14" t="inlineStr">
        <is>
          <t>Sensodyne Repair&amp;Protect Whitening Toothpaste for Sensitive Teeth with Whitening Effect*, Repairs Strengthens and Protects, Fresh Mint Flavour, 75 ml</t>
        </is>
      </c>
      <c r="J582" s="14" t="inlineStr">
        <is>
          <t>No</t>
        </is>
      </c>
      <c r="K582" s="14" t="inlineStr">
        <is>
          <t>https://www.amazon.de/-/en/Sensodyne-Whitening-Toothpaste-Sensitive-Strengthens/dp/B0CCYMNVZ3/ref=sr_1_35?crid=2ORK9PFD2T7R9&amp;dib=eyJ2IjoiMSJ9.GN4gzDqMjdTwjIeLKn1lt98b7lbxV7HrG84j4V2I6Tsl73fKuzyho4XH2Z3OOzGkF_wMv-sms5PTiffNWR2PFjuWv82KbSsrBH4fdNgudHzED0zQNTuA3UH1P7sxUry5uAJEhHk4vOvups1uiKA8r__pKs1QeuXv_yK_RXSAfiLh83Y66zZtz_gaZJmMVuJEdGC1vYQlsHdoeGiA9ipDi6oBtS_gqWekmNVGLvxCp4EjJzbMzhqRnCTBHsBvvgbDlIDD1bPehj-sBXR9pIx61GQdk0MEXQq9agJkZ9Khs7A.chMwIkQDiOaQnX5SHNEAVnEmCXS0CFBh5i4PLgCUcGw&amp;dib_tag=se&amp;keywords=sensodyne+WHITENING&amp;qid=1755613656&amp;refinements=p_123%3A242098&amp;rnid=91049101031&amp;sprefix=sensodyne+whitening%2Caps%2C138&amp;sr=8-35</t>
        </is>
      </c>
      <c r="L582" s="14" t="inlineStr">
        <is>
          <t>B0CCYMNVZ3</t>
        </is>
      </c>
      <c r="M582" s="15" t="n"/>
      <c r="N582" s="15" t="n"/>
      <c r="O582" s="15" t="n">
        <v>12.7</v>
      </c>
      <c r="P582" s="15">
        <f>O582/1.19</f>
        <v/>
      </c>
      <c r="Q582" s="15">
        <f>O582-P582</f>
        <v/>
      </c>
      <c r="R582" s="15">
        <f>O582*0.15</f>
        <v/>
      </c>
      <c r="S582" s="15" t="n">
        <v>3.58</v>
      </c>
      <c r="T582" s="15">
        <f>S582*0.2</f>
        <v/>
      </c>
      <c r="U582" s="15" t="n">
        <v>0.400000000000002</v>
      </c>
      <c r="V582" s="15" t="n">
        <v>2.65</v>
      </c>
      <c r="W582" s="15">
        <f>V582*0.2</f>
        <v/>
      </c>
      <c r="X582" s="21">
        <f>O582-Q582-R582-S582-U582-V582+T582+W582</f>
        <v/>
      </c>
      <c r="Y582" s="14" t="n"/>
      <c r="Z582" s="15">
        <f>O582+1.5</f>
        <v/>
      </c>
      <c r="AA582" s="15" t="n"/>
      <c r="AB582" s="15" t="n"/>
      <c r="AC582" s="14" t="n"/>
      <c r="AD582" s="14" t="n"/>
      <c r="AE582" s="13" t="inlineStr">
        <is>
          <t>NOT_UPLOADED</t>
        </is>
      </c>
    </row>
    <row r="583" ht="16" customHeight="1">
      <c r="A583" s="17" t="n">
        <v>3830029293629</v>
      </c>
      <c r="B583" s="17" t="n">
        <v>3830029293629</v>
      </c>
      <c r="C583" s="13" t="n"/>
      <c r="D583" s="18" t="inlineStr">
        <is>
          <t>ADF US ADD</t>
        </is>
      </c>
      <c r="E583" s="18" t="inlineStr">
        <is>
          <t>SN-3830029293629</t>
        </is>
      </c>
      <c r="F583" s="17" t="n">
        <v>3301009</v>
      </c>
      <c r="G583" s="18" t="inlineStr">
        <is>
          <t>Amperel</t>
        </is>
      </c>
      <c r="H583" s="18" t="inlineStr">
        <is>
          <t>SENSODINE</t>
        </is>
      </c>
      <c r="I583" s="18" t="inlineStr">
        <is>
          <t>Sensodyne Sensitive Repair And Protect Toothpaste, Whitening, 75 ml (Pack of 1)</t>
        </is>
      </c>
      <c r="J583" s="18" t="inlineStr">
        <is>
          <t>No</t>
        </is>
      </c>
      <c r="K583" s="18" t="inlineStr">
        <is>
          <t>https://www.amazon.de/-/en/Sensodyne-Sensitive-Protect-Toothpaste-Whitening/dp/B008VPSTOA/ref=sr_1_47_mod_primary_new?crid=2ORK9PFD2T7R9&amp;dib=eyJ2IjoiMSJ9.GN4gzDqMjdTwjIeLKn1lt98b7lbxV7HrG84j4V2I6Tsl73fKuzyho4XH2Z3OOzGkF_wMv-sms5PTiffNWR2PFjuWv82KbSsrBH4fdNgudHzED0zQNTuA3UH1P7sxUry5uAJEhHk4vOvups1uiKA8r__pKs1QeuXv_yK_RXSAfiLh83Y66zZtz_gaZJmMVuJEdGC1vYQlsHdoeGiA9ipDi6oBtS_gqWekmNVGLvxCp4EjJzbMzhqRnCTBHsBvvgbDlIDD1bPehj-sBXR9pIx61GQdk0MEXQq9agJkZ9Khs7A.chMwIkQDiOaQnX5SHNEAVnEmCXS0CFBh5i4PLgCUcGw&amp;dib_tag=se&amp;keywords=sensodyne%2BWHITENING&amp;qid=1755613656&amp;refinements=p_123%3A242098&amp;rnid=91049101031&amp;sbo=RZvfv%2F%2FHxDF%2BO5021pAnSA%3D%3D&amp;sprefix=sensodyne%2Bwhitening%2Caps%2C138&amp;sr=8-47&amp;th=1</t>
        </is>
      </c>
      <c r="L583" s="18" t="inlineStr">
        <is>
          <t>B008VPSTOA</t>
        </is>
      </c>
      <c r="M583" s="19" t="n"/>
      <c r="N583" s="19" t="n"/>
      <c r="O583" s="19" t="n">
        <v>9.4</v>
      </c>
      <c r="P583" s="19">
        <f>O583/1.19</f>
        <v/>
      </c>
      <c r="Q583" s="19">
        <f>O583-P583</f>
        <v/>
      </c>
      <c r="R583" s="19">
        <f>O583*0.15</f>
        <v/>
      </c>
      <c r="S583" s="19" t="n">
        <v>3.58</v>
      </c>
      <c r="T583" s="19">
        <f>S583*0.2</f>
        <v/>
      </c>
      <c r="U583" s="19" t="n">
        <v>0.400000000000002</v>
      </c>
      <c r="V583" s="19" t="n">
        <v>2.98</v>
      </c>
      <c r="W583" s="19">
        <f>V583*0.2</f>
        <v/>
      </c>
      <c r="X583" s="22">
        <f>O583-Q583-R583-S583-U583-V583+T583+W583</f>
        <v/>
      </c>
      <c r="Y583" s="18" t="n"/>
      <c r="Z583" s="19">
        <f>O583+1.5</f>
        <v/>
      </c>
      <c r="AA583" s="19" t="n"/>
      <c r="AB583" s="19" t="n"/>
      <c r="AC583" s="18" t="n"/>
      <c r="AD583" s="18" t="n"/>
      <c r="AE583" s="13" t="inlineStr">
        <is>
          <t>NOT_UPLOADED</t>
        </is>
      </c>
    </row>
    <row r="584" ht="16" customHeight="1">
      <c r="A584" s="12" t="n">
        <v>3830029293629</v>
      </c>
      <c r="B584" s="12" t="n">
        <v>3830029293629</v>
      </c>
      <c r="C584" s="13" t="n"/>
      <c r="D584" s="14" t="n"/>
      <c r="E584" s="14" t="inlineStr">
        <is>
          <t>AMP-3830029293629</t>
        </is>
      </c>
      <c r="F584" s="12" t="n">
        <v>3301009</v>
      </c>
      <c r="G584" s="14" t="inlineStr">
        <is>
          <t>Amperel</t>
        </is>
      </c>
      <c r="H584" s="14" t="inlineStr">
        <is>
          <t>SENSODINE</t>
        </is>
      </c>
      <c r="I584" s="14" t="inlineStr">
        <is>
          <t>Sensodyne Toothpaste Repairs &amp; Protects Whiteness for Sensitive Teeth Long Lasting Protection Against Tooth Sensitivity 75ml</t>
        </is>
      </c>
      <c r="J584" s="14" t="inlineStr">
        <is>
          <t>No</t>
        </is>
      </c>
      <c r="K584" s="14" t="inlineStr">
        <is>
          <t>https://www.amazon.de/-/en/Sensodyne-Toothpaste-Whiteness-Protection-Sensitivity/dp/B081ZT4XWV/ref=sr_1_54?crid=2ORK9PFD2T7R9&amp;dib=eyJ2IjoiMSJ9.FAVH-4YHLDC6erFeIMZ-C_v_QJ5j6HSSSRu-H3WxP7tiOTy6_hErt13JoSX6YKPSmEM7kUkDbhflBZD8Jx5UmSnCNXetbjswRugRzJaX-hqvUbycRKn4kZekA0L0IvzP820CWQmRqLvnA1zfEuJOlOKhm-3tdGXQMggHTJ6Xiz9pZaRRapoA3EAsOKeIjqw2fGUJQ6JwYKCUt8IPi2P3NsdajzH7LwwsV7QPVczLQdYkd68h45nhrPWGcr_GNW4WAxbzUUAFHbYgoHJqCOupN7wCljF9TJYGI3fikhSZpZ0.ckHUB--qIV_hDWoXIaHY4smz9eKRcGVpuYwgn-Paga4&amp;dib_tag=se&amp;keywords=sensodyne+WHITENING&amp;qid=1755614568&amp;refinements=p_123%3A242098&amp;rnid=91049101031&amp;sprefix=sensodyne+whitening%2Caps%2C138&amp;sr=8-54&amp;xpid=vA0kcetDgJSCB</t>
        </is>
      </c>
      <c r="L584" s="14" t="inlineStr">
        <is>
          <t>B081ZT4XWV</t>
        </is>
      </c>
      <c r="M584" s="15" t="n"/>
      <c r="N584" s="15" t="n"/>
      <c r="O584" s="15" t="n">
        <v>9.9</v>
      </c>
      <c r="P584" s="15">
        <f>O584/1.19</f>
        <v/>
      </c>
      <c r="Q584" s="15">
        <f>O584-P584</f>
        <v/>
      </c>
      <c r="R584" s="15">
        <f>O584*0.15</f>
        <v/>
      </c>
      <c r="S584" s="15" t="n">
        <v>3.58</v>
      </c>
      <c r="T584" s="15">
        <f>S584*0.2</f>
        <v/>
      </c>
      <c r="U584" s="15" t="n">
        <v>0.400000000000002</v>
      </c>
      <c r="V584" s="15" t="n">
        <v>2.65</v>
      </c>
      <c r="W584" s="15">
        <f>V584*0.2</f>
        <v/>
      </c>
      <c r="X584" s="16">
        <f>O584-Q584-R584-S584-U584-V584+T584+W584</f>
        <v/>
      </c>
      <c r="Y584" s="14" t="n"/>
      <c r="Z584" s="15">
        <f>O584+1.5</f>
        <v/>
      </c>
      <c r="AA584" s="15" t="n"/>
      <c r="AB584" s="15" t="n"/>
      <c r="AC584" s="14" t="n"/>
      <c r="AD584" s="14" t="n"/>
      <c r="AE584" s="13" t="inlineStr">
        <is>
          <t>NOT_UPLOADED</t>
        </is>
      </c>
    </row>
    <row r="585" ht="16" customHeight="1">
      <c r="A585" s="17" t="n">
        <v>3800132250857</v>
      </c>
      <c r="B585" s="17" t="n">
        <v>3800132250857</v>
      </c>
      <c r="C585" s="13" t="n"/>
      <c r="D585" s="18" t="n"/>
      <c r="E585" s="18" t="inlineStr">
        <is>
          <t>AM-3800132250857</t>
        </is>
      </c>
      <c r="F585" s="17" t="n">
        <v>3301008</v>
      </c>
      <c r="G585" s="18" t="inlineStr">
        <is>
          <t>Amperel</t>
        </is>
      </c>
      <c r="H585" s="18" t="inlineStr">
        <is>
          <t>SENSODINE</t>
        </is>
      </c>
      <c r="I585" s="18" t="inlineStr">
        <is>
          <t>SENSODYNE Toothpaste, Repair &amp; Protect Toothpaste for Pain-sensitive Teeth, Pain-sensitive Teeth, 75 ml</t>
        </is>
      </c>
      <c r="J585" s="18" t="inlineStr">
        <is>
          <t>No</t>
        </is>
      </c>
      <c r="K585" s="18" t="inlineStr">
        <is>
          <t>https://www.amazon.de/-/en/SENSODYNE-Toothpaste-Repair-Protect-Pain-sensitive/dp/B092N3R634/ref=sr_1_1?crid=3D0D2PL4L5SHW&amp;dib=eyJ2IjoiMSJ9.31U5Cj5pEeVxnis5oW6cAHu2yg_1SnCDfGhFUFsFFVi7SEILOl8CfH8IN9_MvV6HJN1QWkhPrmoBXZMx2wzirBqJzIv3kqCNkIoUwb-vfzsWXlZBAg_Y5G50NW3AEXPEz1Eio_agnTIzKwEyN_FtMo0X-SVugomYz5G71n4DkQLxxlqGVD282hBmrCGAp2dVcip2xi6ykPmOoiTf4AtnYs99WFjXQQaI_7TgzdL3KBxPt-HWzFjiJ2VyzwpgHRZdqRuVgydQQngIKfGwCwvPLnLvgg0UZdD58yvPhyeccns.md86c6bzoSM-RqQEi6Rqo5YqA3wt8m2NL9BPYh4e8zc&amp;dib_tag=se&amp;keywords=sensodyne+REPAIR+PROTECT&amp;qid=1755614667&amp;rdc=1&amp;sprefix=sensodyne+repair+protect%2Caps%2C152&amp;sr=8-1</t>
        </is>
      </c>
      <c r="L585" s="18" t="inlineStr">
        <is>
          <t>B092N3R634</t>
        </is>
      </c>
      <c r="M585" s="19" t="n"/>
      <c r="N585" s="19" t="n"/>
      <c r="O585" s="19" t="n">
        <v>9.449999999999999</v>
      </c>
      <c r="P585" s="19">
        <f>O585/1.19</f>
        <v/>
      </c>
      <c r="Q585" s="19">
        <f>O585-P585</f>
        <v/>
      </c>
      <c r="R585" s="19">
        <f>O585*0.15</f>
        <v/>
      </c>
      <c r="S585" s="19" t="n">
        <v>3.58</v>
      </c>
      <c r="T585" s="19">
        <f>S585*0.2</f>
        <v/>
      </c>
      <c r="U585" s="19" t="n">
        <v>0.400000000000002</v>
      </c>
      <c r="V585" s="19" t="n">
        <v>2.65</v>
      </c>
      <c r="W585" s="19">
        <f>V585*0.2</f>
        <v/>
      </c>
      <c r="X585" s="16">
        <f>O585-Q585-R585-S585-U585-V585+T585+W585</f>
        <v/>
      </c>
      <c r="Y585" s="18" t="n"/>
      <c r="Z585" s="19">
        <f>O585+1.5</f>
        <v/>
      </c>
      <c r="AA585" s="19" t="n">
        <v>3.69</v>
      </c>
      <c r="AB585" s="19" t="n"/>
      <c r="AC585" s="18" t="n"/>
      <c r="AD585" s="18" t="n"/>
      <c r="AE585" s="13" t="inlineStr">
        <is>
          <t>NOT_UPLOADED</t>
        </is>
      </c>
    </row>
    <row r="586" ht="16" customHeight="1">
      <c r="A586" s="12" t="n">
        <v>3800132250857</v>
      </c>
      <c r="B586" s="12" t="n">
        <v>3800132250857</v>
      </c>
      <c r="C586" s="20" t="inlineStr">
        <is>
          <t>PACK X 3</t>
        </is>
      </c>
      <c r="D586" s="14" t="n"/>
      <c r="E586" s="14" t="inlineStr">
        <is>
          <t>AMP-3800132250857</t>
        </is>
      </c>
      <c r="F586" s="12" t="n">
        <v>3301008</v>
      </c>
      <c r="G586" s="14" t="inlineStr">
        <is>
          <t>Amperel</t>
        </is>
      </c>
      <c r="H586" s="14" t="inlineStr">
        <is>
          <t>SENSODINE</t>
        </is>
      </c>
      <c r="I586" s="14" t="inlineStr">
        <is>
          <t>Sensodyne Repair &amp; Protect Toothpaste, Daily Toothpaste with Tin Fluoride for Pain-Sensitive Teeth and Long-Lasting Protection, 3 x 75 ml</t>
        </is>
      </c>
      <c r="J586" s="14" t="inlineStr">
        <is>
          <t>No</t>
        </is>
      </c>
      <c r="K586" s="14" t="inlineStr">
        <is>
          <t>https://www.amazon.de/-/en/Sensodyne-Toothpaste-Pain-Sensitive-Long-Lasting-Protection/dp/B0C5MBGCCG/ref=sr_1_2?crid=3D0D2PL4L5SHW&amp;dib=eyJ2IjoiMSJ9.31U5Cj5pEeVxnis5oW6cAHu2yg_1SnCDfGhFUFsFFVi7SEILOl8CfH8IN9_MvV6HJN1QWkhPrmoBXZMx2wzirBqJzIv3kqCNkIoUwb-vfzsWXlZBAg_Y5G50NW3AEXPEz1Eio_agnTIzKwEyN_FtMo0X-SVugomYz5G71n4DkQLxxlqGVD282hBmrCGAp2dVcip2xi6ykPmOoiTf4AtnYs99WFjXQQaI_7TgzdL3KBxPt-HWzFjiJ2VyzwpgHRZdqRuVgydQQngIKfGwCwvPLnLvgg0UZdD58yvPhyeccns.md86c6bzoSM-RqQEi6Rqo5YqA3wt8m2NL9BPYh4e8zc&amp;dib_tag=se&amp;keywords=sensodyne+REPAIR+PROTECT&amp;qid=1755614827&amp;sprefix=sensodyne+repair+protect%2Caps%2C152&amp;sr=8-2</t>
        </is>
      </c>
      <c r="L586" s="14" t="inlineStr">
        <is>
          <t>B0C5MBGCCG</t>
        </is>
      </c>
      <c r="M586" s="15" t="n"/>
      <c r="N586" s="15" t="n"/>
      <c r="O586" s="15" t="n">
        <v>27.4</v>
      </c>
      <c r="P586" s="15">
        <f>O586/1.19</f>
        <v/>
      </c>
      <c r="Q586" s="15">
        <f>O586-P586</f>
        <v/>
      </c>
      <c r="R586" s="15">
        <f>O586*0.15</f>
        <v/>
      </c>
      <c r="S586" s="15" t="n">
        <v>10.74</v>
      </c>
      <c r="T586" s="15">
        <f>S586*0.2</f>
        <v/>
      </c>
      <c r="U586" s="15" t="n">
        <v>0.400000000000002</v>
      </c>
      <c r="V586" s="15" t="n">
        <v>7.25</v>
      </c>
      <c r="W586" s="15">
        <f>V586*0.2</f>
        <v/>
      </c>
      <c r="X586" s="21">
        <f>O586-Q586-R586-S586-U586-V586+T586+W586</f>
        <v/>
      </c>
      <c r="Y586" s="14" t="n"/>
      <c r="Z586" s="15">
        <f>O586+1.5</f>
        <v/>
      </c>
      <c r="AA586" s="15" t="n">
        <v>11.07</v>
      </c>
      <c r="AB586" s="15" t="n"/>
      <c r="AC586" s="14" t="n"/>
      <c r="AD586" s="14" t="n"/>
      <c r="AE586" s="13" t="inlineStr">
        <is>
          <t>NOT_UPLOADED</t>
        </is>
      </c>
    </row>
    <row r="587" ht="16" customHeight="1">
      <c r="A587" s="17" t="n">
        <v>3800132250857</v>
      </c>
      <c r="B587" s="17" t="n">
        <v>3800132250857</v>
      </c>
      <c r="C587" s="20" t="inlineStr">
        <is>
          <t>PACK X 6</t>
        </is>
      </c>
      <c r="D587" s="18" t="n"/>
      <c r="E587" s="18" t="inlineStr">
        <is>
          <t>PACK-3800132250857</t>
        </is>
      </c>
      <c r="F587" s="17" t="n">
        <v>3301008</v>
      </c>
      <c r="G587" s="18" t="inlineStr">
        <is>
          <t>Amperel</t>
        </is>
      </c>
      <c r="H587" s="18" t="inlineStr">
        <is>
          <t>SENSODINE</t>
        </is>
      </c>
      <c r="I587" s="18" t="inlineStr">
        <is>
          <t>SENSODYNE 6 x Toothpaste Repair &amp; Protect - 75 ml</t>
        </is>
      </c>
      <c r="J587" s="18" t="inlineStr">
        <is>
          <t>No</t>
        </is>
      </c>
      <c r="K587" s="18" t="inlineStr">
        <is>
          <t>https://www.amazon.de/-/en/SENSODYNE-Toothpaste-Repair-Protect-75/dp/B06XJJWPZD/ref=sr_1_6?crid=3D0D2PL4L5SHW&amp;dib=eyJ2IjoiMSJ9.31U5Cj5pEeVxnis5oW6cAHu2yg_1SnCDfGhFUFsFFVi7SEILOl8CfH8IN9_MvV6HJN1QWkhPrmoBXZMx2wzirBqJzIv3kqCNkIoUwb-vfzsWXlZBAg_Y5G50NW3AEXPEz1Eio_agnTIzKwEyN_FtMo0X-SVugomYz5G71n4DkQLxxlqGVD282hBmrCGAp2dVcip2xi6ykPmOoiTf4AtnYs99WFjXQQaI_7TgzdL3KBxPt-HWzFjiJ2VyzwpgHRZdqRuVgydQQngIKfGwCwvPLnLvgg0UZdD58yvPhyeccns.md86c6bzoSM-RqQEi6Rqo5YqA3wt8m2NL9BPYh4e8zc&amp;dib_tag=se&amp;keywords=sensodyne+REPAIR+PROTECT&amp;qid=1755614827&amp;sprefix=sensodyne+repair+protect%2Caps%2C152&amp;sr=8-6</t>
        </is>
      </c>
      <c r="L587" s="18" t="inlineStr">
        <is>
          <t>B06XJJWPZD</t>
        </is>
      </c>
      <c r="M587" s="19" t="n"/>
      <c r="N587" s="19" t="n"/>
      <c r="O587" s="19" t="n">
        <v>39.9</v>
      </c>
      <c r="P587" s="19">
        <f>O587/1.19</f>
        <v/>
      </c>
      <c r="Q587" s="19">
        <f>O587-P587</f>
        <v/>
      </c>
      <c r="R587" s="19">
        <f>O587*0.15</f>
        <v/>
      </c>
      <c r="S587" s="19" t="n">
        <v>21.48</v>
      </c>
      <c r="T587" s="19">
        <f>S587*0.2</f>
        <v/>
      </c>
      <c r="U587" s="19" t="n">
        <v>0.400000000000002</v>
      </c>
      <c r="V587" s="19" t="n">
        <v>7.7</v>
      </c>
      <c r="W587" s="19">
        <f>V587*0.2</f>
        <v/>
      </c>
      <c r="X587" s="21">
        <f>O587-Q587-R587-S587-U587-V587+T587+W587</f>
        <v/>
      </c>
      <c r="Y587" s="18" t="n"/>
      <c r="Z587" s="19">
        <f>O587+1.5</f>
        <v/>
      </c>
      <c r="AA587" s="19" t="n"/>
      <c r="AB587" s="19" t="n"/>
      <c r="AC587" s="18" t="n"/>
      <c r="AD587" s="18" t="n"/>
      <c r="AE587" s="13" t="inlineStr">
        <is>
          <t>NOT_UPLOADED</t>
        </is>
      </c>
    </row>
    <row r="588" ht="16" customHeight="1">
      <c r="A588" s="12" t="n">
        <v>3800132250857</v>
      </c>
      <c r="B588" s="12" t="n">
        <v>3800132250857</v>
      </c>
      <c r="C588" s="13" t="n"/>
      <c r="D588" s="14" t="n"/>
      <c r="E588" s="14" t="inlineStr">
        <is>
          <t>PA-3800132250857</t>
        </is>
      </c>
      <c r="F588" s="12" t="n">
        <v>3301008</v>
      </c>
      <c r="G588" s="14" t="inlineStr">
        <is>
          <t>Amperel</t>
        </is>
      </c>
      <c r="H588" s="14" t="inlineStr">
        <is>
          <t>SENSODINE</t>
        </is>
      </c>
      <c r="I588" s="14" t="inlineStr">
        <is>
          <t>SENSODYNE Toothpaste Repair &amp; Protect Daily Repair 75 ml</t>
        </is>
      </c>
      <c r="J588" s="14" t="inlineStr">
        <is>
          <t>No</t>
        </is>
      </c>
      <c r="K588" s="14" t="inlineStr">
        <is>
          <t>https://www.amazon.de/-/en/SENSODYNE-Toothpaste-Repair-Protect-Daily/dp/B0DQYLJYLX/ref=sr_1_34?crid=3D0D2PL4L5SHW&amp;dib=eyJ2IjoiMSJ9.jj4hs3Q1Zahsbp2WcPbJnXLDXotDR8kKVDePZQulKX12fADFXyKl2BseoYuKZ5KHK0STUQEnD_a8bKvMXHnctWF7CeLXyjz2I8vY6uze4Wxe651UDgAhHszM0RE_wrx6ESBCVkUK-pKMiHumcNHn9I0X-SVugomYz5G71n4DkQIb5A-7RDxDdJDcr7sD8sSXYaV4f0OOegI4wp0kh193KpILOssU2WjhrKawvACtMDJPt-HWzFjiJ2VyzwpgHRZdqRuVgydQQngIKfGwCwvPLnLvgg0UZdD58yvPhyeccns.yOKHpvrRNx-HqQr3LjsUvGATDmQcRaKoJVmjK915nP4&amp;dib_tag=se&amp;keywords=sensodyne+REPAIR+PROTECT&amp;qid=1755692553&amp;sprefix=sensodyne+repair+protect%2Caps%2C152&amp;sr=8-34</t>
        </is>
      </c>
      <c r="L588" s="14" t="inlineStr">
        <is>
          <t>B0DQYLJYLX</t>
        </is>
      </c>
      <c r="M588" s="15" t="n">
        <v>10.13</v>
      </c>
      <c r="N588" s="15" t="n"/>
      <c r="O588" s="15" t="n">
        <v>9.99</v>
      </c>
      <c r="P588" s="15">
        <f>O588/1.19</f>
        <v/>
      </c>
      <c r="Q588" s="15">
        <f>O588-P588</f>
        <v/>
      </c>
      <c r="R588" s="15">
        <f>O588*0.15</f>
        <v/>
      </c>
      <c r="S588" s="15" t="n">
        <v>3.58</v>
      </c>
      <c r="T588" s="15">
        <f>S588*0.2</f>
        <v/>
      </c>
      <c r="U588" s="15" t="n">
        <v>0.400000000000002</v>
      </c>
      <c r="V588" s="15" t="n">
        <v>2.65</v>
      </c>
      <c r="W588" s="15">
        <f>V588*0.2</f>
        <v/>
      </c>
      <c r="X588" s="16">
        <f>O588-Q588-R588-S588-U588-V588+T588+W588</f>
        <v/>
      </c>
      <c r="Y588" s="14" t="n"/>
      <c r="Z588" s="15">
        <f>O588+1.5</f>
        <v/>
      </c>
      <c r="AA588" s="15" t="n"/>
      <c r="AB588" s="15" t="n"/>
      <c r="AC588" s="14" t="n"/>
      <c r="AD588" s="14" t="n"/>
      <c r="AE588" s="13" t="inlineStr">
        <is>
          <t>NOT_UPLOADED</t>
        </is>
      </c>
    </row>
    <row r="589" ht="16" customHeight="1">
      <c r="A589" s="17" t="n">
        <v>3800132250857</v>
      </c>
      <c r="B589" s="17" t="n">
        <v>3800132250857</v>
      </c>
      <c r="C589" s="20" t="inlineStr">
        <is>
          <t>PACK X 4</t>
        </is>
      </c>
      <c r="D589" s="18" t="n"/>
      <c r="E589" s="18" t="inlineStr">
        <is>
          <t>AMPE-3800132250857</t>
        </is>
      </c>
      <c r="F589" s="17" t="n">
        <v>3301008</v>
      </c>
      <c r="G589" s="18" t="inlineStr">
        <is>
          <t>Amperel</t>
        </is>
      </c>
      <c r="H589" s="18" t="inlineStr">
        <is>
          <t>SENSODINE</t>
        </is>
      </c>
      <c r="I589" s="18" t="inlineStr">
        <is>
          <t>Sensodyne 4 x Zahnpasta Repair &amp; Protect - 75 ml</t>
        </is>
      </c>
      <c r="J589" s="18" t="inlineStr">
        <is>
          <t>No</t>
        </is>
      </c>
      <c r="K589" s="18" t="inlineStr">
        <is>
          <t>https://www.amazon.de/-/en/Sensodyne-Repair-Protect-Toothpaste-75/dp/B06XJDH4R6/ref=sr_1_42?crid=3D0D2PL4L5SHW&amp;dib=eyJ2IjoiMSJ9.jj4hs3Q1Zahsbp2WcPbJnXLDXotDR8kKVDePZQulKX12fADFXyKl2BseoYuKZ5KHK0STUQEnD_a8bKvMXHnctWF7CeLXyjz2I8vY6uze4Wxe651UDgAhHszM0RE_wrx6ESBCVkUK-pKMiHumcNHn9I0X-SVugomYz5G71n4DkQIb5A-7RDxDdJDcr7sD8sSXYaV4f0OOegI4wp0kh193KpILOssU2WjhrKawvACtMDJPt-HWzFjiJ2VyzwpgHRZdqRuVgydQQngIKfGwCwvPLnLvgg0UZdD58yvPhyeccns.yOKHpvrRNx-HqQr3LjsUvGATDmQcRaKoJVmjK915nP4&amp;dib_tag=se&amp;keywords=sensodyne+REPAIR+PROTECT&amp;qid=1755692553&amp;sprefix=sensodyne+repair+protect%2Caps%2C152&amp;sr=8-42</t>
        </is>
      </c>
      <c r="L589" s="18" t="inlineStr">
        <is>
          <t>B06XJDH4R6</t>
        </is>
      </c>
      <c r="M589" s="19" t="n"/>
      <c r="N589" s="19" t="n"/>
      <c r="O589" s="19" t="n">
        <v>29.99</v>
      </c>
      <c r="P589" s="19">
        <f>O589/1.19</f>
        <v/>
      </c>
      <c r="Q589" s="19">
        <f>O589-P589</f>
        <v/>
      </c>
      <c r="R589" s="19">
        <f>O589*0.15</f>
        <v/>
      </c>
      <c r="S589" s="19" t="n">
        <v>14.32</v>
      </c>
      <c r="T589" s="19">
        <f>S589*0.2</f>
        <v/>
      </c>
      <c r="U589" s="19" t="n">
        <v>0.400000000000002</v>
      </c>
      <c r="V589" s="19" t="n">
        <v>5.85</v>
      </c>
      <c r="W589" s="19">
        <f>V589*0.2</f>
        <v/>
      </c>
      <c r="X589" s="21">
        <f>O589-Q589-R589-S589-U589-V589+T589+W589</f>
        <v/>
      </c>
      <c r="Y589" s="18" t="n"/>
      <c r="Z589" s="19">
        <f>O589+1.5</f>
        <v/>
      </c>
      <c r="AA589" s="19" t="n"/>
      <c r="AB589" s="19" t="n"/>
      <c r="AC589" s="18" t="n"/>
      <c r="AD589" s="18" t="n"/>
      <c r="AE589" s="13" t="inlineStr">
        <is>
          <t>NOT_UPLOADED</t>
        </is>
      </c>
    </row>
    <row r="590" ht="16" customHeight="1">
      <c r="A590" s="12" t="n">
        <v>3800132250857</v>
      </c>
      <c r="B590" s="12" t="n">
        <v>3800132250857</v>
      </c>
      <c r="C590" s="13" t="n"/>
      <c r="D590" s="14" t="n"/>
      <c r="E590" s="14" t="inlineStr">
        <is>
          <t>A-3800132250857</t>
        </is>
      </c>
      <c r="F590" s="12" t="n">
        <v>3301008</v>
      </c>
      <c r="G590" s="14" t="inlineStr">
        <is>
          <t>Amperel</t>
        </is>
      </c>
      <c r="H590" s="14" t="inlineStr">
        <is>
          <t>SENSODINE</t>
        </is>
      </c>
      <c r="I590" s="14" t="inlineStr">
        <is>
          <t>Sensodyne Set for Pain- and Cold-sensitive Teeth</t>
        </is>
      </c>
      <c r="J590" s="14" t="inlineStr">
        <is>
          <t>No</t>
        </is>
      </c>
      <c r="K590" s="14" t="inlineStr">
        <is>
          <t>https://www.amazon.de/-/en/Sensodyne-Set-Pain-Cold-sensitive-Teeth/dp/B08DDSF1DV/ref=sr_1_58?crid=3D0D2PL4L5SHW&amp;dib=eyJ2IjoiMSJ9.jj4hs3Q1Zahsbp2WcPbJnXLDXotDR8kKVDePZQulKX12fADFXyKl2BseoYuKZ5KHK0STUQEnD_a8bKvMXHnctWF7CeLXyjz2I8vY6uze4Wxe651UDgAhHszM0RE_wrx6ESBCVkUK-pKMiHumcNHn9I0X-SVugomYz5G71n4DkQIb5A-7RDxDdJDcr7sD8sSXYaV4f0OOegI4wp0kh193KpILOssU2WjhrKawvACtMDJPt-HWzFjiJ2VyzwpgHRZdqRuVgydQQngIKfGwCwvPLnLvgg0UZdD58yvPhyeccns.yOKHpvrRNx-HqQr3LjsUvGATDmQcRaKoJVmjK915nP4&amp;dib_tag=se&amp;keywords=sensodyne+REPAIR+PROTECT&amp;qid=1755692553&amp;sprefix=sensodyne+repair+protect%2Caps%2C152&amp;sr=8-58</t>
        </is>
      </c>
      <c r="L590" s="14" t="inlineStr">
        <is>
          <t>B08DDSF1DV</t>
        </is>
      </c>
      <c r="M590" s="15" t="n"/>
      <c r="N590" s="15" t="n"/>
      <c r="O590" s="15" t="n">
        <v>9.9</v>
      </c>
      <c r="P590" s="15">
        <f>O590/1.19</f>
        <v/>
      </c>
      <c r="Q590" s="15">
        <f>O590-P590</f>
        <v/>
      </c>
      <c r="R590" s="15">
        <f>O590*0.15</f>
        <v/>
      </c>
      <c r="S590" s="15" t="n">
        <v>3.58</v>
      </c>
      <c r="T590" s="15">
        <f>S590*0.2</f>
        <v/>
      </c>
      <c r="U590" s="15" t="n">
        <v>0.400000000000002</v>
      </c>
      <c r="V590" s="15" t="n">
        <v>2.85</v>
      </c>
      <c r="W590" s="15">
        <f>V590*0.2</f>
        <v/>
      </c>
      <c r="X590" s="16">
        <f>O590-Q590-R590-S590-U590-V590+T590+W590</f>
        <v/>
      </c>
      <c r="Y590" s="14" t="n"/>
      <c r="Z590" s="15">
        <f>O590+1.5</f>
        <v/>
      </c>
      <c r="AA590" s="15" t="n"/>
      <c r="AB590" s="15" t="n"/>
      <c r="AC590" s="14" t="n"/>
      <c r="AD590" s="14" t="n"/>
      <c r="AE590" s="13" t="inlineStr">
        <is>
          <t>NOT_UPLOADED</t>
        </is>
      </c>
    </row>
    <row r="591" ht="16" customHeight="1">
      <c r="A591" s="17" t="n">
        <v>5054563029768</v>
      </c>
      <c r="B591" s="17" t="n">
        <v>5054563029768</v>
      </c>
      <c r="C591" s="13" t="n"/>
      <c r="D591" s="18" t="n"/>
      <c r="E591" s="18" t="inlineStr">
        <is>
          <t>AM-5054563029768</t>
        </is>
      </c>
      <c r="F591" s="17" t="n">
        <v>3302005</v>
      </c>
      <c r="G591" s="18" t="inlineStr">
        <is>
          <t>Amperel</t>
        </is>
      </c>
      <c r="H591" s="18" t="inlineStr">
        <is>
          <t>SENSODINE</t>
        </is>
      </c>
      <c r="I591" s="18" t="inlineStr">
        <is>
          <t>Extra Soft Toothbrush Repair &amp; Protect</t>
        </is>
      </c>
      <c r="J591" s="18" t="inlineStr">
        <is>
          <t>No</t>
        </is>
      </c>
      <c r="K591" s="18" t="inlineStr">
        <is>
          <t>https://www.amazon.de/-/en/Extra-Soft-Toothbrush-Repair-Protect/dp/B0C9Q7YVDP/ref=sr_1_1?crid=14GH7YRRKFTA6&amp;dib=eyJ2IjoiMSJ9.pv7C1L0zrweGs84h2a6KrQ.46WSsT2Y1XL33JYwamPvdwUUSbF4PsB01QL6nidZQfs&amp;dib_tag=se&amp;keywords=5054563029768&amp;qid=1755693723&amp;sprefix=5054563029768%2Caps%2C218&amp;sr=8-1</t>
        </is>
      </c>
      <c r="L591" s="18" t="inlineStr">
        <is>
          <t>B0C9Q7YVDP</t>
        </is>
      </c>
      <c r="M591" s="19" t="n">
        <v>10.4</v>
      </c>
      <c r="N591" s="19" t="n"/>
      <c r="O591" s="19" t="n">
        <v>9.9</v>
      </c>
      <c r="P591" s="19">
        <f>O591/1.19</f>
        <v/>
      </c>
      <c r="Q591" s="19">
        <f>O591-P591</f>
        <v/>
      </c>
      <c r="R591" s="19">
        <f>O591*0.15</f>
        <v/>
      </c>
      <c r="S591" s="19" t="n">
        <v>2.55</v>
      </c>
      <c r="T591" s="19">
        <f>S591*0.2</f>
        <v/>
      </c>
      <c r="U591" s="19" t="n">
        <v>0.400000000000002</v>
      </c>
      <c r="V591" s="19" t="n">
        <v>2.2</v>
      </c>
      <c r="W591" s="19">
        <f>V591*0.2</f>
        <v/>
      </c>
      <c r="X591" s="21">
        <f>O591-Q591-R591-S591-U591-V591+T591+W591</f>
        <v/>
      </c>
      <c r="Y591" s="18" t="n"/>
      <c r="Z591" s="19">
        <f>O591+1.5</f>
        <v/>
      </c>
      <c r="AA591" s="19" t="n"/>
      <c r="AB591" s="19" t="n"/>
      <c r="AC591" s="18" t="n"/>
      <c r="AD591" s="18" t="n"/>
      <c r="AE591" s="13" t="inlineStr">
        <is>
          <t>NOT_UPLOADED</t>
        </is>
      </c>
    </row>
    <row r="592" ht="16" customHeight="1">
      <c r="A592" s="12" t="n">
        <v>5054563029768</v>
      </c>
      <c r="B592" s="12" t="n">
        <v>5054563029768</v>
      </c>
      <c r="C592" s="13" t="n"/>
      <c r="D592" s="14" t="n"/>
      <c r="E592" s="14" t="inlineStr">
        <is>
          <t>AMP-5054563029768</t>
        </is>
      </c>
      <c r="F592" s="12" t="n">
        <v>3302005</v>
      </c>
      <c r="G592" s="14" t="inlineStr">
        <is>
          <t>Amperel</t>
        </is>
      </c>
      <c r="H592" s="14" t="inlineStr">
        <is>
          <t>SENSODINE</t>
        </is>
      </c>
      <c r="I592" s="14" t="inlineStr">
        <is>
          <t>Sensodyne Repairs &amp; Protects Toothbrush, Sensitive Teeth, Soft, Limits Random Tooth Sensitivity</t>
        </is>
      </c>
      <c r="J592" s="14" t="inlineStr">
        <is>
          <t>No</t>
        </is>
      </c>
      <c r="K592" s="14" t="inlineStr">
        <is>
          <t>https://www.amazon.de/-/en/Sensodyne-Protects-Toothbrush-Sensitive-Sensitivity/dp/B07KSVR5NH/ref=sr_1_7?crid=B3WFCKCBRWSM&amp;dib=eyJ2IjoiMSJ9.-bRhFVyQEPhZNUSuT-XVBhIMOHrqcqZ5P8ZQF-rdVM38V-Hro01YP7D5KISS2jykpogDskLjTBmPIoX5eRhdMFMc5rAzRCJRdtNaXUU9Wd0TarOcdDBWWPcPK2c9bCVCAxEBuYMy5T8S0P7ERur7Q1G0Xt7ZVw1I1LiDPUsofRNEWlyqtInnZHzv_O7Ts4zWsXK3aEy40ipuuijBgFpBmwa2cF7J0uqPJ1KPFSDlSPYFbo48yg4tmer8jf73Q0RAgKLdOvM-DxBy4Prshi8jZGDoje5JVzHXmy_cVS2uds4.ITY5B2heqPuQoFmDkr3izpwPKd8pHW_gWC5Z8JZbPhA&amp;dib_tag=se&amp;keywords=sensodyne%2BTOOTHBRUSH&amp;qid=1755694177&amp;refinements=p_123%3A242098&amp;rnid=91049101031&amp;sprefix=sensodyne%2Btoothbrush%2Caps%2C192&amp;sr=8-7&amp;th=1</t>
        </is>
      </c>
      <c r="L592" s="14" t="inlineStr">
        <is>
          <t>B07KSVR5NH</t>
        </is>
      </c>
      <c r="M592" s="15" t="n"/>
      <c r="N592" s="15" t="n">
        <v>6.12</v>
      </c>
      <c r="O592" s="15" t="n">
        <v>8</v>
      </c>
      <c r="P592" s="15">
        <f>O592/1.19</f>
        <v/>
      </c>
      <c r="Q592" s="15">
        <f>O592-P592</f>
        <v/>
      </c>
      <c r="R592" s="15">
        <f>O592*0.15</f>
        <v/>
      </c>
      <c r="S592" s="15" t="n">
        <v>2.55</v>
      </c>
      <c r="T592" s="15">
        <f>S592*0.2</f>
        <v/>
      </c>
      <c r="U592" s="15" t="n">
        <v>0.400000000000002</v>
      </c>
      <c r="V592" s="15" t="n">
        <v>2.2</v>
      </c>
      <c r="W592" s="15">
        <f>V592*0.2</f>
        <v/>
      </c>
      <c r="X592" s="16">
        <f>O592-Q592-R592-S592-U592-V592+T592+W592</f>
        <v/>
      </c>
      <c r="Y592" s="14" t="n"/>
      <c r="Z592" s="15">
        <f>O592+1.5</f>
        <v/>
      </c>
      <c r="AA592" s="15" t="n"/>
      <c r="AB592" s="15" t="n"/>
      <c r="AC592" s="14" t="n"/>
      <c r="AD592" s="14" t="n"/>
      <c r="AE592" s="13" t="inlineStr">
        <is>
          <t>NOT_UPLOADED</t>
        </is>
      </c>
    </row>
    <row r="593" ht="16" customHeight="1">
      <c r="A593" s="17" t="n">
        <v>5054563063526</v>
      </c>
      <c r="B593" s="17" t="n">
        <v>5054563063526</v>
      </c>
      <c r="C593" s="20" t="inlineStr">
        <is>
          <t>PACK X 4</t>
        </is>
      </c>
      <c r="D593" s="18" t="n"/>
      <c r="E593" s="18" t="inlineStr">
        <is>
          <t>AMP-5054563063526</t>
        </is>
      </c>
      <c r="F593" s="17" t="n">
        <v>3301014</v>
      </c>
      <c r="G593" s="18" t="inlineStr">
        <is>
          <t>Amperel</t>
        </is>
      </c>
      <c r="H593" s="18" t="inlineStr">
        <is>
          <t>SENSODINE</t>
        </is>
      </c>
      <c r="I593" s="18" t="inlineStr">
        <is>
          <t>Sensodyne Toothpaste - Sensodyne - Sensitivity &amp; Gums (Gevoeligheid &amp; Tandvlees) - 75 ml Pack of 4</t>
        </is>
      </c>
      <c r="J593" s="18" t="inlineStr">
        <is>
          <t>No</t>
        </is>
      </c>
      <c r="K593" s="18" t="inlineStr">
        <is>
          <t>https://www.amazon.de/-/en/Sensodyne-Toothpaste-Sensitivity-Gevoeligheid-Tandvlees/dp/B07YY3LQQ7/ref=sr_1_6?dib=eyJ2IjoiMSJ9.QEu34l5WAtUztKbe-EPyWPLYMkuz9zQ53JYT-mxEpixBGiGKIJYNN6vfzOf8_Eh9sKS3lZi_ugoPfWIIBeLSrLbddxXBA1HGmONS6EGK0XgBLkS6QubCA82c5uhhw-A0MOvQuAH5YKf_WWUC8dwH-ehn5AUOakdTAM5Ec9ZbnP1FaipbwlW0egPRyqeanZN0N1ewCWgjLphl2FP6GQnIyjvo7RITnEYAPEgpCFD4BfoNRYknuPzzpOHBYEo9C9SAyNQkxedVyQDg-3z7cr4x3Dh97V09DhdBOvTQ5kgHHKs.q8jWr7uwULjitrADL-u6OBzMI9xBTiGXraFEK8RXuxc&amp;dib_tag=se&amp;keywords=sensodyne+sensitivity+%26+gum+toothpaste&amp;qid=1755694946&amp;sr=8-6</t>
        </is>
      </c>
      <c r="L593" s="18" t="inlineStr">
        <is>
          <t>B07YY3LQQ7</t>
        </is>
      </c>
      <c r="M593" s="19" t="n"/>
      <c r="N593" s="19" t="n"/>
      <c r="O593" s="19" t="n">
        <v>29.7</v>
      </c>
      <c r="P593" s="19">
        <f>O593/1.19</f>
        <v/>
      </c>
      <c r="Q593" s="19">
        <f>O593-P593</f>
        <v/>
      </c>
      <c r="R593" s="19">
        <f>O593*0.15</f>
        <v/>
      </c>
      <c r="S593" s="19" t="n">
        <v>14.32</v>
      </c>
      <c r="T593" s="19">
        <f>S593*0.2</f>
        <v/>
      </c>
      <c r="U593" s="19" t="n">
        <v>0.400000000000002</v>
      </c>
      <c r="V593" s="19" t="n">
        <v>5.85</v>
      </c>
      <c r="W593" s="19">
        <f>V593*0.2</f>
        <v/>
      </c>
      <c r="X593" s="21">
        <f>O593-Q593-R593-S593-U593-V593+T593+W593</f>
        <v/>
      </c>
      <c r="Y593" s="18" t="n"/>
      <c r="Z593" s="19">
        <f>O593+1.5</f>
        <v/>
      </c>
      <c r="AA593" s="19" t="n"/>
      <c r="AB593" s="19" t="n"/>
      <c r="AC593" s="18" t="n"/>
      <c r="AD593" s="18" t="n"/>
      <c r="AE593" s="13" t="inlineStr">
        <is>
          <t>NOT_UPLOADED</t>
        </is>
      </c>
    </row>
    <row r="594" ht="16" customHeight="1">
      <c r="A594" s="12" t="n">
        <v>5054563063526</v>
      </c>
      <c r="B594" s="12" t="n">
        <v>5054563063526</v>
      </c>
      <c r="C594" s="20" t="inlineStr">
        <is>
          <t>PACK X 2</t>
        </is>
      </c>
      <c r="D594" s="14" t="n"/>
      <c r="E594" s="14" t="inlineStr">
        <is>
          <t>AM-5054563063526</t>
        </is>
      </c>
      <c r="F594" s="12" t="n">
        <v>3301014</v>
      </c>
      <c r="G594" s="14" t="inlineStr">
        <is>
          <t>Amperel</t>
        </is>
      </c>
      <c r="H594" s="14" t="inlineStr">
        <is>
          <t>SENSODINE</t>
        </is>
      </c>
      <c r="I594" s="14" t="inlineStr">
        <is>
          <t>Sensodyne Zahnpasta für Sensibilität und Zahnfleisch, frische Minze, Behandlung von empfindlichen Zähnen und Zahnfleisch, 2 x 75 ml</t>
        </is>
      </c>
      <c r="J594" s="14" t="inlineStr">
        <is>
          <t>No</t>
        </is>
      </c>
      <c r="K594" s="14" t="inlineStr">
        <is>
          <t>https://www.amazon.de/-/en/Sensodyne-Fresh-Sensitive-Teeth-Toothpaste/dp/B084K6WXJP/ref=sr_1_22?dib=eyJ2IjoiMSJ9.QEu34l5WAtUztKbe-EPyWPLYMkuz9zQ53JYT-mxEpixBGiGKIJYNN6vfzOf8_Eh9sKS3lZi_ugoPfWIIBeLSrLbddxXBA1HGmONS6EGK0XgBLkS6QubCA82c5uhhw-A0MOvQuAH5YKf_WWUC8dwH-ehn5AUOakdTAM5Ec9ZbnP1FaipbwlW0egPRyqeanZN0N1ewCWgjLphl2FP6GQnIyjvo7RITnEYAPEgpCFD4BfoNRYknuPzzpOHBYEo9C9SAyNQkxedVyQDg-3z7cr4x3Dh97V09DhdBOvTQ5kgHHKs.q8jWr7uwULjitrADL-u6OBzMI9xBTiGXraFEK8RXuxc&amp;dib_tag=se&amp;keywords=sensodyne+sensitivity+%26+gum+toothpaste&amp;qid=1755694946&amp;sr=8-22</t>
        </is>
      </c>
      <c r="L594" s="14" t="inlineStr">
        <is>
          <t>B084K6WXJP</t>
        </is>
      </c>
      <c r="M594" s="15" t="n"/>
      <c r="N594" s="15" t="n">
        <v>17.5</v>
      </c>
      <c r="O594" s="15" t="n">
        <v>17.4</v>
      </c>
      <c r="P594" s="15">
        <f>O594/1.19</f>
        <v/>
      </c>
      <c r="Q594" s="15">
        <f>O594-P594</f>
        <v/>
      </c>
      <c r="R594" s="15">
        <f>O594*0.15</f>
        <v/>
      </c>
      <c r="S594" s="15" t="n">
        <v>7.16</v>
      </c>
      <c r="T594" s="15">
        <f>S594*0.2</f>
        <v/>
      </c>
      <c r="U594" s="15" t="n">
        <v>0.400000000000002</v>
      </c>
      <c r="V594" s="15" t="n">
        <v>3.3</v>
      </c>
      <c r="W594" s="15">
        <f>V594*0.2</f>
        <v/>
      </c>
      <c r="X594" s="21">
        <f>O594-Q594-R594-S594-U594-V594+T594+W594</f>
        <v/>
      </c>
      <c r="Y594" s="14" t="n"/>
      <c r="Z594" s="15">
        <f>O594+1.5</f>
        <v/>
      </c>
      <c r="AA594" s="15" t="n"/>
      <c r="AB594" s="15" t="n"/>
      <c r="AC594" s="14" t="n"/>
      <c r="AD594" s="14" t="n"/>
      <c r="AE594" s="13" t="inlineStr">
        <is>
          <t>NOT_UPLOADED</t>
        </is>
      </c>
    </row>
    <row r="595" ht="16" customHeight="1">
      <c r="A595" s="17" t="n">
        <v>5054563062864</v>
      </c>
      <c r="B595" s="17" t="n">
        <v>5054563062864</v>
      </c>
      <c r="C595" s="13" t="n"/>
      <c r="D595" s="18" t="n"/>
      <c r="E595" s="18" t="inlineStr">
        <is>
          <t>AMP-5054563062864</t>
        </is>
      </c>
      <c r="F595" s="17" t="n">
        <v>3302007</v>
      </c>
      <c r="G595" s="18" t="inlineStr">
        <is>
          <t>Amperel</t>
        </is>
      </c>
      <c r="H595" s="18" t="inlineStr">
        <is>
          <t>SENSODINE</t>
        </is>
      </c>
      <c r="I595" s="18" t="inlineStr">
        <is>
          <t>Sensodyne Sensibility &amp; Gencives Toothbrush</t>
        </is>
      </c>
      <c r="J595" s="18" t="inlineStr">
        <is>
          <t>No</t>
        </is>
      </c>
      <c r="K595" s="18" t="inlineStr">
        <is>
          <t>https://www.amazon.de/-/en/60000000116184-Sensodyne-Sensibility-Gencives-Toothbrush/dp/B084K6TCJ2/ref=sr_1_75?crid=ZT7JZ78M55GZ&amp;dib=eyJ2IjoiMSJ9.ZFXK1vJTo6JpJIziFBtrrtf3iPCCXCBVnMO_sdjl94q0HmgpZdH2D2gDIdiSd0QXGqz09JG8p-fYoRSVVgmjmaNA2m1vSDw4_zrG7hyg5KaIiPzSGmknu60XEaIDSERYRwS_pi0gvYGcTGDqGuXebgLGjsQ-GyCK-yLr_SWNQByqTxWLLAOs7Ezy5p2qUHbFtWKjE9MI5JzwkS4z7k_fIivpYXrJJwDTSZnwcAQZmiEo_hzhl3NDOjMTjsC8I3H9-0DUYEB9aryGvlmdZRLkyDWGoPw2Mj0UAPygIB-zNCc.SH0ywHIulLtfXl-4B2oyoO5Cf6N_wD1PPhvNRGzkzb0&amp;dib_tag=se&amp;keywords=sensodyne+gum&amp;qid=1755695793&amp;sprefix=sensodyne+gum%2Caps%2C156&amp;sr=8-75&amp;xpid=rgA3qH2ZvP38E</t>
        </is>
      </c>
      <c r="L595" s="18" t="inlineStr">
        <is>
          <t>B084K6TCJ2</t>
        </is>
      </c>
      <c r="M595" s="19" t="n"/>
      <c r="N595" s="19" t="n">
        <v>6.08</v>
      </c>
      <c r="O595" s="19" t="n">
        <v>8</v>
      </c>
      <c r="P595" s="19">
        <f>O595/1.19</f>
        <v/>
      </c>
      <c r="Q595" s="19">
        <f>O595-P595</f>
        <v/>
      </c>
      <c r="R595" s="19">
        <f>O595*0.15</f>
        <v/>
      </c>
      <c r="S595" s="19" t="n">
        <v>2.83</v>
      </c>
      <c r="T595" s="19">
        <f>S595*0.2</f>
        <v/>
      </c>
      <c r="U595" s="19" t="n">
        <v>0.400000000000002</v>
      </c>
      <c r="V595" s="19" t="n">
        <v>2.2</v>
      </c>
      <c r="W595" s="19">
        <f>V595*0.2</f>
        <v/>
      </c>
      <c r="X595" s="16">
        <f>O595-Q595-R595-S595-U595-V595+T595+W595</f>
        <v/>
      </c>
      <c r="Y595" s="18" t="n"/>
      <c r="Z595" s="19">
        <f>O595+1.5</f>
        <v/>
      </c>
      <c r="AA595" s="19" t="n">
        <v>3.09</v>
      </c>
      <c r="AB595" s="19" t="n"/>
      <c r="AC595" s="18" t="n"/>
      <c r="AD595" s="18" t="n"/>
      <c r="AE595" s="13" t="inlineStr">
        <is>
          <t>NOT_UPLOADED</t>
        </is>
      </c>
    </row>
    <row r="596" ht="16" customHeight="1">
      <c r="A596" s="12" t="n">
        <v>5054563062864</v>
      </c>
      <c r="B596" s="12" t="n">
        <v>5054563062864</v>
      </c>
      <c r="C596" s="20" t="inlineStr">
        <is>
          <t>PACK X 4</t>
        </is>
      </c>
      <c r="D596" s="14" t="n"/>
      <c r="E596" s="14" t="inlineStr">
        <is>
          <t>AMPE-5054563062864</t>
        </is>
      </c>
      <c r="F596" s="12" t="n">
        <v>3302007</v>
      </c>
      <c r="G596" s="14" t="inlineStr">
        <is>
          <t>Amperel</t>
        </is>
      </c>
      <c r="H596" s="14" t="inlineStr">
        <is>
          <t>SENSODINE</t>
        </is>
      </c>
      <c r="I596" s="14" t="inlineStr">
        <is>
          <t>Sensodyne Sensitivity &amp; Gums Soft Toothbrush for Teeth Sensitivity - Pack of 4 - White</t>
        </is>
      </c>
      <c r="J596" s="14" t="inlineStr">
        <is>
          <t>No</t>
        </is>
      </c>
      <c r="K596" s="14" t="inlineStr">
        <is>
          <t>https://www.amazon.de/-/en/Sensodyne-Sensitivity-Gums-Toothbrush-Teeth/dp/B09TPDSM9W/ref=sr_1_79?crid=ZT7JZ78M55GZ&amp;dib=eyJ2IjoiMSJ9.ZFXK1vJTo6JpJIziFBtrrtf3iPCCXCBVnMO_sdjl94q0HmgpZdH2D2gDIdiSd0QXGqz09JG8p-fYoRSVVgmjmaNA2m1vSDw4_zrG7hyg5KaIiPzSGmknu60XEaIDSERYRwS_pi0gvYGcTGDqGuXebgLGjsQ-GyCK-yLr_SWNQByqTxWLLAOs7Ezy5p2qUHbFtWKjE9MI5JzwkS4z7k_fIivpYXrJJwDTSZnwcAQZmiEo_hzhl3NDOjMTjsC8I3H9-0DUYEB9aryGvlmdZRLkyDWGoPw2Mj0UAPygIB-zNCc.SH0ywHIulLtfXl-4B2oyoO5Cf6N_wD1PPhvNRGzkzb0&amp;dib_tag=se&amp;keywords=sensodyne+gum&amp;qid=1755695793&amp;sprefix=sensodyne+gum%2Caps%2C156&amp;sr=8-79&amp;xpid=rgA3qH2ZvP38E</t>
        </is>
      </c>
      <c r="L596" s="14" t="inlineStr">
        <is>
          <t>B09TPDSM9W</t>
        </is>
      </c>
      <c r="M596" s="15" t="n">
        <v>24.5</v>
      </c>
      <c r="N596" s="15" t="n"/>
      <c r="O596" s="15" t="n">
        <v>27.42</v>
      </c>
      <c r="P596" s="15">
        <f>O596/1.19</f>
        <v/>
      </c>
      <c r="Q596" s="15">
        <f>O596-P596</f>
        <v/>
      </c>
      <c r="R596" s="15">
        <f>O596*0.15</f>
        <v/>
      </c>
      <c r="S596" s="15" t="n">
        <v>11.32</v>
      </c>
      <c r="T596" s="15">
        <f>S596*0.2</f>
        <v/>
      </c>
      <c r="U596" s="15" t="n">
        <v>0.400000000000002</v>
      </c>
      <c r="V596" s="15" t="n">
        <v>2.6</v>
      </c>
      <c r="W596" s="15">
        <f>V596*0.2</f>
        <v/>
      </c>
      <c r="X596" s="21">
        <f>O596-Q596-R596-S596-U596-V596+T596+W596</f>
        <v/>
      </c>
      <c r="Y596" s="14" t="n"/>
      <c r="Z596" s="15">
        <f>O596+1.5</f>
        <v/>
      </c>
      <c r="AA596" s="15" t="n"/>
      <c r="AB596" s="15" t="n"/>
      <c r="AC596" s="14" t="n"/>
      <c r="AD596" s="14" t="n"/>
      <c r="AE596" s="13" t="inlineStr">
        <is>
          <t>NOT_UPLOADED</t>
        </is>
      </c>
    </row>
    <row r="597" ht="16" customHeight="1">
      <c r="A597" s="17" t="n">
        <v>5054563154392</v>
      </c>
      <c r="B597" s="17" t="n">
        <v>5054563154392</v>
      </c>
      <c r="C597" s="13" t="n"/>
      <c r="D597" s="18" t="n"/>
      <c r="E597" s="18" t="inlineStr">
        <is>
          <t>AM-5054563154392</t>
        </is>
      </c>
      <c r="F597" s="17" t="n">
        <v>3301018</v>
      </c>
      <c r="G597" s="18" t="inlineStr">
        <is>
          <t>Amperel</t>
        </is>
      </c>
      <c r="H597" s="18" t="inlineStr">
        <is>
          <t>SENSODINE</t>
        </is>
      </c>
      <c r="I597" s="18" t="inlineStr">
        <is>
          <t>Sensodyne Sensitivity and Gums Toothpaste Whitening, Relief for Sensitive Teeth and Improving Gum Health, 4 x 75 ml Pack</t>
        </is>
      </c>
      <c r="J597" s="18" t="inlineStr">
        <is>
          <t>No</t>
        </is>
      </c>
      <c r="K597" s="18" t="inlineStr">
        <is>
          <t>https://www.amazon.de/-/en/Sensodyne-Sensitivity-Toothpaste-Whitening-Sensitive/dp/B0CSG1JW3Y/ref=sr_1_40?crid=QMWXWX4F4O9S&amp;dib=eyJ2IjoiMSJ9.exWzojvES9KaFXnRcruOrLiN-69jow_iKnx_dMmyZ4yKCqMRzKjAx8M_AsmlctDb75ft0MYd5TvHY9Juwm9bISBxTk0HghvZ2Dx9_HGgnkPwtEtbI0oZECCm0h0z85AKyy1U8PBnSD8WpO_KAutZnSRhdttgmJ_be6f_O56ok3Do6eYlch65KihznsvrkbBxBKvl3vJwjL0XhNA1HnML9xSTrKVxqLfRJX66W44zGqS4xbKLTp06C9IpvDHDIaUTjvRXx873U_SwT5Y22EbnyCfhpaJpmY5zmlcjm6xuJIU.WAFS3d0bO5jixXMu7iwiLwGnO97SHjZSXQUjm_ey-vY&amp;dib_tag=se&amp;keywords=sensodyne+gum+whitening&amp;qid=1755696218&amp;refinements=p_123%3A242098&amp;rnid=91049101031&amp;sprefix=sensodyne+gum+whitining%2Caps%2C132&amp;sr=8-40</t>
        </is>
      </c>
      <c r="L597" s="18" t="inlineStr">
        <is>
          <t>B0CSG1JW3Y</t>
        </is>
      </c>
      <c r="M597" s="19" t="n"/>
      <c r="N597" s="19" t="n">
        <v>20.98</v>
      </c>
      <c r="O597" s="19" t="n">
        <v>39.79</v>
      </c>
      <c r="P597" s="19">
        <f>O597/1.19</f>
        <v/>
      </c>
      <c r="Q597" s="19">
        <f>O597-P597</f>
        <v/>
      </c>
      <c r="R597" s="19">
        <f>O597*0.15</f>
        <v/>
      </c>
      <c r="S597" s="19" t="n">
        <v>14.32</v>
      </c>
      <c r="T597" s="19">
        <f>S597*0.2</f>
        <v/>
      </c>
      <c r="U597" s="19" t="n">
        <v>0.400000000000002</v>
      </c>
      <c r="V597" s="19" t="n">
        <v>9</v>
      </c>
      <c r="W597" s="19">
        <f>V597*0.2</f>
        <v/>
      </c>
      <c r="X597" s="21">
        <f>O597-Q597-R597-S597-U597-V597+T597+W597</f>
        <v/>
      </c>
      <c r="Y597" s="18" t="n"/>
      <c r="Z597" s="19">
        <f>O597+1.5</f>
        <v/>
      </c>
      <c r="AA597" s="19" t="n"/>
      <c r="AB597" s="19" t="n"/>
      <c r="AC597" s="18" t="n"/>
      <c r="AD597" s="18" t="n"/>
      <c r="AE597" s="13" t="inlineStr">
        <is>
          <t>NOT_UPLOADED</t>
        </is>
      </c>
    </row>
    <row r="598" ht="16" customHeight="1">
      <c r="A598" s="12" t="n">
        <v>5054563154392</v>
      </c>
      <c r="B598" s="12" t="n">
        <v>5054563154392</v>
      </c>
      <c r="C598" s="13" t="n"/>
      <c r="D598" s="14" t="n"/>
      <c r="E598" s="14" t="inlineStr">
        <is>
          <t>AMP-5054563154392</t>
        </is>
      </c>
      <c r="F598" s="12" t="n">
        <v>3301018</v>
      </c>
      <c r="G598" s="14" t="inlineStr">
        <is>
          <t>Amperel</t>
        </is>
      </c>
      <c r="H598" s="14" t="inlineStr">
        <is>
          <t>SENSODINE</t>
        </is>
      </c>
      <c r="I598" s="14" t="inlineStr">
        <is>
          <t>Sensodyne Überempfindlichkeit White Zahnpasta 75ml</t>
        </is>
      </c>
      <c r="J598" s="14" t="inlineStr">
        <is>
          <t>No</t>
        </is>
      </c>
      <c r="K598" s="14" t="inlineStr">
        <is>
          <t>https://www.amazon.de/Sensodyne-%C3%9Cberempfindlichkeit-White-Zahnpasta-75ml/dp/B0C9S9237M/ref=sr_1_1?__mk_de_DE=%C3%85M%C3%85%C5%BD%C3%95%C3%91&amp;crid=12JQ2JERIDDK9&amp;dib=eyJ2IjoiMSJ9.37m0i1eVT0w2PKOuGy0clA.1A6D00KW1cW42OTpvfktGSXGgfVH3vSDRyKD-RTXYKw&amp;dib_tag=se&amp;keywords=B0C9S9237M&amp;qid=1756975193&amp;sprefix=b0c9s9237m%2Caps%2C142&amp;sr=8-1</t>
        </is>
      </c>
      <c r="L598" s="14" t="inlineStr">
        <is>
          <t>B0C9S9237M</t>
        </is>
      </c>
      <c r="M598" s="15" t="n">
        <v>9.880000000000001</v>
      </c>
      <c r="N598" s="15" t="n"/>
      <c r="O598" s="15" t="n">
        <v>9.800000000000001</v>
      </c>
      <c r="P598" s="15">
        <f>O598/1.19</f>
        <v/>
      </c>
      <c r="Q598" s="15">
        <f>O598-P598</f>
        <v/>
      </c>
      <c r="R598" s="15">
        <f>O598*0.15</f>
        <v/>
      </c>
      <c r="S598" s="15" t="n">
        <v>3.69</v>
      </c>
      <c r="T598" s="15">
        <f>S598*0.2</f>
        <v/>
      </c>
      <c r="U598" s="15" t="n">
        <v>0.400000000000002</v>
      </c>
      <c r="V598" s="15" t="n">
        <v>2.98</v>
      </c>
      <c r="W598" s="15">
        <f>V598*0.2</f>
        <v/>
      </c>
      <c r="X598" s="16">
        <f>O598-Q598-R598-S598-U598-V598+T598+W598</f>
        <v/>
      </c>
      <c r="Y598" s="14" t="n"/>
      <c r="Z598" s="15">
        <f>O598+1.5</f>
        <v/>
      </c>
      <c r="AA598" s="15" t="n"/>
      <c r="AB598" s="15" t="n"/>
      <c r="AC598" s="14" t="n"/>
      <c r="AD598" s="14" t="n"/>
      <c r="AE598" s="13" t="inlineStr">
        <is>
          <t>NOT_UPLOADED</t>
        </is>
      </c>
    </row>
    <row r="599" ht="16" customHeight="1">
      <c r="A599" s="17" t="n">
        <v>5054563154392</v>
      </c>
      <c r="B599" s="17" t="n">
        <v>5054563154392</v>
      </c>
      <c r="C599" s="20" t="inlineStr">
        <is>
          <t>PACK X 12</t>
        </is>
      </c>
      <c r="D599" s="18" t="n"/>
      <c r="E599" s="18" t="inlineStr">
        <is>
          <t>AMPE-5054563154392</t>
        </is>
      </c>
      <c r="F599" s="17" t="n">
        <v>3301018</v>
      </c>
      <c r="G599" s="18" t="inlineStr">
        <is>
          <t>Amperel</t>
        </is>
      </c>
      <c r="H599" s="18" t="inlineStr">
        <is>
          <t>SENSODINE</t>
        </is>
      </c>
      <c r="I599" s="18" t="inlineStr">
        <is>
          <t>TEQQO Sensodyne Sensitive Toothpaste Rapid Relief Original 75 ml, Pack of 12 (12 x 75 ml)</t>
        </is>
      </c>
      <c r="J599" s="18" t="inlineStr">
        <is>
          <t>No</t>
        </is>
      </c>
      <c r="K599" s="18" t="inlineStr">
        <is>
          <t>https://www.amazon.de/-/en/Sensodyne-Sensitive-Toothpaste-Relief-Original/dp/B07P2QWZTN/ref=sr_1_13?dib=eyJ2IjoiMSJ9.Z3DcZoPw9FLD1L5805FIXMYa-8mXM9PDfk9W2QHEZcmIz3JFGqTiUrwy6nyUXewcoFESzJahE63WymiE90dnpNd1Ouiu522drsw0PanRvKzCw9IJoDoKfYM8pMBJItWfebHkFKxMRSjOvfFi7li3VlnET9Pf-dmGtwLGd60dIjzLYtGOKJTiYth_bu-2tpNFvMlHxAfEPbb1bMWmzCLVdHeG6qlVXjog3OusG-38IhH_wwH_t33mP4CBUDo5-5XABE3xxyB-J2fGXLayqBCW9VUF5kgifT5u4mr6gbH1e24.X9m9iJTPNh7UKQMGZs0IYRAC1w1BPVsZPhkaKzu3_f8&amp;dib_tag=se&amp;keywords=sensodyne+rapid+relief&amp;qid=1755696456&amp;sr=8-13</t>
        </is>
      </c>
      <c r="L599" s="18" t="inlineStr">
        <is>
          <t>B07P2QWZTN</t>
        </is>
      </c>
      <c r="M599" s="19" t="n">
        <v>112.39</v>
      </c>
      <c r="N599" s="19" t="n"/>
      <c r="O599" s="19" t="n">
        <v>107</v>
      </c>
      <c r="P599" s="19">
        <f>O599/1.19</f>
        <v/>
      </c>
      <c r="Q599" s="19">
        <f>O599-P599</f>
        <v/>
      </c>
      <c r="R599" s="19">
        <f>O599*0.15</f>
        <v/>
      </c>
      <c r="S599" s="19" t="n">
        <v>44.28</v>
      </c>
      <c r="T599" s="19">
        <f>S599*0.2</f>
        <v/>
      </c>
      <c r="U599" s="19" t="n">
        <v>0.400000000000002</v>
      </c>
      <c r="V599" s="19" t="n">
        <v>14</v>
      </c>
      <c r="W599" s="19">
        <f>V599*0.2</f>
        <v/>
      </c>
      <c r="X599" s="21">
        <f>O599-Q599-R599-S599-U599-V599+T599+W599</f>
        <v/>
      </c>
      <c r="Y599" s="18" t="n"/>
      <c r="Z599" s="19">
        <f>O599+1.5</f>
        <v/>
      </c>
      <c r="AA599" s="19" t="n"/>
      <c r="AB599" s="19" t="n"/>
      <c r="AC599" s="18" t="n"/>
      <c r="AD599" s="18" t="n"/>
      <c r="AE599" s="13" t="inlineStr">
        <is>
          <t>NOT_UPLOADED</t>
        </is>
      </c>
    </row>
    <row r="600" ht="16" customHeight="1">
      <c r="A600" s="12" t="n">
        <v>5054563125521</v>
      </c>
      <c r="B600" s="12" t="n">
        <v>5054563125521</v>
      </c>
      <c r="C600" s="20" t="inlineStr">
        <is>
          <t>PACK X 6</t>
        </is>
      </c>
      <c r="D600" s="14" t="n"/>
      <c r="E600" s="14" t="inlineStr">
        <is>
          <t>AM-5054563125521</t>
        </is>
      </c>
      <c r="F600" s="12" t="n">
        <v>3302009</v>
      </c>
      <c r="G600" s="14" t="inlineStr">
        <is>
          <t>Amperel</t>
        </is>
      </c>
      <c r="H600" s="14" t="inlineStr">
        <is>
          <t>SENSODINE</t>
        </is>
      </c>
      <c r="I600" s="14" t="inlineStr">
        <is>
          <t>Sensodyne, Toothbrush, Nourish, Healthy White, Soft, Pack of 6</t>
        </is>
      </c>
      <c r="J600" s="14" t="inlineStr">
        <is>
          <t>No</t>
        </is>
      </c>
      <c r="K600" s="14" t="inlineStr">
        <is>
          <t>https://www.amazon.de/-/en/Sensodyne-Toothbrush-Nourish-Healthy-White/dp/B0F1YJFJ6S/ref=sr_1_2?crid=1AY3JORHW3W9U&amp;dib=eyJ2IjoiMSJ9.wmMzBSVY6_rhvVRTbx3YckZuegR60halZCEQmSmv40dRxnCwz0CPHvdOrUwBFnK8TVy2MHS8LEYOOTBT_f_Y9MqvDljOjTBqwY4Tg7iXtze0qHB87ouVmw402y1jKnZOMOvQuAH5YKf_WWUC8dwH-XhadHQqmJO4CVI05p0epg3VnMFs1lRo46q15H-f9NqGAJvXBsNLvWoowYgtcjSNhAu-wcGCyIls2gbQuH47I0O0KSHKJT1c65Ewk1ZYvGFbNIJ6ECIbaPftuNEm4hVLSCKN-n6zN8j9yNkhenwSYVU.cX4I33NFJR7-nG1H8Bj8U4RsbM4A9HDgWOFE2Z1kGvQ&amp;dib_tag=se&amp;keywords=sensodyne+NOURISH&amp;qid=1755697119&amp;sprefix=sensodyne+nourish%2Caps%2C159&amp;sr=8-2</t>
        </is>
      </c>
      <c r="L600" s="14" t="inlineStr">
        <is>
          <t>B0F1YJFJ6S</t>
        </is>
      </c>
      <c r="M600" s="15" t="n"/>
      <c r="N600" s="15" t="n"/>
      <c r="O600" s="15" t="n">
        <v>32</v>
      </c>
      <c r="P600" s="15">
        <f>O600/1.19</f>
        <v/>
      </c>
      <c r="Q600" s="15">
        <f>O600-P600</f>
        <v/>
      </c>
      <c r="R600" s="15">
        <f>O600*0.15</f>
        <v/>
      </c>
      <c r="S600" s="15" t="n">
        <v>15.3</v>
      </c>
      <c r="T600" s="15">
        <f>S600*0.2</f>
        <v/>
      </c>
      <c r="U600" s="15" t="n">
        <v>0.400000000000002</v>
      </c>
      <c r="V600" s="15" t="n">
        <v>4</v>
      </c>
      <c r="W600" s="15">
        <f>V600*0.2</f>
        <v/>
      </c>
      <c r="X600" s="21">
        <f>O600-Q600-R600-S600-U600-V600+T600+W600</f>
        <v/>
      </c>
      <c r="Y600" s="14" t="n"/>
      <c r="Z600" s="15">
        <f>O600+1.5</f>
        <v/>
      </c>
      <c r="AA600" s="15" t="n"/>
      <c r="AB600" s="15" t="n"/>
      <c r="AC600" s="14" t="n"/>
      <c r="AD600" s="14" t="n"/>
      <c r="AE600" s="13" t="inlineStr">
        <is>
          <t>NOT_UPLOADED</t>
        </is>
      </c>
    </row>
    <row r="601" ht="16" customHeight="1">
      <c r="A601" s="17" t="n">
        <v>5054563120359</v>
      </c>
      <c r="B601" s="17" t="n">
        <v>5054563120359</v>
      </c>
      <c r="C601" s="20" t="inlineStr">
        <is>
          <t>PACK X 4</t>
        </is>
      </c>
      <c r="D601" s="18" t="n"/>
      <c r="E601" s="18" t="inlineStr">
        <is>
          <t>AM-5054563120359</t>
        </is>
      </c>
      <c r="F601" s="17" t="n">
        <v>3301010</v>
      </c>
      <c r="G601" s="18" t="inlineStr">
        <is>
          <t>Amperel</t>
        </is>
      </c>
      <c r="H601" s="18" t="inlineStr">
        <is>
          <t>SENSODINE</t>
        </is>
      </c>
      <c r="I601" s="18" t="inlineStr">
        <is>
          <t>Sensodyne Complete Protection+ Daily Toothpaste for Sensitive Teeth, Healthy Gums and Fresh Breath, Against Caries and Plaque, Fresh Mint, Maxi Format 4 x 75 ml</t>
        </is>
      </c>
      <c r="J601" s="18" t="inlineStr">
        <is>
          <t>No</t>
        </is>
      </c>
      <c r="K601" s="18" t="inlineStr">
        <is>
          <t>https://www.amazon.de/-/en/Sensodyne-Complete-Protection-Toothpaste-Sensitive/dp/B0C6B5GWM5/ref=sr_1_1?dib=eyJ2IjoiMSJ9.hgSCs5Beuasj8_V0NetTKss8zRuv7UDQxGX6bpLqkveOJXaWsreQeZgDte6AyBI_HdMBCyF9WXDJYD5rpwkPneuEc0fMgcLjJsplt3-L_EjFEZQVG2qzgrEvR7JkVQRXEpQWFo8sTU2ku8DnWe_9-XyU9HXfKBOmlhoS6_Fe-C1cHgdo0eiNL0Hhca_4D7k4O7lVmm2Pf4zqHUe6mBsCr18hwrFbdXwd-BviNogA3mGfMpBnvQErzFJcXmrXBotumLzX76MOq3P6qyUnfmwQHwzuITErkpYtCYkz-KyWPUs._gxpTjd9cTw0hJ_J8LkjlZz_24Elk7-lTZN5rfYq8z8&amp;dib_tag=se&amp;keywords=sensodyne+complete+protection&amp;qid=1755697870&amp;refinements=p_123%3A242098&amp;rnid=91049101031&amp;sr=8-1</t>
        </is>
      </c>
      <c r="L601" s="18" t="inlineStr">
        <is>
          <t>B0C6B5GWM5</t>
        </is>
      </c>
      <c r="M601" s="19" t="n"/>
      <c r="N601" s="19" t="n"/>
      <c r="O601" s="19" t="n">
        <v>28.4</v>
      </c>
      <c r="P601" s="19">
        <f>O601/1.19</f>
        <v/>
      </c>
      <c r="Q601" s="19">
        <f>O601-P601</f>
        <v/>
      </c>
      <c r="R601" s="19">
        <f>O601*0.15</f>
        <v/>
      </c>
      <c r="S601" s="19" t="n">
        <v>14.32</v>
      </c>
      <c r="T601" s="19">
        <f>S601*0.2</f>
        <v/>
      </c>
      <c r="U601" s="19" t="n">
        <v>0.400000000000002</v>
      </c>
      <c r="V601" s="19" t="n">
        <v>5.85</v>
      </c>
      <c r="W601" s="19">
        <f>V601*0.2</f>
        <v/>
      </c>
      <c r="X601" s="21">
        <f>O601-Q601-R601-S601-U601-V601+T601+W601</f>
        <v/>
      </c>
      <c r="Y601" s="18" t="n"/>
      <c r="Z601" s="19">
        <f>O601+1.5</f>
        <v/>
      </c>
      <c r="AA601" s="19" t="n"/>
      <c r="AB601" s="19" t="n"/>
      <c r="AC601" s="18" t="n"/>
      <c r="AD601" s="18" t="n"/>
      <c r="AE601" s="13" t="inlineStr">
        <is>
          <t>NOT_UPLOADED</t>
        </is>
      </c>
    </row>
    <row r="602" ht="16" customHeight="1">
      <c r="A602" s="12" t="n">
        <v>5054563120359</v>
      </c>
      <c r="B602" s="12" t="n">
        <v>5054563120359</v>
      </c>
      <c r="C602" s="20" t="inlineStr">
        <is>
          <t>PACK X 4</t>
        </is>
      </c>
      <c r="D602" s="14" t="n"/>
      <c r="E602" s="14" t="inlineStr">
        <is>
          <t>AMP-5054563120359</t>
        </is>
      </c>
      <c r="F602" s="12" t="n">
        <v>3301010</v>
      </c>
      <c r="G602" s="14" t="inlineStr">
        <is>
          <t>Amperel</t>
        </is>
      </c>
      <c r="H602" s="14" t="inlineStr">
        <is>
          <t>SENSODINE</t>
        </is>
      </c>
      <c r="I602" s="14" t="inlineStr">
        <is>
          <t>Sensodyne Complete protection x4</t>
        </is>
      </c>
      <c r="J602" s="14" t="inlineStr">
        <is>
          <t>No</t>
        </is>
      </c>
      <c r="K602" s="14" t="inlineStr">
        <is>
          <t>https://www.amazon.de/-/en/Sensodyne-Complete-protection-x4/dp/B0B8SV9HNT/ref=sr_1_2?dib=eyJ2IjoiMSJ9.hgSCs5Beuasj8_V0NetTKss8zRuv7UDQxGX6bpLqkveOJXaWsreQeZgDte6AyBI_HdMBCyF9WXDJYD5rpwkPneuEc0fMgcLjJsplt3-L_EjFEZQVG2qzgrEvR7JkVQRXEpQWFo8sTU2ku8DnWe_9-XyU9HXfKBOmlhoS6_Fe-C1cHgdo0eiNL0Hhca_4D7k4O7lVmm2Pf4zqHUe6mBsCr18hwrFbdXwd-BviNogA3mGfMpBnvQErzFJcXmrXBotumLzX76MOq3P6qyUnfmwQHwzuITErkpYtCYkz-KyWPUs._gxpTjd9cTw0hJ_J8LkjlZz_24Elk7-lTZN5rfYq8z8&amp;dib_tag=se&amp;keywords=sensodyne+complete+protection&amp;qid=1755698078&amp;refinements=p_123%3A242098&amp;rnid=91049101031&amp;sr=8-2</t>
        </is>
      </c>
      <c r="L602" s="14" t="inlineStr">
        <is>
          <t>B0B8SV9HNT</t>
        </is>
      </c>
      <c r="M602" s="15" t="n"/>
      <c r="N602" s="15" t="n"/>
      <c r="O602" s="15" t="n">
        <v>28.4</v>
      </c>
      <c r="P602" s="15">
        <f>O602/1.19</f>
        <v/>
      </c>
      <c r="Q602" s="15">
        <f>O602-P602</f>
        <v/>
      </c>
      <c r="R602" s="15">
        <f>O602*0.15</f>
        <v/>
      </c>
      <c r="S602" s="15" t="n">
        <v>14.32</v>
      </c>
      <c r="T602" s="15">
        <f>S602*0.2</f>
        <v/>
      </c>
      <c r="U602" s="15" t="n">
        <v>0.400000000000002</v>
      </c>
      <c r="V602" s="15" t="n">
        <v>5.85</v>
      </c>
      <c r="W602" s="15">
        <f>V602*0.2</f>
        <v/>
      </c>
      <c r="X602" s="21">
        <f>O602-Q602-R602-S602-U602-V602+T602+W602</f>
        <v/>
      </c>
      <c r="Y602" s="14" t="n"/>
      <c r="Z602" s="15">
        <f>O602+1.5</f>
        <v/>
      </c>
      <c r="AA602" s="15" t="n"/>
      <c r="AB602" s="15" t="n"/>
      <c r="AC602" s="14" t="n"/>
      <c r="AD602" s="14" t="n"/>
      <c r="AE602" s="13" t="inlineStr">
        <is>
          <t>NOT_UPLOADED</t>
        </is>
      </c>
    </row>
    <row r="603" ht="16" customHeight="1">
      <c r="A603" s="17" t="n">
        <v>5054563120359</v>
      </c>
      <c r="B603" s="17" t="n">
        <v>5054563120359</v>
      </c>
      <c r="C603" s="20" t="inlineStr">
        <is>
          <t>PACK X 2</t>
        </is>
      </c>
      <c r="D603" s="18" t="n"/>
      <c r="E603" s="18" t="inlineStr">
        <is>
          <t>AMPE-5054563120359</t>
        </is>
      </c>
      <c r="F603" s="17" t="n">
        <v>3301010</v>
      </c>
      <c r="G603" s="18" t="inlineStr">
        <is>
          <t>Amperel</t>
        </is>
      </c>
      <c r="H603" s="18" t="inlineStr">
        <is>
          <t>SENSODINE</t>
        </is>
      </c>
      <c r="I603" s="18" t="inlineStr">
        <is>
          <t>2 x Sensodyne Toothpaste Complete Protection 75 ml</t>
        </is>
      </c>
      <c r="J603" s="18" t="inlineStr">
        <is>
          <t>No</t>
        </is>
      </c>
      <c r="K603" s="18" t="inlineStr">
        <is>
          <t>https://www.amazon.de/-/en/Sensodyne-Toothpaste-Complete-Protection-75/dp/B06XJCYPVJ/ref=sr_1_4?dib=eyJ2IjoiMSJ9.hgSCs5Beuasj8_V0NetTKss8zRuv7UDQxGX6bpLqkveOJXaWsreQeZgDte6AyBI_HdMBCyF9WXDJYD5rpwkPneuEc0fMgcLjJsplt3-L_EjFEZQVG2qzgrEvR7JkVQRXEpQWFo8sTU2ku8DnWe_9-XyU9HXfKBOmlhoS6_Fe-C1cHgdo0eiNL0Hhca_4D7k4O7lVmm2Pf4zqHUe6mBsCr18hwrFbdXwd-BviNogA3mGfMpBnvQErzFJcXmrXBotumLzX76MOq3P6qyUnfmwQHwzuITErkpYtCYkz-KyWPUs._gxpTjd9cTw0hJ_J8LkjlZz_24Elk7-lTZN5rfYq8z8&amp;dib_tag=se&amp;keywords=sensodyne+complete+protection&amp;qid=1755698078&amp;refinements=p_123%3A242098&amp;rnid=91049101031&amp;sr=8-4</t>
        </is>
      </c>
      <c r="L603" s="18" t="inlineStr">
        <is>
          <t>B06XJCYPVJ</t>
        </is>
      </c>
      <c r="M603" s="19" t="n"/>
      <c r="N603" s="19" t="n"/>
      <c r="O603" s="19" t="n">
        <v>16.9</v>
      </c>
      <c r="P603" s="19">
        <f>O603/1.19</f>
        <v/>
      </c>
      <c r="Q603" s="19">
        <f>O603-P603</f>
        <v/>
      </c>
      <c r="R603" s="19">
        <f>O603*0.15</f>
        <v/>
      </c>
      <c r="S603" s="19" t="n">
        <v>7.16</v>
      </c>
      <c r="T603" s="19">
        <f>S603*0.2</f>
        <v/>
      </c>
      <c r="U603" s="19" t="n">
        <v>0.400000000000002</v>
      </c>
      <c r="V603" s="19" t="n">
        <v>3.3</v>
      </c>
      <c r="W603" s="19">
        <f>V603*0.2</f>
        <v/>
      </c>
      <c r="X603" s="21">
        <f>O603-Q603-R603-S603-U603-V603+T603+W603</f>
        <v/>
      </c>
      <c r="Y603" s="18" t="n"/>
      <c r="Z603" s="19">
        <f>O603+1.5</f>
        <v/>
      </c>
      <c r="AA603" s="19" t="n"/>
      <c r="AB603" s="19" t="n"/>
      <c r="AC603" s="18" t="n"/>
      <c r="AD603" s="18" t="n"/>
      <c r="AE603" s="13" t="inlineStr">
        <is>
          <t>NOT_UPLOADED</t>
        </is>
      </c>
    </row>
    <row r="604" ht="16" customHeight="1">
      <c r="A604" s="12" t="n">
        <v>5054563120359</v>
      </c>
      <c r="B604" s="12" t="n">
        <v>5054563120359</v>
      </c>
      <c r="C604" s="20" t="inlineStr">
        <is>
          <t>PACK X 4</t>
        </is>
      </c>
      <c r="D604" s="14" t="n"/>
      <c r="E604" s="14" t="inlineStr">
        <is>
          <t>SEN-5054563120359</t>
        </is>
      </c>
      <c r="F604" s="12" t="n">
        <v>3301010</v>
      </c>
      <c r="G604" s="14" t="inlineStr">
        <is>
          <t>Amperel</t>
        </is>
      </c>
      <c r="H604" s="14" t="inlineStr">
        <is>
          <t>SENSODINE</t>
        </is>
      </c>
      <c r="I604" s="14" t="inlineStr">
        <is>
          <t>Sensodyne Complete Protection x4</t>
        </is>
      </c>
      <c r="J604" s="14" t="inlineStr">
        <is>
          <t>No</t>
        </is>
      </c>
      <c r="K604" s="14" t="inlineStr">
        <is>
          <t>https://www.amazon.de/-/en/Sensodyne-Complete-Protection-x4/dp/B0B76QLCBZ/ref=sr_1_5?dib=eyJ2IjoiMSJ9.hgSCs5Beuasj8_V0NetTKss8zRuv7UDQxGX6bpLqkveOJXaWsreQeZgDte6AyBI_HdMBCyF9WXDJYD5rpwkPneuEc0fMgcLjJsplt3-L_EjFEZQVG2qzgrEvR7JkVQRXEpQWFo8sTU2ku8DnWe_9-XyU9HXfKBOmlhoS6_Fe-C1cHgdo0eiNL0Hhca_4D7k4O7lVmm2Pf4zqHUe6mBsCr18hwrFbdXwd-BviNogA3mGfMpBnvQErzFJcXmrXBotumLzX76MOq3P6qyUnfmwQHwzuITErkpYtCYkz-KyWPUs._gxpTjd9cTw0hJ_J8LkjlZz_24Elk7-lTZN5rfYq8z8&amp;dib_tag=se&amp;keywords=sensodyne+complete+protection&amp;qid=1755698078&amp;refinements=p_123%3A242098&amp;rnid=91049101031&amp;sr=8-5</t>
        </is>
      </c>
      <c r="L604" s="14" t="inlineStr">
        <is>
          <t>B0B76QLCBZ</t>
        </is>
      </c>
      <c r="M604" s="15" t="n"/>
      <c r="N604" s="15" t="n"/>
      <c r="O604" s="15" t="n">
        <v>29</v>
      </c>
      <c r="P604" s="15">
        <f>O604/1.19</f>
        <v/>
      </c>
      <c r="Q604" s="15">
        <f>O604-P604</f>
        <v/>
      </c>
      <c r="R604" s="15">
        <f>O604*0.15</f>
        <v/>
      </c>
      <c r="S604" s="15" t="n">
        <v>14.32</v>
      </c>
      <c r="T604" s="15">
        <f>S604*0.2</f>
        <v/>
      </c>
      <c r="U604" s="15" t="n">
        <v>0.400000000000002</v>
      </c>
      <c r="V604" s="15" t="n">
        <v>5.85</v>
      </c>
      <c r="W604" s="15">
        <f>V604*0.2</f>
        <v/>
      </c>
      <c r="X604" s="21">
        <f>O604-Q604-R604-S604-U604-V604+T604+W604</f>
        <v/>
      </c>
      <c r="Y604" s="14" t="n"/>
      <c r="Z604" s="15">
        <f>O604+1.5</f>
        <v/>
      </c>
      <c r="AA604" s="15" t="n"/>
      <c r="AB604" s="15" t="n"/>
      <c r="AC604" s="14" t="n"/>
      <c r="AD604" s="14" t="n"/>
      <c r="AE604" s="13" t="inlineStr">
        <is>
          <t>NOT_UPLOADED</t>
        </is>
      </c>
    </row>
    <row r="605" ht="16" customHeight="1">
      <c r="A605" s="17" t="n">
        <v>5054563120359</v>
      </c>
      <c r="B605" s="17" t="n">
        <v>5054563120359</v>
      </c>
      <c r="C605" s="13" t="n"/>
      <c r="D605" s="18" t="n"/>
      <c r="E605" s="18" t="inlineStr">
        <is>
          <t>SN-B0C2CF2YSG</t>
        </is>
      </c>
      <c r="F605" s="17" t="n">
        <v>3301010</v>
      </c>
      <c r="G605" s="18" t="inlineStr">
        <is>
          <t>Amperel</t>
        </is>
      </c>
      <c r="H605" s="18" t="inlineStr">
        <is>
          <t>SENSODINE</t>
        </is>
      </c>
      <c r="I605" s="18" t="inlineStr">
        <is>
          <t>Sensodyne Complete Protection Sensitive Teeth Toothpaste 75ml</t>
        </is>
      </c>
      <c r="J605" s="18" t="inlineStr">
        <is>
          <t>No</t>
        </is>
      </c>
      <c r="K605" s="18" t="inlineStr">
        <is>
          <t>https://www.amazon.de/-/en/Sensodyne-Complete-Protection-Sensitive-Toothpaste/dp/B0C2CF2YSG/ref=sr_1_7?dib=eyJ2IjoiMSJ9.hgSCs5Beuasj8_V0NetTKss8zRuv7UDQxGX6bpLqkveOJXaWsreQeZgDte6AyBI_HdMBCyF9WXDJYD5rpwkPneuEc0fMgcLjJsplt3-L_EjFEZQVG2qzgrEvR7JkVQRXEpQWFo8sTU2ku8DnWe_9-XyU9HXfKBOmlhoS6_Fe-C1cHgdo0eiNL0Hhca_4D7k4O7lVmm2Pf4zqHUe6mBsCr18hwrFbdXwd-BviNogA3mGfMpBnvQErzFJcXmrXBotumLzX76MOq3P6qyUnfmwQHwzuITErkpYtCYkz-KyWPUs._gxpTjd9cTw0hJ_J8LkjlZz_24Elk7-lTZN5rfYq8z8&amp;dib_tag=se&amp;keywords=sensodyne+complete+protection&amp;qid=1755698078&amp;refinements=p_123%3A242098&amp;rnid=91049101031&amp;sr=8-7</t>
        </is>
      </c>
      <c r="L605" s="18" t="inlineStr">
        <is>
          <t>B0C2CF2YSG</t>
        </is>
      </c>
      <c r="M605" s="19" t="n"/>
      <c r="N605" s="19" t="n"/>
      <c r="O605" s="19" t="n">
        <v>11.8</v>
      </c>
      <c r="P605" s="19">
        <f>O605/1.19</f>
        <v/>
      </c>
      <c r="Q605" s="19">
        <f>O605-P605</f>
        <v/>
      </c>
      <c r="R605" s="19">
        <f>O605*0.15</f>
        <v/>
      </c>
      <c r="S605" s="19" t="n">
        <v>3.58</v>
      </c>
      <c r="T605" s="19">
        <f>S605*0.2</f>
        <v/>
      </c>
      <c r="U605" s="19" t="n">
        <v>0.400000000000002</v>
      </c>
      <c r="V605" s="19" t="n">
        <v>3</v>
      </c>
      <c r="W605" s="19">
        <f>V605*0.2</f>
        <v/>
      </c>
      <c r="X605" s="21">
        <f>O605-Q605-R605-S605-U605-V605+T605+W605</f>
        <v/>
      </c>
      <c r="Y605" s="18" t="n"/>
      <c r="Z605" s="19">
        <f>O605+1.5</f>
        <v/>
      </c>
      <c r="AA605" s="19" t="n"/>
      <c r="AB605" s="19" t="n"/>
      <c r="AC605" s="18" t="n"/>
      <c r="AD605" s="18" t="n"/>
      <c r="AE605" s="13" t="inlineStr">
        <is>
          <t>NOT_UPLOADED</t>
        </is>
      </c>
    </row>
    <row r="606" ht="16" customHeight="1">
      <c r="A606" s="12" t="n">
        <v>721865643101</v>
      </c>
      <c r="B606" s="12" t="n">
        <v>5054563120359</v>
      </c>
      <c r="C606" s="20" t="inlineStr">
        <is>
          <t>PACK X 6</t>
        </is>
      </c>
      <c r="D606" s="14" t="n"/>
      <c r="E606" s="14" t="inlineStr">
        <is>
          <t>AMP-0721865643101</t>
        </is>
      </c>
      <c r="F606" s="12" t="n">
        <v>3301010</v>
      </c>
      <c r="G606" s="14" t="inlineStr">
        <is>
          <t>Amperel</t>
        </is>
      </c>
      <c r="H606" s="14" t="inlineStr">
        <is>
          <t>SENSODINE</t>
        </is>
      </c>
      <c r="I606" s="14" t="inlineStr">
        <is>
          <t>Sensodyne Toothpaste Complete Protection (75ml) - Pack of 6</t>
        </is>
      </c>
      <c r="J606" s="14" t="inlineStr">
        <is>
          <t>No</t>
        </is>
      </c>
      <c r="K606" s="14" t="inlineStr">
        <is>
          <t>https://www.amazon.de/-/en/Sensodyne-Toothpaste-Complete-Protection-75ml/dp/B0122ZMXEQ/ref=sr_1_10?dib=eyJ2IjoiMSJ9.hgSCs5Beuasj8_V0NetTKss8zRuv7UDQxGX6bpLqkveOJXaWsreQeZgDte6AyBI_HdMBCyF9WXDJYD5rpwkPneuEc0fMgcLjJsplt3-L_EjFEZQVG2qzgrEvR7JkVQRXEpQWFo8sTU2ku8DnWe_9-XyU9HXfKBOmlhoS6_Fe-C1cHgdo0eiNL0Hhca_4D7k4O7lVmm2Pf4zqHUe6mBsCr18hwrFbdXwd-BviNogA3mGfMpBnvQErzFJcXmrXBotumLzX76MOq3P6qyUnfmwQHwzuITErkpYtCYkz-KyWPUs._gxpTjd9cTw0hJ_J8LkjlZz_24Elk7-lTZN5rfYq8z8&amp;dib_tag=se&amp;keywords=sensodyne+complete+protection&amp;qid=1755698078&amp;refinements=p_123%3A242098&amp;rnid=91049101031&amp;sr=8-10</t>
        </is>
      </c>
      <c r="L606" s="14" t="inlineStr">
        <is>
          <t>B0122ZMXEQ</t>
        </is>
      </c>
      <c r="M606" s="15" t="n"/>
      <c r="N606" s="15" t="n"/>
      <c r="O606" s="15" t="n">
        <v>39.9</v>
      </c>
      <c r="P606" s="15">
        <f>O606/1.19</f>
        <v/>
      </c>
      <c r="Q606" s="15">
        <f>O606-P606</f>
        <v/>
      </c>
      <c r="R606" s="15">
        <f>O606*0.15</f>
        <v/>
      </c>
      <c r="S606" s="15" t="n">
        <v>21.48</v>
      </c>
      <c r="T606" s="15">
        <f>S606*0.2</f>
        <v/>
      </c>
      <c r="U606" s="15" t="n">
        <v>0.400000000000002</v>
      </c>
      <c r="V606" s="15" t="n">
        <v>7.7</v>
      </c>
      <c r="W606" s="15">
        <f>V606*0.2</f>
        <v/>
      </c>
      <c r="X606" s="21">
        <f>O606-Q606-R606-S606-U606-V606+T606+W606</f>
        <v/>
      </c>
      <c r="Y606" s="14" t="n"/>
      <c r="Z606" s="15">
        <f>O606+1.5</f>
        <v/>
      </c>
      <c r="AA606" s="15" t="n"/>
      <c r="AB606" s="15" t="n"/>
      <c r="AC606" s="14" t="n"/>
      <c r="AD606" s="14" t="n"/>
      <c r="AE606" s="13" t="inlineStr">
        <is>
          <t>NOT_UPLOADED</t>
        </is>
      </c>
    </row>
    <row r="607" ht="16" customHeight="1">
      <c r="A607" s="17" t="n">
        <v>5054563120861</v>
      </c>
      <c r="B607" s="17" t="n">
        <v>5054563120359</v>
      </c>
      <c r="C607" s="13" t="n"/>
      <c r="D607" s="18" t="n"/>
      <c r="E607" s="18" t="inlineStr">
        <is>
          <t>AMP-5054563120861</t>
        </is>
      </c>
      <c r="F607" s="17" t="n">
        <v>3301010</v>
      </c>
      <c r="G607" s="18" t="inlineStr">
        <is>
          <t>Amperel</t>
        </is>
      </c>
      <c r="H607" s="18" t="inlineStr">
        <is>
          <t>SENSODINE</t>
        </is>
      </c>
      <c r="I607" s="18" t="inlineStr">
        <is>
          <t>Sensodyne Toothpaste Complete Protection + Fresh Breath 75 ml</t>
        </is>
      </c>
      <c r="J607" s="18" t="inlineStr">
        <is>
          <t>No</t>
        </is>
      </c>
      <c r="K607" s="18" t="inlineStr">
        <is>
          <t>https://www.amazon.de/-/en/Sensodyne-Toothpaste-Complete-Protection-Breath/dp/B09W1811VN/ref=sr_1_28?dib=eyJ2IjoiMSJ9.hgSCs5Beuasj8_V0NetTKss8zRuv7UDQxGX6bpLqkveOJXaWsreQeZgDte6AyBI_HdMBCyF9WXDJYD5rpwkPneuEc0fMgcLjJsplt3-L_EjFEZQVG2qzgrEvR7JkVQRXEpQWFo8sTU2ku8DnWe_9-XyU9HXfKBOmlhoS6_Fe-C1cHgdo0eiNL0Hhca_4D7k4O7lVmm2Pf4zqHUe6mBsCr18hwrFbdXwd-BviNogA3mGfMpBnvQErzFJcXmrXBotumLzX76MOq3P6qyUnfmwQHwzuITErkpYtCYkz-KyWPUs._gxpTjd9cTw0hJ_J8LkjlZz_24Elk7-lTZN5rfYq8z8&amp;dib_tag=se&amp;keywords=sensodyne+complete+protection&amp;qid=1755698078&amp;refinements=p_123%3A242098&amp;rnid=91049101031&amp;sr=8-28</t>
        </is>
      </c>
      <c r="L607" s="18" t="inlineStr">
        <is>
          <t>B09W1811VN</t>
        </is>
      </c>
      <c r="M607" s="19" t="n"/>
      <c r="N607" s="19" t="n">
        <v>11.29</v>
      </c>
      <c r="O607" s="19" t="n">
        <v>11.1</v>
      </c>
      <c r="P607" s="19">
        <f>O607/1.19</f>
        <v/>
      </c>
      <c r="Q607" s="19">
        <f>O607-P607</f>
        <v/>
      </c>
      <c r="R607" s="19">
        <f>O607*0.15</f>
        <v/>
      </c>
      <c r="S607" s="19" t="n">
        <v>3.58</v>
      </c>
      <c r="T607" s="19">
        <f>S607*0.2</f>
        <v/>
      </c>
      <c r="U607" s="19" t="n">
        <v>0.400000000000002</v>
      </c>
      <c r="V607" s="19" t="n">
        <v>2.65</v>
      </c>
      <c r="W607" s="19">
        <f>V607*0.2</f>
        <v/>
      </c>
      <c r="X607" s="21">
        <f>O607-Q607-R607-S607-U607-V607+T607+W607</f>
        <v/>
      </c>
      <c r="Y607" s="18" t="n"/>
      <c r="Z607" s="19">
        <f>O607+1.5</f>
        <v/>
      </c>
      <c r="AA607" s="19" t="n"/>
      <c r="AB607" s="19" t="n"/>
      <c r="AC607" s="18" t="n"/>
      <c r="AD607" s="18" t="n"/>
      <c r="AE607" s="13" t="inlineStr">
        <is>
          <t>NOT_UPLOADED</t>
        </is>
      </c>
    </row>
    <row r="608" ht="16" customHeight="1">
      <c r="A608" s="12" t="n">
        <v>3800132250611</v>
      </c>
      <c r="B608" s="12" t="n">
        <v>3800132250611</v>
      </c>
      <c r="C608" s="20" t="inlineStr">
        <is>
          <t>PACK X 4</t>
        </is>
      </c>
      <c r="D608" s="14" t="n"/>
      <c r="E608" s="14" t="inlineStr">
        <is>
          <t>AMP-3800132250611</t>
        </is>
      </c>
      <c r="F608" s="12" t="n">
        <v>3301004</v>
      </c>
      <c r="G608" s="14" t="inlineStr">
        <is>
          <t>Amperel</t>
        </is>
      </c>
      <c r="H608" s="14" t="inlineStr">
        <is>
          <t>SENSODINE</t>
        </is>
      </c>
      <c r="I608" s="14" t="inlineStr">
        <is>
          <t>Sensodyne Toothpaste Extra Whitening, Pack of 4, 75 ml</t>
        </is>
      </c>
      <c r="J608" s="14" t="inlineStr">
        <is>
          <t>No</t>
        </is>
      </c>
      <c r="K608" s="14" t="inlineStr">
        <is>
          <t>https://www.amazon.de/-/en/Sensodyne-Toothpaste-Extra-Whitening-Pack/dp/B0F1KR6VRX/ref=sr_1_1?crid=13PK7Z214BL6C&amp;dib=eyJ2IjoiMSJ9.LUhWOSpfMerhf-QJCo7G5w.araCd8w-qlkmGLZGGux_VeCmeoYAP8RnKTK5bvpH1sU&amp;dib_tag=se&amp;keywords=3800132250611&amp;qid=1756989419&amp;sprefix=3800132250611%2Caps%2C235&amp;sr=8-1</t>
        </is>
      </c>
      <c r="L608" s="14" t="inlineStr">
        <is>
          <t>B0F1KR6VRX</t>
        </is>
      </c>
      <c r="M608" s="15" t="n"/>
      <c r="N608" s="15" t="n"/>
      <c r="O608" s="15" t="n">
        <v>29.7</v>
      </c>
      <c r="P608" s="15">
        <f>O608/1.19</f>
        <v/>
      </c>
      <c r="Q608" s="15">
        <f>O608-P608</f>
        <v/>
      </c>
      <c r="R608" s="15">
        <f>O608*0.15</f>
        <v/>
      </c>
      <c r="S608" s="15" t="n">
        <v>14.4</v>
      </c>
      <c r="T608" s="15">
        <f>S608*0.2</f>
        <v/>
      </c>
      <c r="U608" s="15" t="n">
        <v>0.400000000000002</v>
      </c>
      <c r="V608" s="15" t="n">
        <v>5.85</v>
      </c>
      <c r="W608" s="15">
        <f>V608*0.2</f>
        <v/>
      </c>
      <c r="X608" s="21">
        <f>O608-Q608-R608-S608-U608-V608+T608+W608</f>
        <v/>
      </c>
      <c r="Y608" s="14" t="n"/>
      <c r="Z608" s="15">
        <f>O608+1.5</f>
        <v/>
      </c>
      <c r="AA608" s="15" t="n"/>
      <c r="AB608" s="15" t="n"/>
      <c r="AC608" s="14" t="n"/>
      <c r="AD608" s="14" t="n"/>
      <c r="AE608" s="13" t="inlineStr">
        <is>
          <t>NOT_UPLOADED</t>
        </is>
      </c>
    </row>
    <row r="609" ht="16" customHeight="1">
      <c r="A609" s="17" t="n">
        <v>5054563186096</v>
      </c>
      <c r="B609" s="17" t="n">
        <v>3800132250611</v>
      </c>
      <c r="C609" s="13" t="n"/>
      <c r="D609" s="18" t="n"/>
      <c r="E609" s="18" t="inlineStr">
        <is>
          <t>AMP-5054563186096</t>
        </is>
      </c>
      <c r="F609" s="17" t="n">
        <v>3301004</v>
      </c>
      <c r="G609" s="18" t="inlineStr">
        <is>
          <t>Amperel</t>
        </is>
      </c>
      <c r="H609" s="18" t="inlineStr">
        <is>
          <t>SENSODINE</t>
        </is>
      </c>
      <c r="I609" s="18" t="inlineStr">
        <is>
          <t>Sensodyne Gentle Whitening Toothpaste for Sensitive Teeth, Contributes to Strong Teeth and Healthy Gums 75ml</t>
        </is>
      </c>
      <c r="J609" s="18" t="inlineStr">
        <is>
          <t>No</t>
        </is>
      </c>
      <c r="K609" s="18" t="inlineStr">
        <is>
          <t>https://www.amazon.de/-/en/Sensodyne-Whitening-Toothpaste-Sensitive-Contributes/dp/B0CSKSJH6C/ref=sr_1_28?crid=2U9PD6G9VRWHH&amp;dib=eyJ2IjoiMSJ9.Dti0CgaWMp9JJYBUq8pIBhd3LicCUi1tb4zedXY8InlDnTN4migznVEx944NSXc5-XMSNxbxWENdbEBqxa7uI2r4WhKY5GP9hYVGG01CQDw6FpuUJ2TVvg6cX4BNZkeJ1GTahZaaxs_jRE5P9UDx6uDzV6gaAvpuYRHQ9ZpKeZuuBm0-VlPjklwbrED2uBYjdfmcDXVISDn3CxHQ1_sUKSTeKBbsKisnqXCNpVfsjEEfZr474unxH8dSTDgKlSci7ud2epPe1Uj3Yi4Cpvx18717Ki3DOcAx7hNz-M7fw_c.v7LFXD87a2YDuHRqSbHAdOJUvNcA_cm_1aEzX9uxrrI&amp;dib_tag=se&amp;keywords=Sensodyne+Toothpaste+Extra+Whitening&amp;qid=1756989662&amp;sprefix=sensodyne+toothpaste+extra+whitening%2Caps%2C772&amp;sr=8-28</t>
        </is>
      </c>
      <c r="L609" s="18" t="inlineStr">
        <is>
          <t>B0CSKSJH6C</t>
        </is>
      </c>
      <c r="M609" s="19" t="n"/>
      <c r="N609" s="19" t="n"/>
      <c r="O609" s="19" t="n">
        <v>12.7</v>
      </c>
      <c r="P609" s="19">
        <f>O609/1.19</f>
        <v/>
      </c>
      <c r="Q609" s="19">
        <f>O609-P609</f>
        <v/>
      </c>
      <c r="R609" s="19">
        <f>O609*0.15</f>
        <v/>
      </c>
      <c r="S609" s="19" t="n">
        <v>3.6</v>
      </c>
      <c r="T609" s="19">
        <f>S609*0.2</f>
        <v/>
      </c>
      <c r="U609" s="19" t="n">
        <v>0.400000000000002</v>
      </c>
      <c r="V609" s="19" t="n">
        <v>2.9</v>
      </c>
      <c r="W609" s="19">
        <f>V609*0.2</f>
        <v/>
      </c>
      <c r="X609" s="21">
        <f>O609-Q609-R609-S609-U609-V609+T609+W609</f>
        <v/>
      </c>
      <c r="Y609" s="18" t="n"/>
      <c r="Z609" s="19">
        <f>O609+1.5</f>
        <v/>
      </c>
      <c r="AA609" s="19" t="n"/>
      <c r="AB609" s="19" t="n"/>
      <c r="AC609" s="18" t="n"/>
      <c r="AD609" s="18" t="n"/>
      <c r="AE609" s="13" t="inlineStr">
        <is>
          <t>NOT_UPLOADED</t>
        </is>
      </c>
    </row>
    <row r="610" ht="16" customHeight="1">
      <c r="A610" s="12" t="n">
        <v>5054563211019</v>
      </c>
      <c r="B610" s="12" t="n">
        <v>3800132250550</v>
      </c>
      <c r="C610" s="20" t="inlineStr">
        <is>
          <t>PACK X 2</t>
        </is>
      </c>
      <c r="D610" s="14" t="n"/>
      <c r="E610" s="14" t="inlineStr">
        <is>
          <t>AMP-5054563211019</t>
        </is>
      </c>
      <c r="F610" s="12" t="n">
        <v>3301002</v>
      </c>
      <c r="G610" s="14" t="inlineStr">
        <is>
          <t>Amperel</t>
        </is>
      </c>
      <c r="H610" s="14" t="inlineStr">
        <is>
          <t>SENSODINE</t>
        </is>
      </c>
      <c r="I610" s="14" t="inlineStr">
        <is>
          <t>Sensodyne Sensitive Fluoride Toothpaste, 2 x 75 ml, Daily Toothpaste to Protect Against Caries, for Pain-Sensitive Teeth</t>
        </is>
      </c>
      <c r="J610" s="14" t="inlineStr">
        <is>
          <t>No</t>
        </is>
      </c>
      <c r="K610" s="14" t="inlineStr">
        <is>
          <t>https://www.amazon.de/-/en/SENSODYNE-Sensitive-Fluoride-Toothpaste-Pain-Sensitive/dp/B0D6712JN1/ref=sr_1_4?crid=IGBN9SCVV8PU&amp;dib=eyJ2IjoiMSJ9.mCDubOGUvgodIUmXGDx58ti5QGes-ocHXHYc-ZiER290pvWOcWznsHE3_8dhN12mlvlXQVgQSTZ4AWbaEnWBAmPjLjNnF9qAUY2Xw1T4trx4zVd1bu7hl5YvhNLStzz7K_369o75AGSkkwzO1gBxf6HuYJQwlNvzHo3FHD7j1JOZnudil_sIcUuIWygI4QaUl0R_BvMay8uNKw-TK-o39FrBkCYIe7JTICxqFJLbQhZr2AKa8yimyU7BRcwU9Fxhl4un5jU2CFp6-YuFgHW1BwROJhB_67lxYXEwWnnKdTc.o45W_m6KmiwJEDQOhGRj5JBigmveDQ65_N8p_GBbiG4&amp;dib_tag=se&amp;keywords=SENSODYNE%2BFluoride%2B75ml&amp;qid=1756990222&amp;sprefix=sensodyne%2Bfluoride%2B75ml%2Caps%2C109&amp;sr=8-4&amp;th=1</t>
        </is>
      </c>
      <c r="L610" s="14" t="inlineStr">
        <is>
          <t>B0D6712JN1</t>
        </is>
      </c>
      <c r="M610" s="15" t="n"/>
      <c r="N610" s="15" t="n"/>
      <c r="O610" s="15" t="n">
        <v>16.8</v>
      </c>
      <c r="P610" s="15">
        <f>O610/1.19</f>
        <v/>
      </c>
      <c r="Q610" s="15">
        <f>O610-P610</f>
        <v/>
      </c>
      <c r="R610" s="15">
        <f>O610*0.15</f>
        <v/>
      </c>
      <c r="S610" s="15" t="n">
        <v>7.2</v>
      </c>
      <c r="T610" s="15">
        <f>S610*0.2</f>
        <v/>
      </c>
      <c r="U610" s="15" t="n">
        <v>0.400000000000002</v>
      </c>
      <c r="V610" s="15" t="n">
        <v>3.3</v>
      </c>
      <c r="W610" s="15">
        <f>V610*0.2</f>
        <v/>
      </c>
      <c r="X610" s="21">
        <f>O610-Q610-R610-S610-U610-V610+T610+W610</f>
        <v/>
      </c>
      <c r="Y610" s="14" t="n"/>
      <c r="Z610" s="15">
        <f>O610+1.5</f>
        <v/>
      </c>
      <c r="AA610" s="15" t="n"/>
      <c r="AB610" s="15" t="n"/>
      <c r="AC610" s="14" t="n"/>
      <c r="AD610" s="14" t="n"/>
      <c r="AE610" s="13" t="inlineStr">
        <is>
          <t>NOT_UPLOADED</t>
        </is>
      </c>
    </row>
    <row r="611" ht="16" customHeight="1">
      <c r="A611" s="17" t="n">
        <v>5054563014771</v>
      </c>
      <c r="B611" s="17" t="n">
        <v>5054563014771</v>
      </c>
      <c r="C611" s="20" t="inlineStr">
        <is>
          <t>PACK X 3</t>
        </is>
      </c>
      <c r="D611" s="18" t="n"/>
      <c r="E611" s="18" t="inlineStr">
        <is>
          <t>AMP-5054563014771</t>
        </is>
      </c>
      <c r="F611" s="17" t="n">
        <v>3301013</v>
      </c>
      <c r="G611" s="18" t="inlineStr">
        <is>
          <t>Amperel</t>
        </is>
      </c>
      <c r="H611" s="18" t="inlineStr">
        <is>
          <t>SENSODINE</t>
        </is>
      </c>
      <c r="I611" s="18" t="inlineStr">
        <is>
          <t>Sensodyne Toothpaste Advanced Clean, Pack of 3, 75 ml</t>
        </is>
      </c>
      <c r="J611" s="18" t="inlineStr">
        <is>
          <t>No</t>
        </is>
      </c>
      <c r="K611" s="18" t="inlineStr">
        <is>
          <t>https://www.amazon.de/-/en/Sensodyne-Toothpaste-Advanced-Clean-Pack/dp/B0F1KMVBS7/ref=sr_1_1?crid=3L59RCF4PVEGK&amp;dib=eyJ2IjoiMSJ9.aYUD8JRAT5Wlu80fMC_mleZAKSgCIW0iO9KxbhH99lPRApBj3o5PbN-5Scd-kZwvI-pVJF_nfCpJih9G2YDZU7BEVk-Cs0IkARg8uu2cmQmqDeHeNh1Avc0c-DvVRelXLsNyT6od7yP7KH9C5wAQorbtV0c_9Jz7OWsr0t-HDPTuJI34S5KMTboH_5RqOZpiWpUWWyQSjAm48e0LL1c9Hi8MLXYcG5x4oHRFTMjT4KhTMLOr_vDdS0Ep0wu7P4LC_V8PsSqazQ_QXCrt77U7BnKq_-xbfG5YC5MiFZ8eRAc.KcRG2AL7ZV4qeMQfAEujwhn9RLZXkYH9GsnPx0vsCIs&amp;dib_tag=se&amp;keywords=SENSODYNE+advanced+clean+75ml&amp;qid=1756990794&amp;refinements=p_123%3A242098&amp;rnid=91049101031&amp;sprefix=sensodyne+advanced+clean+75ml%2Caps%2C3609&amp;sr=8-1</t>
        </is>
      </c>
      <c r="L611" s="18" t="inlineStr">
        <is>
          <t>B0F1KMVBS7</t>
        </is>
      </c>
      <c r="M611" s="19" t="n">
        <v>26.48</v>
      </c>
      <c r="N611" s="19" t="n"/>
      <c r="O611" s="19" t="n">
        <v>25.9</v>
      </c>
      <c r="P611" s="19">
        <f>O611/1.19</f>
        <v/>
      </c>
      <c r="Q611" s="19">
        <f>O611-P611</f>
        <v/>
      </c>
      <c r="R611" s="19">
        <f>O611*0.15</f>
        <v/>
      </c>
      <c r="S611" s="19" t="n">
        <v>10.8</v>
      </c>
      <c r="T611" s="19">
        <f>S611*0.2</f>
        <v/>
      </c>
      <c r="U611" s="19" t="n">
        <v>0.400000000000002</v>
      </c>
      <c r="V611" s="19" t="n">
        <v>4.86</v>
      </c>
      <c r="W611" s="19">
        <f>V611*0.2</f>
        <v/>
      </c>
      <c r="X611" s="21">
        <f>O611-Q611-R611-S611-U611-V611+T611+W611</f>
        <v/>
      </c>
      <c r="Y611" s="18" t="n"/>
      <c r="Z611" s="19">
        <f>O611+1.5</f>
        <v/>
      </c>
      <c r="AA611" s="19" t="n"/>
      <c r="AB611" s="19" t="n"/>
      <c r="AC611" s="18" t="n"/>
      <c r="AD611" s="18" t="n"/>
      <c r="AE611" s="13" t="inlineStr">
        <is>
          <t>NOT_UPLOADED</t>
        </is>
      </c>
    </row>
    <row r="612" ht="16" customHeight="1">
      <c r="A612" s="12" t="n">
        <v>5054563095923</v>
      </c>
      <c r="B612" s="12" t="n">
        <v>5054563096029</v>
      </c>
      <c r="C612" s="13" t="n"/>
      <c r="D612" s="14" t="n"/>
      <c r="E612" s="14" t="inlineStr">
        <is>
          <t>AMP-5054563095923</t>
        </is>
      </c>
      <c r="F612" s="12" t="n">
        <v>3301020</v>
      </c>
      <c r="G612" s="14" t="inlineStr">
        <is>
          <t>Amperel</t>
        </is>
      </c>
      <c r="H612" s="14" t="inlineStr">
        <is>
          <t>SENSODINE</t>
        </is>
      </c>
      <c r="I612" s="14" t="inlineStr">
        <is>
          <t>GSK SENSODYNE Anti-Caries Paste 75ml</t>
        </is>
      </c>
      <c r="J612" s="14" t="inlineStr">
        <is>
          <t>No</t>
        </is>
      </c>
      <c r="K612" s="14" t="inlineStr">
        <is>
          <t>https://www.amazon.de/-/en/GSK-SENSODYNE-Anti-Caries-Paste-75ml/dp/B0C9S8LJK2/ref=sr_1_32?crid=31AYZUGMB5VM6&amp;dib=eyJ2IjoiMSJ9.mJ_x066tEd8iB4QGMf133Rj4CrUxqgwvGzDdFh2whl9g0yFs8iegMibaLkAAhuEjBwSS47UgP3mTPGOPcTY4rEWAdXAeF9DWaPgI7xlzn-3dgDPvy8Pt-voeFT1AhQR1lh4ZU3vceFLKz9pID-IubA_W9ckB8I9gWFtvWhkk8qqHuwJbTbAR5KvUJisM2G1kIydIFoytur4Wr3erzb5SGkHnmwpFc40wQvEvj3-vX0OlT2IrTPsvLoYUBT6LGYc3yklnCz4-bEFd0tq3iMbb9umqlumGeQ6kE3JRHnmil6M.QWVShL0zJQfOKX88aAQPYlX-8QIGqarJ3xVnTolVVkg&amp;dib_tag=se&amp;keywords=sensodyne+anti+caries&amp;qid=1756991027&amp;sprefix=sensodyne+anti+caries%2Caps%2C304&amp;sr=8-32</t>
        </is>
      </c>
      <c r="L612" s="14" t="inlineStr">
        <is>
          <t>B0C9S8LJK2</t>
        </is>
      </c>
      <c r="M612" s="15" t="n"/>
      <c r="N612" s="15" t="n"/>
      <c r="O612" s="15" t="n">
        <v>11.9</v>
      </c>
      <c r="P612" s="15">
        <f>O612/1.19</f>
        <v/>
      </c>
      <c r="Q612" s="15">
        <f>O612-P612</f>
        <v/>
      </c>
      <c r="R612" s="15">
        <f>O612*0.15</f>
        <v/>
      </c>
      <c r="S612" s="15" t="n">
        <v>2.65</v>
      </c>
      <c r="T612" s="15">
        <f>S612*0.2</f>
        <v/>
      </c>
      <c r="U612" s="15" t="n">
        <v>0.400000000000002</v>
      </c>
      <c r="V612" s="15" t="n">
        <v>2.65</v>
      </c>
      <c r="W612" s="15">
        <f>V612*0.2</f>
        <v/>
      </c>
      <c r="X612" s="21">
        <f>O612-Q612-R612-S612-U612-V612+T612+W612</f>
        <v/>
      </c>
      <c r="Y612" s="14" t="n"/>
      <c r="Z612" s="15">
        <f>O612+1.5</f>
        <v/>
      </c>
      <c r="AA612" s="15" t="n"/>
      <c r="AB612" s="15" t="n"/>
      <c r="AC612" s="14" t="n"/>
      <c r="AD612" s="14" t="n"/>
      <c r="AE612" s="13" t="inlineStr">
        <is>
          <t>NOT_UPLOADED</t>
        </is>
      </c>
    </row>
    <row r="613" ht="16" customHeight="1">
      <c r="A613" s="17" t="n">
        <v>5054563219237</v>
      </c>
      <c r="B613" s="17" t="n">
        <v>8590335006812</v>
      </c>
      <c r="C613" s="20" t="inlineStr">
        <is>
          <t>PACK X 2</t>
        </is>
      </c>
      <c r="D613" s="18" t="n"/>
      <c r="E613" s="18" t="inlineStr">
        <is>
          <t>AMP-5054563219237</t>
        </is>
      </c>
      <c r="F613" s="17" t="n">
        <v>3301019</v>
      </c>
      <c r="G613" s="18" t="inlineStr">
        <is>
          <t>Amperel</t>
        </is>
      </c>
      <c r="H613" s="18" t="inlineStr">
        <is>
          <t>SENSODINE</t>
        </is>
      </c>
      <c r="I613" s="18" t="inlineStr">
        <is>
          <t>Sensodyne Toothpaste Pronamel Junior 6-12 Years, Pack of 2, 50 ml</t>
        </is>
      </c>
      <c r="J613" s="18" t="inlineStr">
        <is>
          <t>No</t>
        </is>
      </c>
      <c r="K613" s="18" t="inlineStr">
        <is>
          <t>https://www.amazon.de/-/en/Sensodyne-Toothpaste-Pronamel-Junior-Years/dp/B0F1KQYY52/ref=sr_1_1?crid=SBRO6REPA87O&amp;dib=eyJ2IjoiMSJ9.lsEUGLsAmAKtjbN6L_uZeV5wnA6vQ4Igo_8tUj6W1gyzp-AKfExTiAxB3Tnk7o_07me0owc-nJ7Q7CHDoyBHLPIiJSBJHx8Mh_zSIagvRpHDisRcntj-B7tVf2SfdDBrTr1_ROD0sLo1Z3se1RfYmLP1pi37Zj6jKJaoFc_lhpcD8xV6i_y-ZvijySQC4CHash1Skm1Qmv8zCbObBB3KYxrppQUqIqXnzwDoyX9g1-mO6IXekBiL4MTzdy2oBXHQOUWPkzxtVdz-iXszXRIIzH6hKFeitxgoywlnVam1XB4.iKdRRRLKPgglOnJ8qDcsSlv-rHwXiyGtXZLFJCdS228&amp;dib_tag=se&amp;keywords=SENSODYNE+PRONAMEL+JUNIOR+50ml&amp;qid=1756991296&amp;sprefix=sensodyne+pronamel+junior+50ml%2Caps%2C181&amp;sr=8-1</t>
        </is>
      </c>
      <c r="L613" s="18" t="inlineStr">
        <is>
          <t>B0F1KQYY52</t>
        </is>
      </c>
      <c r="M613" s="19" t="n"/>
      <c r="N613" s="19" t="n"/>
      <c r="O613" s="19" t="n">
        <v>12.45</v>
      </c>
      <c r="P613" s="19">
        <f>O613/1.19</f>
        <v/>
      </c>
      <c r="Q613" s="19">
        <f>O613-P613</f>
        <v/>
      </c>
      <c r="R613" s="19">
        <f>O613*0.15</f>
        <v/>
      </c>
      <c r="S613" s="19" t="n">
        <v>4.35</v>
      </c>
      <c r="T613" s="19">
        <f>S613*0.2</f>
        <v/>
      </c>
      <c r="U613" s="19" t="n">
        <v>0.400000000000002</v>
      </c>
      <c r="V613" s="19" t="n">
        <v>3</v>
      </c>
      <c r="W613" s="19">
        <f>V613*0.2</f>
        <v/>
      </c>
      <c r="X613" s="16">
        <f>O613-Q613-R613-S613-U613-V613+T613+W613</f>
        <v/>
      </c>
      <c r="Y613" s="18" t="n"/>
      <c r="Z613" s="19">
        <f>O613+1.5</f>
        <v/>
      </c>
      <c r="AA613" s="19" t="n"/>
      <c r="AB613" s="19" t="n"/>
      <c r="AC613" s="18" t="n"/>
      <c r="AD613" s="18" t="n"/>
      <c r="AE613" s="13" t="inlineStr">
        <is>
          <t>NOT_UPLOADED</t>
        </is>
      </c>
    </row>
    <row r="614" ht="16" customHeight="1">
      <c r="A614" s="12" t="n">
        <v>4026600135177</v>
      </c>
      <c r="B614" s="12" t="n">
        <v>8590335006812</v>
      </c>
      <c r="C614" s="20" t="inlineStr">
        <is>
          <t>PACK X 4</t>
        </is>
      </c>
      <c r="D614" s="14" t="n"/>
      <c r="E614" s="14" t="inlineStr">
        <is>
          <t>AMP-4026600135177</t>
        </is>
      </c>
      <c r="F614" s="12" t="n">
        <v>3301019</v>
      </c>
      <c r="G614" s="14" t="inlineStr">
        <is>
          <t>Amperel</t>
        </is>
      </c>
      <c r="H614" s="14" t="inlineStr">
        <is>
          <t>SENSODINE</t>
        </is>
      </c>
      <c r="I614" s="14" t="inlineStr">
        <is>
          <t>Junior Toothpaste for Children 6-12 Years, for Permanent Teeth, for Strong Enamel and Protection Against Sugar Acids, 75 ml</t>
        </is>
      </c>
      <c r="J614" s="14" t="inlineStr">
        <is>
          <t>No</t>
        </is>
      </c>
      <c r="K614" s="14" t="inlineStr">
        <is>
          <t>https://www.amazon.de/-/en/Sensodyne-ProSchmelz-Toothpaste-Permanent-Protection/dp/B0FNNDMDXY/ref=sr_1_1?crid=269Z6BBOEIF4L&amp;dib=eyJ2IjoiMSJ9.X5xiLTeqlH9JFuzkTa81pg.44TbfWI19M66ou5qYap_FxssLMQe4vt0e2uXADf45xA&amp;dib_tag=se&amp;keywords=B0FNNDMDXY&amp;qid=1769629569&amp;s=beauty&amp;sprefix=b0fnndmdxy%2Cbeauty%2C129&amp;sr=1-1</t>
        </is>
      </c>
      <c r="L614" s="14" t="inlineStr">
        <is>
          <t>B0FNNDMDXY</t>
        </is>
      </c>
      <c r="M614" s="15" t="n"/>
      <c r="N614" s="15" t="n"/>
      <c r="O614" s="15" t="n">
        <v>19.95</v>
      </c>
      <c r="P614" s="15">
        <f>O614/1.19</f>
        <v/>
      </c>
      <c r="Q614" s="15">
        <f>O614-P614</f>
        <v/>
      </c>
      <c r="R614" s="15">
        <f>O614*0.15</f>
        <v/>
      </c>
      <c r="S614" s="15" t="n">
        <v>8.699999999999999</v>
      </c>
      <c r="T614" s="15">
        <f>S614*0.2</f>
        <v/>
      </c>
      <c r="U614" s="15" t="n">
        <v>0.400000000000002</v>
      </c>
      <c r="V614" s="15" t="n">
        <v>5</v>
      </c>
      <c r="W614" s="15">
        <f>V614*0.2</f>
        <v/>
      </c>
      <c r="X614" s="21">
        <f>O614-Q614-R614-S614-U614-V614+T614+W614</f>
        <v/>
      </c>
      <c r="Y614" s="14" t="n"/>
      <c r="Z614" s="15">
        <f>O614+1.5</f>
        <v/>
      </c>
      <c r="AA614" s="15" t="n"/>
      <c r="AB614" s="15" t="n"/>
      <c r="AC614" s="14" t="n"/>
      <c r="AD614" s="14" t="n"/>
      <c r="AE614" s="13" t="inlineStr">
        <is>
          <t>NOT_UPLOADED</t>
        </is>
      </c>
    </row>
    <row r="615" ht="16" customHeight="1">
      <c r="A615" s="17" t="n">
        <v>5054563948960</v>
      </c>
      <c r="B615" s="17" t="n">
        <v>8590335006812</v>
      </c>
      <c r="C615" s="13" t="n"/>
      <c r="D615" s="18" t="n"/>
      <c r="E615" s="18" t="inlineStr">
        <is>
          <t>AMP-5054563948960</t>
        </is>
      </c>
      <c r="F615" s="17" t="n">
        <v>3301019</v>
      </c>
      <c r="G615" s="18" t="inlineStr">
        <is>
          <t>Amperel</t>
        </is>
      </c>
      <c r="H615" s="18" t="inlineStr">
        <is>
          <t>SENSODINE</t>
        </is>
      </c>
      <c r="I615" s="18" t="inlineStr">
        <is>
          <t>Sensodyne Pro-Enamel Junior Toothpaste for Children 6 to 12 Years, Helps Against Tooth Decay and Strengthens Enamel, Sensitive Teeth, Mint, 50 ml</t>
        </is>
      </c>
      <c r="J615" s="18" t="inlineStr">
        <is>
          <t>No</t>
        </is>
      </c>
      <c r="K615" s="18" t="inlineStr">
        <is>
          <t>https://www.amazon.de/-/en/Sensodyne-Pro-Enamel-Toothpaste-Strengthens-Sensitive/dp/B0B63HWX37/ref=sr_1_6?crid=SBRO6REPA87O&amp;dib=eyJ2IjoiMSJ9.lsEUGLsAmAKtjbN6L_uZeV5wnA6vQ4Igo_8tUj6W1gyzp-AKfExTiAxB3Tnk7o_07me0owc-nJ7Q7CHDoyBHLPIiJSBJHx8Mh_zSIagvRpHDisRcntj-B7tVf2SfdDBrTr1_ROD0sLo1Z3se1RfYmLP1pi37Zj6jKJaoFc_lhpcD8xV6i_y-ZvijySQC4CHash1Skm1Qmv8zCbObBB3KYxrppQUqIqXnzwDoyX9g1-mO6IXekBiL4MTzdy2oBXHQOUWPkzxtVdz-iXszXRIIzH6hKFeitxgoywlnVam1XB4.iKdRRRLKPgglOnJ8qDcsSlv-rHwXiyGtXZLFJCdS228&amp;dib_tag=se&amp;keywords=SENSODYNE+PRONAMEL+JUNIOR+50ml&amp;qid=1756991296&amp;sprefix=sensodyne+pronamel+junior+50ml%2Caps%2C181&amp;sr=8-6</t>
        </is>
      </c>
      <c r="L615" s="18" t="inlineStr">
        <is>
          <t>B0B63HWX37</t>
        </is>
      </c>
      <c r="M615" s="19" t="n"/>
      <c r="N615" s="19" t="n"/>
      <c r="O615" s="19" t="n">
        <v>8.99</v>
      </c>
      <c r="P615" s="19">
        <f>O615/1.19</f>
        <v/>
      </c>
      <c r="Q615" s="19">
        <f>O615-P615</f>
        <v/>
      </c>
      <c r="R615" s="19">
        <f>O615*0.15</f>
        <v/>
      </c>
      <c r="S615" s="19" t="n">
        <v>2.18</v>
      </c>
      <c r="T615" s="19">
        <f>S615*0.2</f>
        <v/>
      </c>
      <c r="U615" s="19" t="n">
        <v>0.400000000000002</v>
      </c>
      <c r="V615" s="19" t="n">
        <v>2.57</v>
      </c>
      <c r="W615" s="19">
        <f>V615*0.2</f>
        <v/>
      </c>
      <c r="X615" s="21">
        <f>O615-Q615-R615-S615-U615-V615+T615+W615</f>
        <v/>
      </c>
      <c r="Y615" s="18" t="n"/>
      <c r="Z615" s="19">
        <f>O615+1.5</f>
        <v/>
      </c>
      <c r="AA615" s="19" t="n"/>
      <c r="AB615" s="19" t="n"/>
      <c r="AC615" s="18" t="n"/>
      <c r="AD615" s="18" t="n"/>
      <c r="AE615" s="13" t="inlineStr">
        <is>
          <t>NOT_UPLOADED</t>
        </is>
      </c>
    </row>
    <row r="616" ht="16" customHeight="1">
      <c r="A616" s="12" t="n">
        <v>5054563219657</v>
      </c>
      <c r="B616" s="12" t="n">
        <v>8590335006812</v>
      </c>
      <c r="C616" s="13" t="n"/>
      <c r="D616" s="14" t="n"/>
      <c r="E616" s="14" t="inlineStr">
        <is>
          <t>AMP-5054563219657</t>
        </is>
      </c>
      <c r="F616" s="12" t="n">
        <v>3301019</v>
      </c>
      <c r="G616" s="14" t="inlineStr">
        <is>
          <t>Amperel</t>
        </is>
      </c>
      <c r="H616" s="14" t="inlineStr">
        <is>
          <t>SENSODINE</t>
        </is>
      </c>
      <c r="I616" s="14" t="inlineStr">
        <is>
          <t>Junior Zahnpasta, 6-12 Jahre, Für starken Zahnschmelz, 75ml</t>
        </is>
      </c>
      <c r="J616" s="14" t="inlineStr">
        <is>
          <t>No</t>
        </is>
      </c>
      <c r="K616" s="14" t="inlineStr">
        <is>
          <t>https://www.amazon.de/Sensodyne-ProSchmelz-Zahnpasta-starken-Zahnschmelz/dp/B0D66ZJG35/ref=sr_1_1?__mk_de_DE=%C3%85M%C3%85%C5%BD%C3%95%C3%91&amp;crid=3FTZWSLQ74QMJ&amp;dib=eyJ2IjoiMSJ9.tz62zw1jQ0tKwXAieGR1_A.GZ6Qg5TewGUh561HXAl136E3-J_Fy4Sbh_uUcb6F9ew&amp;dib_tag=se&amp;keywords=B0D66ZJG35&amp;qid=1767625749&amp;s=beauty&amp;sprefix=b0d66zjg35%2Cbeauty%2C182&amp;sr=1-1&amp;th=1</t>
        </is>
      </c>
      <c r="L616" s="14" t="inlineStr">
        <is>
          <t>B0D66ZJG35</t>
        </is>
      </c>
      <c r="M616" s="15" t="n"/>
      <c r="N616" s="15" t="n"/>
      <c r="O616" s="15" t="n">
        <v>8.15</v>
      </c>
      <c r="P616" s="15">
        <f>O616/1.19</f>
        <v/>
      </c>
      <c r="Q616" s="15">
        <f>O616-P616</f>
        <v/>
      </c>
      <c r="R616" s="15">
        <f>O616*0.15</f>
        <v/>
      </c>
      <c r="S616" s="15" t="n">
        <v>2.18</v>
      </c>
      <c r="T616" s="15">
        <f>S616*0.2</f>
        <v/>
      </c>
      <c r="U616" s="15" t="n">
        <v>0.400000000000002</v>
      </c>
      <c r="V616" s="15" t="n">
        <v>2.2</v>
      </c>
      <c r="W616" s="15">
        <f>V616*0.2</f>
        <v/>
      </c>
      <c r="X616" s="16">
        <f>O616-Q616-R616-S616-U616-V616+T616+W616</f>
        <v/>
      </c>
      <c r="Y616" s="14" t="n"/>
      <c r="Z616" s="15">
        <f>O616+1.5</f>
        <v/>
      </c>
      <c r="AA616" s="15" t="n"/>
      <c r="AB616" s="15" t="n"/>
      <c r="AC616" s="14" t="n"/>
      <c r="AD616" s="14" t="n"/>
      <c r="AE616" s="13" t="inlineStr">
        <is>
          <t>NOT_UPLOADED</t>
        </is>
      </c>
    </row>
    <row r="617" ht="16" customHeight="1">
      <c r="A617" s="17" t="n">
        <v>5054563029621</v>
      </c>
      <c r="B617" s="17" t="n">
        <v>5054563029621</v>
      </c>
      <c r="C617" s="20" t="inlineStr">
        <is>
          <t>PACK X 4</t>
        </is>
      </c>
      <c r="D617" s="18" t="n"/>
      <c r="E617" s="18" t="inlineStr">
        <is>
          <t>AMP-5054563029621</t>
        </is>
      </c>
      <c r="F617" s="17" t="n">
        <v>3302008</v>
      </c>
      <c r="G617" s="18" t="inlineStr">
        <is>
          <t>Amperel</t>
        </is>
      </c>
      <c r="H617" s="18" t="inlineStr">
        <is>
          <t>SENSODINE</t>
        </is>
      </c>
      <c r="I617" s="18" t="inlineStr">
        <is>
          <t>Sensodyne Toothbrush Advanced Clean, Pack of 4, Soft</t>
        </is>
      </c>
      <c r="J617" s="18" t="inlineStr">
        <is>
          <t>No</t>
        </is>
      </c>
      <c r="K617" s="18" t="inlineStr">
        <is>
          <t>https://www.amazon.de/-/en/Sensodyne-Toothbrush-Advanced-Clean-Pack/dp/B0F1KTFQQX/ref=sr_1_1?crid=3RBAGL51PXEP0&amp;dib=eyJ2IjoiMSJ9.3ogXyE1pw42yuIMM5bMMow.l36tpUrv0C7F389HP7XIOQIiRp-Ybh9zbSunHqmM_Mw&amp;dib_tag=se&amp;keywords=5054563029621&amp;qid=1756991723&amp;sprefix=5054563029621%2Caps%2C152&amp;sr=8-1</t>
        </is>
      </c>
      <c r="L617" s="18" t="inlineStr">
        <is>
          <t>B0F1KTFQQX</t>
        </is>
      </c>
      <c r="M617" s="19" t="n"/>
      <c r="N617" s="19" t="n"/>
      <c r="O617" s="19" t="n">
        <v>24.5</v>
      </c>
      <c r="P617" s="19">
        <f>O617/1.19</f>
        <v/>
      </c>
      <c r="Q617" s="19">
        <f>O617-P617</f>
        <v/>
      </c>
      <c r="R617" s="19">
        <f>O617*0.15</f>
        <v/>
      </c>
      <c r="S617" s="19" t="n">
        <v>12.94</v>
      </c>
      <c r="T617" s="19">
        <f>S617*0.2</f>
        <v/>
      </c>
      <c r="U617" s="19" t="n">
        <v>0.400000000000002</v>
      </c>
      <c r="V617" s="19" t="n">
        <v>3.5</v>
      </c>
      <c r="W617" s="19">
        <f>V617*0.2</f>
        <v/>
      </c>
      <c r="X617" s="21">
        <f>O617-Q617-R617-S617-U617-V617+T617+W617</f>
        <v/>
      </c>
      <c r="Y617" s="18" t="n"/>
      <c r="Z617" s="19">
        <f>O617+1.5</f>
        <v/>
      </c>
      <c r="AA617" s="19" t="n"/>
      <c r="AB617" s="19" t="n"/>
      <c r="AC617" s="18" t="n"/>
      <c r="AD617" s="18" t="n"/>
      <c r="AE617" s="13" t="inlineStr">
        <is>
          <t>NOT_UPLOADED</t>
        </is>
      </c>
    </row>
    <row r="618" ht="16" customHeight="1">
      <c r="A618" s="12" t="n">
        <v>5054563029683</v>
      </c>
      <c r="B618" s="12" t="n">
        <v>5054563029683</v>
      </c>
      <c r="C618" s="13" t="n"/>
      <c r="D618" s="14" t="n"/>
      <c r="E618" s="14" t="inlineStr">
        <is>
          <t>AMP-5054563029683</t>
        </is>
      </c>
      <c r="F618" s="12" t="n">
        <v>3302006</v>
      </c>
      <c r="G618" s="14" t="inlineStr">
        <is>
          <t>Amperel</t>
        </is>
      </c>
      <c r="H618" s="14" t="inlineStr">
        <is>
          <t>SENSODINE</t>
        </is>
      </c>
      <c r="I618" s="14" t="inlineStr">
        <is>
          <t>Sensodyne Gentle Care Soft Toothbrush for Sensitive Teeth, White, Pack of 1</t>
        </is>
      </c>
      <c r="J618" s="14" t="inlineStr">
        <is>
          <t>No</t>
        </is>
      </c>
      <c r="K618" s="14" t="inlineStr">
        <is>
          <t>https://www.amazon.de/-/en/Sensodyne-Gentle-Toothbrush-Sensitive-Teeth/dp/B079N8L8DV/ref=sr_1_1_mod_primary_new?crid=NBG60Y0W9FTX&amp;dib=eyJ2IjoiMSJ9.DpYFFst-5r8ELA8rxE6bOw.1XhPL8itLBqVki35Z3DeN0I_uNijvg4Q8CL5xzzDyXs&amp;dib_tag=se&amp;keywords=5054563029683&amp;qid=1756991912&amp;sbo=RZvfv%2F%2FHxDF%2BO5021pAnSA%3D%3D&amp;sprefix=5054563029683%2Caps%2C126&amp;sr=8-1</t>
        </is>
      </c>
      <c r="L618" s="14" t="inlineStr">
        <is>
          <t>B079N8L8DV</t>
        </is>
      </c>
      <c r="M618" s="15" t="n"/>
      <c r="N618" s="15" t="n"/>
      <c r="O618" s="15" t="n">
        <v>8.699999999999999</v>
      </c>
      <c r="P618" s="15">
        <f>O618/1.19</f>
        <v/>
      </c>
      <c r="Q618" s="15">
        <f>O618-P618</f>
        <v/>
      </c>
      <c r="R618" s="15">
        <f>O618*0.15</f>
        <v/>
      </c>
      <c r="S618" s="15" t="n">
        <v>3.24</v>
      </c>
      <c r="T618" s="15">
        <f>S618*0.2</f>
        <v/>
      </c>
      <c r="U618" s="15" t="n">
        <v>0.400000000000002</v>
      </c>
      <c r="V618" s="15" t="n">
        <v>2</v>
      </c>
      <c r="W618" s="15">
        <f>V618*0.2</f>
        <v/>
      </c>
      <c r="X618" s="16">
        <f>O618-Q618-R618-S618-U618-V618+T618+W618</f>
        <v/>
      </c>
      <c r="Y618" s="14" t="n"/>
      <c r="Z618" s="15">
        <f>O618+1.5</f>
        <v/>
      </c>
      <c r="AA618" s="15" t="n"/>
      <c r="AB618" s="15" t="n"/>
      <c r="AC618" s="14" t="n"/>
      <c r="AD618" s="14" t="n"/>
      <c r="AE618" s="13" t="inlineStr">
        <is>
          <t>NOT_UPLOADED</t>
        </is>
      </c>
    </row>
    <row r="619" ht="16" customHeight="1">
      <c r="A619" s="17" t="n">
        <v>5000347084065</v>
      </c>
      <c r="B619" s="17" t="n">
        <v>5000347084065</v>
      </c>
      <c r="C619" s="13" t="n"/>
      <c r="D619" s="18" t="n"/>
      <c r="E619" s="18" t="inlineStr">
        <is>
          <t>AMP-5000347084065</t>
        </is>
      </c>
      <c r="F619" s="17" t="n">
        <v>3303001</v>
      </c>
      <c r="G619" s="18" t="inlineStr">
        <is>
          <t>Amperel</t>
        </is>
      </c>
      <c r="H619" s="18" t="inlineStr">
        <is>
          <t>SENSODINE</t>
        </is>
      </c>
      <c r="I619" s="18" t="inlineStr">
        <is>
          <t>Sensodyne Gentle Floss Expanding 30m</t>
        </is>
      </c>
      <c r="J619" s="18" t="inlineStr">
        <is>
          <t>No</t>
        </is>
      </c>
      <c r="K619" s="18" t="inlineStr">
        <is>
          <t>https://www.amazon.de/-/en/Sensodyne-Gentle-Floss-Expanding-30m/dp/B001ECQSMM/ref=sr_1_1?crid=3PMQT3FAUDLSM&amp;dib=eyJ2IjoiMSJ9.lCKd7we0qkRM8MkyAJF6Yg.UHvT97EmzMH4upgYZw00bqDbVM79owCShyqjcFv6WRE&amp;dib_tag=se&amp;keywords=5000347084065&amp;qid=1756992117&amp;sprefix=5000347084065%2Caps%2C409&amp;sr=8-1</t>
        </is>
      </c>
      <c r="L619" s="18" t="inlineStr">
        <is>
          <t>B001ECQSMM</t>
        </is>
      </c>
      <c r="M619" s="19" t="n"/>
      <c r="N619" s="19" t="n"/>
      <c r="O619" s="19" t="n">
        <v>8.199999999999999</v>
      </c>
      <c r="P619" s="19">
        <f>O619/1.19</f>
        <v/>
      </c>
      <c r="Q619" s="19">
        <f>O619-P619</f>
        <v/>
      </c>
      <c r="R619" s="19">
        <f>O619*0.15</f>
        <v/>
      </c>
      <c r="S619" s="19" t="n">
        <v>2.75</v>
      </c>
      <c r="T619" s="19">
        <f>S619*0.2</f>
        <v/>
      </c>
      <c r="U619" s="19" t="n">
        <v>0.400000000000002</v>
      </c>
      <c r="V619" s="19" t="n">
        <v>1.84</v>
      </c>
      <c r="W619" s="19">
        <f>V619*0.2</f>
        <v/>
      </c>
      <c r="X619" s="16">
        <f>O619-Q619-R619-S619-U619-V619+T619+W619</f>
        <v/>
      </c>
      <c r="Y619" s="18" t="n"/>
      <c r="Z619" s="19">
        <f>O619+1.5</f>
        <v/>
      </c>
      <c r="AA619" s="19" t="n"/>
      <c r="AB619" s="19" t="n"/>
      <c r="AC619" s="18" t="n"/>
      <c r="AD619" s="18" t="n"/>
      <c r="AE619" s="13" t="inlineStr">
        <is>
          <t>NOT_UPLOADED</t>
        </is>
      </c>
    </row>
    <row r="620" ht="16" customHeight="1">
      <c r="A620" s="12" t="n">
        <v>5000347084065</v>
      </c>
      <c r="B620" s="12" t="n">
        <v>5000347084065</v>
      </c>
      <c r="C620" s="13" t="n"/>
      <c r="D620" s="14" t="n"/>
      <c r="E620" s="14" t="inlineStr">
        <is>
          <t>AMP-5000347084065</t>
        </is>
      </c>
      <c r="F620" s="12" t="n">
        <v>3303001</v>
      </c>
      <c r="G620" s="14" t="inlineStr">
        <is>
          <t>Amperel</t>
        </is>
      </c>
      <c r="H620" s="14" t="inlineStr">
        <is>
          <t>SENSODINE</t>
        </is>
      </c>
      <c r="I620" s="14" t="inlineStr">
        <is>
          <t>Sensodyne Expanding Floss</t>
        </is>
      </c>
      <c r="J620" s="14" t="inlineStr">
        <is>
          <t>No</t>
        </is>
      </c>
      <c r="K620" s="14" t="inlineStr">
        <is>
          <t>https://www.amazon.de/-/en/931962548-Sensodyne-Expanding-Floss/dp/B00VXDB62E/ref=sr_1_3?dib=eyJ2IjoiMSJ9._w8-I9NWpUy86QpxGnCqgqM1MP5OMTDNEHNHCjiGlTfLmRemDdZ_zjVksISj4NwWTrDZopblUWdbYFc-apWYwU36l4X64-e07gzoAeIMFB8kllNKhL6HTfLOqSBXlYWRFPaAwHZiJReY93MkSWxGyY4kzEM5auS9FezXcS9PbzgnkLqPN3tY4n8KrZmaR5Moljt-uZEpDO6T6B3FrgR3_hCQH39M1FZuaeNx5u_78NiFbj5kJ6287_M0NO7lYp7nCsfowCXtRLIgUPY0fn2taqdQKDfNEsIDDlKjZszaZHI.hHxSsml509305Fjzuz0YBqYxwgw3bmxkclqiTTxAAis&amp;dib_tag=se&amp;keywords=Sensodyne+Gentle+Floss+30m&amp;qid=1756992336&amp;sr=8-3</t>
        </is>
      </c>
      <c r="L620" s="14" t="inlineStr">
        <is>
          <t>B00VXDB62E</t>
        </is>
      </c>
      <c r="M620" s="15" t="n"/>
      <c r="N620" s="15" t="n"/>
      <c r="O620" s="15" t="n">
        <v>8.199999999999999</v>
      </c>
      <c r="P620" s="15">
        <f>O620/1.19</f>
        <v/>
      </c>
      <c r="Q620" s="15">
        <f>O620-P620</f>
        <v/>
      </c>
      <c r="R620" s="15">
        <f>O620*0.15</f>
        <v/>
      </c>
      <c r="S620" s="15" t="n">
        <v>2.75</v>
      </c>
      <c r="T620" s="15">
        <f>S620*0.2</f>
        <v/>
      </c>
      <c r="U620" s="15" t="n">
        <v>0.400000000000002</v>
      </c>
      <c r="V620" s="15" t="n">
        <v>1.84</v>
      </c>
      <c r="W620" s="15">
        <f>V620*0.2</f>
        <v/>
      </c>
      <c r="X620" s="16">
        <f>O620-Q620-R620-S620-U620-V620+T620+W620</f>
        <v/>
      </c>
      <c r="Y620" s="14" t="n"/>
      <c r="Z620" s="15">
        <f>O620+1.5</f>
        <v/>
      </c>
      <c r="AA620" s="15" t="n"/>
      <c r="AB620" s="15" t="n"/>
      <c r="AC620" s="14" t="n"/>
      <c r="AD620" s="14" t="n"/>
      <c r="AE620" s="13" t="inlineStr">
        <is>
          <t>NOT_UPLOADED</t>
        </is>
      </c>
    </row>
    <row r="621" ht="16" customHeight="1">
      <c r="A621" s="17" t="n">
        <v>3830029295401</v>
      </c>
      <c r="B621" s="17" t="n">
        <v>3830029295401</v>
      </c>
      <c r="C621" s="13" t="n"/>
      <c r="D621" s="18" t="n"/>
      <c r="E621" s="18" t="inlineStr">
        <is>
          <t>AMP-3830029295401</t>
        </is>
      </c>
      <c r="F621" s="17" t="n">
        <v>3304003</v>
      </c>
      <c r="G621" s="18" t="inlineStr">
        <is>
          <t>Amperel</t>
        </is>
      </c>
      <c r="H621" s="18" t="inlineStr">
        <is>
          <t>SENSODINE</t>
        </is>
      </c>
      <c r="I621" s="18" t="inlineStr">
        <is>
          <t>Sensodyne Cool &amp; Fresh Daily Mouthwash with Fluoride, Alcohol-free, for Pain-Sensitive Teeth and Protection Against Caries, 500 ml</t>
        </is>
      </c>
      <c r="J621" s="18" t="inlineStr">
        <is>
          <t>No</t>
        </is>
      </c>
      <c r="K621" s="18" t="inlineStr">
        <is>
          <t>https://www.amazon.de/-/en/Sensodyne-Mouthwash-Alcohol-free-Pain-Sensitive-Protection/dp/B0BY2VZ2S3/ref=sr_1_2?crid=1YY8AM4EITKG8&amp;dib=eyJ2IjoiMSJ9.u1MIgp2WKViAfKrYBnuxDYf97wuTicUQKp_c1b2qndT7H65Pqji7mxh9UesyYleZL4TDXh5GdU00Gz52CJzTU7EU4238iH2oJMl2bXYmbpvKWMe4-IzsQxIiouO-rAPYELLVHqElTIYmBuu6SD_QAGVG66EoMYr7jevv7Ab4EOg.lU-PL-LdCDXGo2EWit8OVBdALcsPSnwH6ZiLxOe3bu4&amp;dib_tag=se&amp;keywords=sensodyne+cool+mint+500ml&amp;qid=1756992884&amp;sprefix=sensodine+cool+mint+500ml%2Caps%2C120&amp;sr=8-2</t>
        </is>
      </c>
      <c r="L621" s="18" t="inlineStr">
        <is>
          <t>B0BY2VZ2S3</t>
        </is>
      </c>
      <c r="M621" s="19" t="n"/>
      <c r="N621" s="19" t="n"/>
      <c r="O621" s="19" t="n">
        <v>12.9</v>
      </c>
      <c r="P621" s="19">
        <f>O621/1.19</f>
        <v/>
      </c>
      <c r="Q621" s="19">
        <f>O621-P621</f>
        <v/>
      </c>
      <c r="R621" s="19">
        <f>O621*0.15</f>
        <v/>
      </c>
      <c r="S621" s="19" t="n">
        <v>4.95</v>
      </c>
      <c r="T621" s="19">
        <f>S621*0.2</f>
        <v/>
      </c>
      <c r="U621" s="19" t="n">
        <v>0.400000000000002</v>
      </c>
      <c r="V621" s="19" t="n">
        <v>4.2</v>
      </c>
      <c r="W621" s="19">
        <f>V621*0.2</f>
        <v/>
      </c>
      <c r="X621" s="16">
        <f>O621-Q621-R621-S621-U621-V621+T621+W621</f>
        <v/>
      </c>
      <c r="Y621" s="18" t="n"/>
      <c r="Z621" s="19">
        <f>O621+1.5</f>
        <v/>
      </c>
      <c r="AA621" s="19" t="n"/>
      <c r="AB621" s="19" t="n"/>
      <c r="AC621" s="18" t="n"/>
      <c r="AD621" s="18" t="n"/>
      <c r="AE621" s="13" t="inlineStr">
        <is>
          <t>NOT_UPLOADED</t>
        </is>
      </c>
    </row>
    <row r="622" ht="16" customHeight="1">
      <c r="A622" s="12" t="n">
        <v>3830029295401</v>
      </c>
      <c r="B622" s="12" t="n">
        <v>3830029295401</v>
      </c>
      <c r="C622" s="13" t="n"/>
      <c r="D622" s="14" t="n"/>
      <c r="E622" s="14" t="inlineStr">
        <is>
          <t>AMP-3830029295401</t>
        </is>
      </c>
      <c r="F622" s="12" t="n">
        <v>3304003</v>
      </c>
      <c r="G622" s="14" t="inlineStr">
        <is>
          <t>Amperel</t>
        </is>
      </c>
      <c r="H622" s="14" t="inlineStr">
        <is>
          <t>SENSODINE</t>
        </is>
      </c>
      <c r="I622" s="14" t="inlineStr">
        <is>
          <t>Sensodyne Mouthwash Cool Mint 500ml</t>
        </is>
      </c>
      <c r="J622" s="14" t="inlineStr">
        <is>
          <t>No</t>
        </is>
      </c>
      <c r="K622" s="14" t="inlineStr">
        <is>
          <t>https://www.amazon.de/-/en/Sensodyne-Mouthwash-Cool-Mint-500ml/dp/B00XABH770/ref=sr_1_3?crid=1YY8AM4EITKG8&amp;dib=eyJ2IjoiMSJ9.u1MIgp2WKViAfKrYBnuxDYf97wuTicUQKp_c1b2qndT7H65Pqji7mxh9UesyYleZL4TDXh5GdU00Gz52CJzTU7EU4238iH2oJMl2bXYmbpvKWMe4-IzsQxIiouO-rAPYELLVHqElTIYmBuu6SD_QAGVG66EoMYr7jevv7Ab4EOg.lU-PL-LdCDXGo2EWit8OVBdALcsPSnwH6ZiLxOe3bu4&amp;dib_tag=se&amp;keywords=sensodyne+cool+mint+500ml&amp;qid=1756993077&amp;sprefix=sensodine+cool+mint+500ml%2Caps%2C120&amp;sr=8-3</t>
        </is>
      </c>
      <c r="L622" s="14" t="inlineStr">
        <is>
          <t>B00XABH770</t>
        </is>
      </c>
      <c r="M622" s="15" t="n"/>
      <c r="N622" s="15" t="n"/>
      <c r="O622" s="15" t="n">
        <v>13.7</v>
      </c>
      <c r="P622" s="15">
        <f>O622/1.19</f>
        <v/>
      </c>
      <c r="Q622" s="15">
        <f>O622-P622</f>
        <v/>
      </c>
      <c r="R622" s="15">
        <f>O622*0.15</f>
        <v/>
      </c>
      <c r="S622" s="15" t="n">
        <v>4.95</v>
      </c>
      <c r="T622" s="15">
        <f>S622*0.2</f>
        <v/>
      </c>
      <c r="U622" s="15" t="n">
        <v>0.400000000000002</v>
      </c>
      <c r="V622" s="15" t="n">
        <v>4.2</v>
      </c>
      <c r="W622" s="15">
        <f>V622*0.2</f>
        <v/>
      </c>
      <c r="X622" s="16">
        <f>O622-Q622-R622-S622-U622-V622+T622+W622</f>
        <v/>
      </c>
      <c r="Y622" s="14" t="n"/>
      <c r="Z622" s="15">
        <f>O622+1.5</f>
        <v/>
      </c>
      <c r="AA622" s="15" t="n"/>
      <c r="AB622" s="15" t="n"/>
      <c r="AC622" s="14" t="n"/>
      <c r="AD622" s="14" t="n"/>
      <c r="AE622" s="13" t="inlineStr">
        <is>
          <t>NOT_UPLOADED</t>
        </is>
      </c>
    </row>
    <row r="623" ht="16" customHeight="1">
      <c r="A623" s="17" t="n"/>
      <c r="B623" s="17" t="n">
        <v>3830029295401</v>
      </c>
      <c r="C623" s="13" t="n"/>
      <c r="D623" s="18" t="inlineStr">
        <is>
          <t>Approval required</t>
        </is>
      </c>
      <c r="E623" s="18" t="n"/>
      <c r="F623" s="17" t="n">
        <v>3304003</v>
      </c>
      <c r="G623" s="18" t="inlineStr">
        <is>
          <t>Amperel</t>
        </is>
      </c>
      <c r="H623" s="18" t="inlineStr">
        <is>
          <t>SENSODINE</t>
        </is>
      </c>
      <c r="I623" s="18" t="inlineStr">
        <is>
          <t>SENSODYNE M/WASH COOLMINT 500ML</t>
        </is>
      </c>
      <c r="J623" s="18" t="inlineStr">
        <is>
          <t>No</t>
        </is>
      </c>
      <c r="K623" s="18" t="inlineStr">
        <is>
          <t>https://www.amazon.de/-/en/SENSODYNE-M-WASH-COOLMINT-500ML/dp/B0105Y5NSE/ref=sr_1_4?crid=1YY8AM4EITKG8&amp;dib=eyJ2IjoiMSJ9.u1MIgp2WKViAfKrYBnuxDYf97wuTicUQKp_c1b2qndT7H65Pqji7mxh9UesyYleZL4TDXh5GdU00Gz52CJzTU7EU4238iH2oJMl2bXYmbpvKWMe4-IzsQxIiouO-rAPYELLVHqElTIYmBuu6SD_QAGVG66EoMYr7jevv7Ab4EOg.lU-PL-LdCDXGo2EWit8OVBdALcsPSnwH6ZiLxOe3bu4&amp;dib_tag=se&amp;keywords=sensodyne+cool+mint+500ml&amp;qid=1756993077&amp;sprefix=sensodine+cool+mint+500ml%2Caps%2C120&amp;sr=8-4</t>
        </is>
      </c>
      <c r="L623" s="18" t="inlineStr">
        <is>
          <t>B0105Y5NSE</t>
        </is>
      </c>
      <c r="M623" s="19" t="n"/>
      <c r="N623" s="19" t="n"/>
      <c r="O623" s="19" t="n">
        <v>13.7</v>
      </c>
      <c r="P623" s="19">
        <f>O623/1.19</f>
        <v/>
      </c>
      <c r="Q623" s="19">
        <f>O623-P623</f>
        <v/>
      </c>
      <c r="R623" s="19">
        <f>O623*0.15</f>
        <v/>
      </c>
      <c r="S623" s="19" t="n">
        <v>4.95</v>
      </c>
      <c r="T623" s="19">
        <f>S623*0.2</f>
        <v/>
      </c>
      <c r="U623" s="19" t="n">
        <v>0.400000000000002</v>
      </c>
      <c r="V623" s="19" t="n">
        <v>4.2</v>
      </c>
      <c r="W623" s="19">
        <f>V623*0.2</f>
        <v/>
      </c>
      <c r="X623" s="16">
        <f>O623-Q623-R623-S623-U623-V623+T623+W623</f>
        <v/>
      </c>
      <c r="Y623" s="18" t="n"/>
      <c r="Z623" s="19">
        <f>O623+1.5</f>
        <v/>
      </c>
      <c r="AA623" s="19" t="n"/>
      <c r="AB623" s="19" t="n"/>
      <c r="AC623" s="18" t="n"/>
      <c r="AD623" s="18" t="n"/>
      <c r="AE623" s="13" t="inlineStr">
        <is>
          <t>NOT_UPLOADED</t>
        </is>
      </c>
    </row>
    <row r="624" ht="16" customHeight="1">
      <c r="A624" s="12" t="n">
        <v>3600524150570</v>
      </c>
      <c r="B624" s="12" t="n">
        <v>3600524150570</v>
      </c>
      <c r="C624" s="13" t="n"/>
      <c r="D624" s="14" t="n"/>
      <c r="E624" s="14" t="inlineStr">
        <is>
          <t>DM-3600524150570</t>
        </is>
      </c>
      <c r="F624" s="12" t="n">
        <v>1452929</v>
      </c>
      <c r="G624" s="14" t="inlineStr">
        <is>
          <t>DM</t>
        </is>
      </c>
      <c r="H624" s="14" t="inlineStr">
        <is>
          <t>Loreal</t>
        </is>
      </c>
      <c r="I624" s="14" t="inlineStr">
        <is>
          <t>L'Oréal Paris Flüssiger Highlighter für Gesicht und Körper mit Glycerin und Sheabutter, Perfect Match Lumi Glotion, Natural Glow Enhancer, 903 Medium Glow, 40 ml</t>
        </is>
      </c>
      <c r="J624" s="14" t="inlineStr">
        <is>
          <t>No</t>
        </is>
      </c>
      <c r="K624" s="14" t="inlineStr">
        <is>
          <t>https://www.amazon.de/LOr%C3%A9al-Paris-Fl%C3%BCssiger-Highlighter-Sheabutter/dp/B0CPT5TB7K/ref=sr_1_1?__mk_de_DE=%C3%85M%C3%85%C5%BD%C3%95%C3%91&amp;crid=3RW68Y9YGNGZL&amp;dib=eyJ2IjoiMSJ9.5I4DNXYAfB4tM6DlHJSBSw.mOYbIb8RAHtOcp4pTaqdGA1o5umcOYBcxkuj4PyMlyU&amp;dib_tag=se&amp;keywords=B0CPT5TB7K&amp;qid=1756549853&amp;sprefix=b0cpt5tb7k%2Caps%2C132&amp;sr=8-1&amp;th=1</t>
        </is>
      </c>
      <c r="L624" s="14" t="inlineStr">
        <is>
          <t>B0CPT5TB7K</t>
        </is>
      </c>
      <c r="M624" s="15" t="n"/>
      <c r="N624" s="15" t="n"/>
      <c r="O624" s="15" t="n">
        <v>15.85</v>
      </c>
      <c r="P624" s="15">
        <f>O624/1.19</f>
        <v/>
      </c>
      <c r="Q624" s="15">
        <f>O624-P624</f>
        <v/>
      </c>
      <c r="R624" s="15">
        <f>O624*0.15</f>
        <v/>
      </c>
      <c r="S624" s="15" t="n">
        <v>8.390000000000001</v>
      </c>
      <c r="T624" s="15">
        <f>S624*0.2</f>
        <v/>
      </c>
      <c r="U624" s="15" t="n">
        <v>0.400000000000002</v>
      </c>
      <c r="V624" s="15" t="n">
        <v>2</v>
      </c>
      <c r="W624" s="15">
        <f>V624*0.2</f>
        <v/>
      </c>
      <c r="X624" s="21">
        <f>O624-Q624-R624-S624-U624-V624+T624+W624</f>
        <v/>
      </c>
      <c r="Y624" s="14" t="n"/>
      <c r="Z624" s="15">
        <f>O624+1.5</f>
        <v/>
      </c>
      <c r="AA624" s="15" t="n"/>
      <c r="AB624" s="15" t="n"/>
      <c r="AC624" s="14" t="n"/>
      <c r="AD624" s="14" t="n"/>
      <c r="AE624" s="13" t="inlineStr">
        <is>
          <t>NOT_UPLOADED</t>
        </is>
      </c>
    </row>
    <row r="625" ht="16" customHeight="1">
      <c r="A625" s="17" t="n">
        <v>3600524150563</v>
      </c>
      <c r="B625" s="17" t="n">
        <v>3600524150563</v>
      </c>
      <c r="C625" s="13" t="n"/>
      <c r="D625" s="18" t="n"/>
      <c r="E625" s="18" t="inlineStr">
        <is>
          <t>DM- 3600524150563</t>
        </is>
      </c>
      <c r="F625" s="17" t="n">
        <v>1452923</v>
      </c>
      <c r="G625" s="18" t="inlineStr">
        <is>
          <t>DM</t>
        </is>
      </c>
      <c r="H625" s="18" t="inlineStr">
        <is>
          <t>Loreal</t>
        </is>
      </c>
      <c r="I625" s="18" t="inlineStr">
        <is>
          <t>L'Oréal Paris Flüssiger Highlighter für Gesicht und Körper mit Glycerin und Sheabutter, Perfect Match Lumi Glotion, Natural Glow Enhancer, 902 Light Glow, 40 ml</t>
        </is>
      </c>
      <c r="J625" s="18" t="inlineStr">
        <is>
          <t>No</t>
        </is>
      </c>
      <c r="K625" s="18" t="inlineStr">
        <is>
          <t>https://www.amazon.de/LOr%C3%A9al-Paris-Fl%C3%BCssiger-Highlighter-Sheabutter/dp/B0CPT722P5/ref=sr_1_1?__mk_de_DE=%C3%85M%C3%85%C5%BD%C3%95%C3%91&amp;crid=3RW68Y9YGNGZL&amp;dib=eyJ2IjoiMSJ9.5I4DNXYAfB4tM6DlHJSBSw.mOYbIb8RAHtOcp4pTaqdGA1o5umcOYBcxkuj4PyMlyU&amp;dib_tag=se&amp;keywords=B0CPT5TB7K&amp;qid=1756549853&amp;sprefix=b0cpt5tb7k%2Caps%2C132&amp;sr=8-1&amp;th=1</t>
        </is>
      </c>
      <c r="L625" s="18" t="inlineStr">
        <is>
          <t>B0CPT722P5</t>
        </is>
      </c>
      <c r="M625" s="19" t="n"/>
      <c r="N625" s="19" t="n"/>
      <c r="O625" s="19" t="n">
        <v>15.85</v>
      </c>
      <c r="P625" s="19">
        <f>O625/1.19</f>
        <v/>
      </c>
      <c r="Q625" s="19">
        <f>O625-P625</f>
        <v/>
      </c>
      <c r="R625" s="19">
        <f>O625*0.15</f>
        <v/>
      </c>
      <c r="S625" s="19" t="n">
        <v>8.06</v>
      </c>
      <c r="T625" s="19">
        <f>S625*0.2</f>
        <v/>
      </c>
      <c r="U625" s="19" t="n">
        <v>0.400000000000002</v>
      </c>
      <c r="V625" s="19" t="n">
        <v>2</v>
      </c>
      <c r="W625" s="19">
        <f>V625*0.2</f>
        <v/>
      </c>
      <c r="X625" s="21">
        <f>O625-Q625-R625-S625-U625-V625+T625+W625</f>
        <v/>
      </c>
      <c r="Y625" s="18" t="n"/>
      <c r="Z625" s="19">
        <f>O625+1.5</f>
        <v/>
      </c>
      <c r="AA625" s="19" t="n"/>
      <c r="AB625" s="19" t="n"/>
      <c r="AC625" s="18" t="n"/>
      <c r="AD625" s="18" t="n"/>
      <c r="AE625" s="13" t="inlineStr">
        <is>
          <t>NOT_UPLOADED</t>
        </is>
      </c>
    </row>
    <row r="626" ht="16" customHeight="1">
      <c r="A626" s="12" t="n">
        <v>3600531502768</v>
      </c>
      <c r="B626" s="12" t="n">
        <v>3600531502768</v>
      </c>
      <c r="C626" s="13" t="n"/>
      <c r="D626" s="14" t="n"/>
      <c r="E626" s="14" t="inlineStr">
        <is>
          <t>DM-3600531502768</t>
        </is>
      </c>
      <c r="F626" s="12" t="n">
        <v>1616956</v>
      </c>
      <c r="G626" s="14" t="inlineStr">
        <is>
          <t>DM</t>
        </is>
      </c>
      <c r="H626" s="14" t="inlineStr">
        <is>
          <t>Maybelline</t>
        </is>
      </c>
      <c r="I626" s="14" t="inlineStr">
        <is>
          <t>Maybelline New York Eyeliner, Hyper Precise Everyday Liner, Smudge-proof and Waterproof</t>
        </is>
      </c>
      <c r="J626" s="14" t="inlineStr">
        <is>
          <t>No</t>
        </is>
      </c>
      <c r="K626" s="14" t="inlineStr">
        <is>
          <t>https://www.amazon.de/-/en/Maybelline-Eyeliner-Everyday-Smudge-proof-Waterproof/dp/B07CGYK8FV/ref=sr_1_2?crid=3ETOZA6S3ARX5&amp;dib=eyJ2IjoiMSJ9.mNCRJrxpmHD6MUkGFX3XMfiUugFJlym7hkt_POw4ivk.OEBMcIyjUIR7ZQRMpxJ2JfcdfnpcSZFeRGI6RClOXYE&amp;dib_tag=se&amp;keywords=3600531502768&amp;qid=1756712202&amp;sprefix=3600531502768%2Caps%2C549&amp;sr=8-2&amp;th=1</t>
        </is>
      </c>
      <c r="L626" s="14" t="inlineStr">
        <is>
          <t>B07CGYK8FV</t>
        </is>
      </c>
      <c r="M626" s="15" t="n">
        <v>9.6</v>
      </c>
      <c r="N626" s="15" t="n"/>
      <c r="O626" s="15" t="n">
        <v>9.9</v>
      </c>
      <c r="P626" s="15">
        <f>O626/1.19</f>
        <v/>
      </c>
      <c r="Q626" s="15">
        <f>O626-P626</f>
        <v/>
      </c>
      <c r="R626" s="15">
        <f>O626*0.15</f>
        <v/>
      </c>
      <c r="S626" s="15" t="n">
        <v>4.5</v>
      </c>
      <c r="T626" s="15">
        <f>S626*0.2</f>
        <v/>
      </c>
      <c r="U626" s="15" t="n">
        <v>0.400000000000002</v>
      </c>
      <c r="V626" s="15" t="n">
        <v>2</v>
      </c>
      <c r="W626" s="15">
        <f>V626*0.2</f>
        <v/>
      </c>
      <c r="X626" s="16">
        <f>O626-Q626-R626-S626-U626-V626+T626+W626</f>
        <v/>
      </c>
      <c r="Y626" s="14" t="n"/>
      <c r="Z626" s="15">
        <f>O626+1.5</f>
        <v/>
      </c>
      <c r="AA626" s="15" t="n"/>
      <c r="AB626" s="15" t="n"/>
      <c r="AC626" s="14" t="n"/>
      <c r="AD626" s="14" t="n"/>
      <c r="AE626" s="13" t="inlineStr">
        <is>
          <t>NOT_UPLOADED</t>
        </is>
      </c>
    </row>
    <row r="627" ht="16" customHeight="1">
      <c r="A627" s="17" t="n">
        <v>3600531502768</v>
      </c>
      <c r="B627" s="17" t="n">
        <v>3600531502768</v>
      </c>
      <c r="C627" s="13" t="n"/>
      <c r="D627" s="18" t="n"/>
      <c r="E627" s="18" t="inlineStr">
        <is>
          <t>D-3600531502768</t>
        </is>
      </c>
      <c r="F627" s="17" t="n">
        <v>1616956</v>
      </c>
      <c r="G627" s="18" t="inlineStr">
        <is>
          <t>DM</t>
        </is>
      </c>
      <c r="H627" s="18" t="inlineStr">
        <is>
          <t>Maybelline</t>
        </is>
      </c>
      <c r="I627" s="18" t="inlineStr">
        <is>
          <t>Maybelline New York Hyper Precise Eyeliner Liner Fine Blue Tip 760 Sapphire Blue 1 ml</t>
        </is>
      </c>
      <c r="J627" s="18" t="inlineStr">
        <is>
          <t>No</t>
        </is>
      </c>
      <c r="K627" s="18" t="inlineStr">
        <is>
          <t>https://www.amazon.de/-/en/Maybelline-Hyper-Precise-Eyeliner-Sapphire/dp/B07B5723F6/ref=sr_1_4?crid=3ETOZA6S3ARX5&amp;dib=eyJ2IjoiMSJ9.mNCRJrxpmHD6MUkGFX3XMfiUugFJlym7hkt_POw4ivk.OEBMcIyjUIR7ZQRMpxJ2JfcdfnpcSZFeRGI6RClOXYE&amp;dib_tag=se&amp;keywords=3600531502768&amp;qid=1756712877&amp;sprefix=3600531502768%2Caps%2C549&amp;sr=8-4&amp;th=1</t>
        </is>
      </c>
      <c r="L627" s="18" t="inlineStr">
        <is>
          <t>B07B5723F6</t>
        </is>
      </c>
      <c r="M627" s="19" t="n"/>
      <c r="N627" s="19" t="n"/>
      <c r="O627" s="19" t="n">
        <v>9.9</v>
      </c>
      <c r="P627" s="19">
        <f>O627/1.19</f>
        <v/>
      </c>
      <c r="Q627" s="19">
        <f>O627-P627</f>
        <v/>
      </c>
      <c r="R627" s="19">
        <f>O627*0.15</f>
        <v/>
      </c>
      <c r="S627" s="19" t="n">
        <v>4.5</v>
      </c>
      <c r="T627" s="19">
        <f>S627*0.2</f>
        <v/>
      </c>
      <c r="U627" s="19" t="n">
        <v>0.400000000000002</v>
      </c>
      <c r="V627" s="19" t="n">
        <v>2</v>
      </c>
      <c r="W627" s="19">
        <f>V627*0.2</f>
        <v/>
      </c>
      <c r="X627" s="16">
        <f>O627-Q627-R627-S627-U627-V627+T627+W627</f>
        <v/>
      </c>
      <c r="Y627" s="18" t="n"/>
      <c r="Z627" s="19">
        <f>O627+1.5</f>
        <v/>
      </c>
      <c r="AA627" s="19" t="n"/>
      <c r="AB627" s="19" t="n"/>
      <c r="AC627" s="18" t="n"/>
      <c r="AD627" s="18" t="n"/>
      <c r="AE627" s="13" t="inlineStr">
        <is>
          <t>NOT_UPLOADED</t>
        </is>
      </c>
    </row>
    <row r="628" ht="16" customHeight="1">
      <c r="A628" s="12" t="n">
        <v>3600530730308</v>
      </c>
      <c r="B628" s="12" t="n">
        <v>3600530730308</v>
      </c>
      <c r="C628" s="13" t="n"/>
      <c r="D628" s="14" t="n"/>
      <c r="E628" s="14" t="inlineStr">
        <is>
          <t>DM-3600530730308</t>
        </is>
      </c>
      <c r="F628" s="12" t="n">
        <v>1319963</v>
      </c>
      <c r="G628" s="14" t="inlineStr">
        <is>
          <t>DM</t>
        </is>
      </c>
      <c r="H628" s="14" t="inlineStr">
        <is>
          <t>Maybelline</t>
        </is>
      </c>
      <c r="I628" s="14" t="inlineStr">
        <is>
          <t>Maybelline New York Unisex Black MAYBELLINE Master Precise Liquid Eyeliner Black 1UN, , Black</t>
        </is>
      </c>
      <c r="J628" s="14" t="inlineStr">
        <is>
          <t>No</t>
        </is>
      </c>
      <c r="K628" s="14" t="inlineStr">
        <is>
          <t>https://www.amazon.de/-/en/Maybelline-Unisex-MAYBELLINE-Precise-Eyeliner/dp/B01IVG6H24/ref=sr_1_15_mod_primary_new?crid=I1OBOSNY4LSP&amp;dib=eyJ2IjoiMSJ9.3Z13yaQHK8gPwPiv1FdwCZjmazX_L9tA53RT7xrE-EhdIqLR34yG3enJqFyukvazeRxEcwjAaPAdBKKu9bzscDWrHzKMKnGhrptsgx9BVKaCygiaBWmqyVo14YOg5LvEDMm64C8LIdbXgu88L6zrFwDCUc8oRkUrvsHLChN2VKF66EDCxR1o0SGUz__KJhG_ajyI5oeQu0mMD_NkHx9-fzPSGBlOX7cmwSk_Orxe1_KLLLmqxPJ_Ouy_7y1fvyxf8a9NLHOzGMboFtNuhSH3WdUuIDMho7_0vSW_hu5R3SI.svEjg-MJJm3An0U9rMvm-VMe1rMvX5GY_Y92wa6A7G8&amp;dib_tag=se&amp;keywords=maybelline+hyper+precise+black&amp;qid=1756713198&amp;sbo=RZvfv%2F%2FHxDF%2BO5021pAnSA%3D%3D&amp;sprefix=maybelline+hyper+precise+black%2Caps%2C143&amp;sr=8-15</t>
        </is>
      </c>
      <c r="L628" s="14" t="inlineStr">
        <is>
          <t>B01IVG6H24</t>
        </is>
      </c>
      <c r="M628" s="15" t="n">
        <v>12.5</v>
      </c>
      <c r="N628" s="15" t="n"/>
      <c r="O628" s="15" t="n">
        <v>11.4</v>
      </c>
      <c r="P628" s="15">
        <f>O628/1.19</f>
        <v/>
      </c>
      <c r="Q628" s="15">
        <f>O628-P628</f>
        <v/>
      </c>
      <c r="R628" s="15">
        <f>O628*0.15</f>
        <v/>
      </c>
      <c r="S628" s="15" t="n">
        <v>4.5</v>
      </c>
      <c r="T628" s="15">
        <f>S628*0.2</f>
        <v/>
      </c>
      <c r="U628" s="15" t="n">
        <v>0.400000000000002</v>
      </c>
      <c r="V628" s="15" t="n">
        <v>2</v>
      </c>
      <c r="W628" s="15">
        <f>V628*0.2</f>
        <v/>
      </c>
      <c r="X628" s="21">
        <f>O628-Q628-R628-S628-U628-V628+T628+W628</f>
        <v/>
      </c>
      <c r="Y628" s="14" t="n"/>
      <c r="Z628" s="15">
        <f>O628+1.5</f>
        <v/>
      </c>
      <c r="AA628" s="15" t="n"/>
      <c r="AB628" s="15" t="n"/>
      <c r="AC628" s="14" t="n"/>
      <c r="AD628" s="14" t="n"/>
      <c r="AE628" s="13" t="inlineStr">
        <is>
          <t>NOT_UPLOADED</t>
        </is>
      </c>
    </row>
    <row r="629" ht="16" customHeight="1">
      <c r="A629" s="17" t="n">
        <v>3600531669454</v>
      </c>
      <c r="B629" s="17" t="n">
        <v>3600531669454</v>
      </c>
      <c r="C629" s="13" t="n"/>
      <c r="D629" s="18" t="n"/>
      <c r="E629" s="18" t="inlineStr">
        <is>
          <t>DM-3600531669454</t>
        </is>
      </c>
      <c r="F629" s="17" t="n">
        <v>1677874</v>
      </c>
      <c r="G629" s="18" t="inlineStr">
        <is>
          <t>DM</t>
        </is>
      </c>
      <c r="H629" s="18" t="inlineStr">
        <is>
          <t>Maybelline</t>
        </is>
      </c>
      <c r="I629" s="18" t="inlineStr">
        <is>
          <t>Maybelline New York Liquid Eyeliner, Waterproof, Smudge-proof and Long-Lasting, Vegan, Tattoo Liner Ink Eyeliner, Black, 1 ml</t>
        </is>
      </c>
      <c r="J629" s="18" t="inlineStr">
        <is>
          <t>No</t>
        </is>
      </c>
      <c r="K629" s="18" t="inlineStr">
        <is>
          <t>https://www.amazon.de/dp/B0BM9PVC6W/ref=twister_B0DKL372Z7?_encoding=UTF8&amp;th=1</t>
        </is>
      </c>
      <c r="L629" s="18" t="inlineStr">
        <is>
          <t>B0BM9PVC6W</t>
        </is>
      </c>
      <c r="M629" s="19" t="n"/>
      <c r="N629" s="19" t="n"/>
      <c r="O629" s="19" t="n">
        <v>12.5</v>
      </c>
      <c r="P629" s="19">
        <f>O629/1.19</f>
        <v/>
      </c>
      <c r="Q629" s="19">
        <f>O629-P629</f>
        <v/>
      </c>
      <c r="R629" s="19">
        <f>O629*0.15</f>
        <v/>
      </c>
      <c r="S629" s="19" t="n">
        <v>6.55</v>
      </c>
      <c r="T629" s="19">
        <f>S629*0.2</f>
        <v/>
      </c>
      <c r="U629" s="19" t="n">
        <v>0.400000000000002</v>
      </c>
      <c r="V629" s="19" t="n">
        <v>2</v>
      </c>
      <c r="W629" s="19">
        <f>V629*0.2</f>
        <v/>
      </c>
      <c r="X629" s="16">
        <f>O629-Q629-R629-S629-U629-V629+T629+W629</f>
        <v/>
      </c>
      <c r="Y629" s="18" t="n"/>
      <c r="Z629" s="19">
        <f>O629+1.5</f>
        <v/>
      </c>
      <c r="AA629" s="19" t="n"/>
      <c r="AB629" s="19" t="n"/>
      <c r="AC629" s="18" t="n"/>
      <c r="AD629" s="18" t="n"/>
      <c r="AE629" s="13" t="inlineStr">
        <is>
          <t>NOT_UPLOADED</t>
        </is>
      </c>
    </row>
    <row r="630" ht="16" customHeight="1">
      <c r="A630" s="12" t="n">
        <v>3600531047795</v>
      </c>
      <c r="B630" s="12" t="n">
        <v>3600531047795</v>
      </c>
      <c r="C630" s="13" t="n"/>
      <c r="D630" s="14" t="n"/>
      <c r="E630" s="14" t="inlineStr">
        <is>
          <t>DM-3600531047795</t>
        </is>
      </c>
      <c r="F630" s="12" t="n">
        <v>1411840</v>
      </c>
      <c r="G630" s="14" t="inlineStr">
        <is>
          <t>DM</t>
        </is>
      </c>
      <c r="H630" s="14" t="inlineStr">
        <is>
          <t>Maybelline</t>
        </is>
      </c>
      <c r="I630" s="14" t="inlineStr">
        <is>
          <t>Maybelline New York Eyeliner, Hyper Precise Everyday Liner, Smudge-proof and Waterproof</t>
        </is>
      </c>
      <c r="J630" s="14" t="inlineStr">
        <is>
          <t>No</t>
        </is>
      </c>
      <c r="K630" s="14" t="inlineStr">
        <is>
          <t>https://www.amazon.de/-/en/Maybelline-Eyeliner-Everyday-Smudge-proof-Waterproof/dp/B00K8PKSWW/ref=sr_1_2?crid=3EG0VG3NGYZHJ&amp;dib=eyJ2IjoiMSJ9.Ka5fR3uFMDQkId9SnI8pXJi4WtA9EeK9YGFHFYNYgrVk5nYKOt-MdtgbNM99rQF3.mChDXZATsD5RMm0nwGNAIDAPkLJZBt445ElBXsMxnJM&amp;dib_tag=se&amp;keywords=3600531047795&amp;qid=1756714968&amp;s=beauty&amp;sprefix=3600531047795%2Cbeauty%2C102&amp;sr=1-2&amp;th=1</t>
        </is>
      </c>
      <c r="L630" s="14" t="inlineStr">
        <is>
          <t>B00K8PKSWW</t>
        </is>
      </c>
      <c r="M630" s="15" t="n">
        <v>9.6</v>
      </c>
      <c r="N630" s="15" t="n"/>
      <c r="O630" s="15" t="n">
        <v>9.9</v>
      </c>
      <c r="P630" s="15">
        <f>O630/1.19</f>
        <v/>
      </c>
      <c r="Q630" s="15">
        <f>O630-P630</f>
        <v/>
      </c>
      <c r="R630" s="15">
        <f>O630*0.15</f>
        <v/>
      </c>
      <c r="S630" s="15" t="n">
        <v>4.5</v>
      </c>
      <c r="T630" s="15">
        <f>S630*0.2</f>
        <v/>
      </c>
      <c r="U630" s="15" t="n">
        <v>0.400000000000002</v>
      </c>
      <c r="V630" s="15" t="n">
        <v>2</v>
      </c>
      <c r="W630" s="15">
        <f>V630*0.2</f>
        <v/>
      </c>
      <c r="X630" s="16">
        <f>O630-Q630-R630-S630-U630-V630+T630+W630</f>
        <v/>
      </c>
      <c r="Y630" s="14" t="n"/>
      <c r="Z630" s="15">
        <f>O630+1.5</f>
        <v/>
      </c>
      <c r="AA630" s="15" t="n"/>
      <c r="AB630" s="15" t="n"/>
      <c r="AC630" s="14" t="n"/>
      <c r="AD630" s="14" t="n"/>
      <c r="AE630" s="13" t="inlineStr">
        <is>
          <t>NOT_UPLOADED</t>
        </is>
      </c>
    </row>
    <row r="631" ht="16" customHeight="1">
      <c r="A631" s="17" t="n">
        <v>3600531047795</v>
      </c>
      <c r="B631" s="17" t="n">
        <v>3600531047795</v>
      </c>
      <c r="C631" s="13" t="n"/>
      <c r="D631" s="18" t="n"/>
      <c r="E631" s="18" t="inlineStr">
        <is>
          <t>D-3600531047795</t>
        </is>
      </c>
      <c r="F631" s="17" t="n">
        <v>1411840</v>
      </c>
      <c r="G631" s="18" t="inlineStr">
        <is>
          <t>DM</t>
        </is>
      </c>
      <c r="H631" s="18" t="inlineStr">
        <is>
          <t>Maybelline</t>
        </is>
      </c>
      <c r="I631" s="18" t="inlineStr">
        <is>
          <t>Precise Liner 001 Eye Contours</t>
        </is>
      </c>
      <c r="J631" s="18" t="inlineStr">
        <is>
          <t>No</t>
        </is>
      </c>
      <c r="K631" s="18" t="inlineStr">
        <is>
          <t>https://www.amazon.de/-/en/Precise-Liner-001-Eye-Contours/dp/B07P7Q6S3T/ref=sr_1_3?crid=3EG0VG3NGYZHJ&amp;dib=eyJ2IjoiMSJ9.Ka5fR3uFMDQkId9SnI8pXJi4WtA9EeK9YGFHFYNYgrVk5nYKOt-MdtgbNM99rQF3.mChDXZATsD5RMm0nwGNAIDAPkLJZBt445ElBXsMxnJM&amp;dib_tag=se&amp;keywords=3600531047795&amp;qid=1756714968&amp;s=beauty&amp;sprefix=3600531047795%2Cbeauty%2C102&amp;sr=1-3</t>
        </is>
      </c>
      <c r="L631" s="18" t="inlineStr">
        <is>
          <t>B07P7Q6S3T</t>
        </is>
      </c>
      <c r="M631" s="19" t="n"/>
      <c r="N631" s="19" t="n"/>
      <c r="O631" s="19" t="n">
        <v>11.4</v>
      </c>
      <c r="P631" s="19">
        <f>O631/1.19</f>
        <v/>
      </c>
      <c r="Q631" s="19">
        <f>O631-P631</f>
        <v/>
      </c>
      <c r="R631" s="19">
        <f>O631*0.15</f>
        <v/>
      </c>
      <c r="S631" s="19" t="n">
        <v>4.5</v>
      </c>
      <c r="T631" s="19">
        <f>S631*0.2</f>
        <v/>
      </c>
      <c r="U631" s="19" t="n">
        <v>0.400000000000002</v>
      </c>
      <c r="V631" s="19" t="n">
        <v>2</v>
      </c>
      <c r="W631" s="19">
        <f>V631*0.2</f>
        <v/>
      </c>
      <c r="X631" s="21">
        <f>O631-Q631-R631-S631-U631-V631+T631+W631</f>
        <v/>
      </c>
      <c r="Y631" s="18" t="n"/>
      <c r="Z631" s="19">
        <f>O631+1.5</f>
        <v/>
      </c>
      <c r="AA631" s="19" t="n"/>
      <c r="AB631" s="19" t="n"/>
      <c r="AC631" s="18" t="n"/>
      <c r="AD631" s="18" t="n"/>
      <c r="AE631" s="13" t="inlineStr">
        <is>
          <t>NOT_UPLOADED</t>
        </is>
      </c>
    </row>
    <row r="632" ht="16" customHeight="1">
      <c r="A632" s="12" t="n">
        <v>3600531684914</v>
      </c>
      <c r="B632" s="12" t="n">
        <v>3600531684914</v>
      </c>
      <c r="C632" s="13" t="n"/>
      <c r="D632" s="14" t="n"/>
      <c r="E632" s="14" t="inlineStr">
        <is>
          <t>DM-3600531684914</t>
        </is>
      </c>
      <c r="F632" s="12" t="n">
        <v>1313223</v>
      </c>
      <c r="G632" s="14" t="inlineStr">
        <is>
          <t>DM</t>
        </is>
      </c>
      <c r="H632" s="14" t="inlineStr">
        <is>
          <t>Maybelline</t>
        </is>
      </c>
      <c r="I632" s="14" t="inlineStr">
        <is>
          <t>Maybelline New York Lasting Drama Black Out Drama</t>
        </is>
      </c>
      <c r="J632" s="14" t="inlineStr">
        <is>
          <t>No</t>
        </is>
      </c>
      <c r="K632" s="14" t="inlineStr">
        <is>
          <t>https://www.amazon.de/-/en/Maybelline-York-Lasting-Drama-Black/dp/B0CK8MHXGJ/ref=sr_1_1?crid=16PG1AOXQ6YPU&amp;dib=eyJ2IjoiMSJ9.-wFbqb5TVj--9OPgJ0ouhw.ykfn9QLcYFTjtULY71z8Dugl2eSjDdYa7LODr19zcrI&amp;dib_tag=se&amp;keywords=3600531684914&amp;qid=1756715786&amp;s=beauty&amp;sprefix=3600531684914%2Cbeauty%2C520&amp;sr=1-1&amp;th=1</t>
        </is>
      </c>
      <c r="L632" s="14" t="inlineStr">
        <is>
          <t>B0CK8MHXGJ</t>
        </is>
      </c>
      <c r="M632" s="15" t="n"/>
      <c r="N632" s="15" t="n"/>
      <c r="O632" s="15" t="n">
        <v>6.7</v>
      </c>
      <c r="P632" s="15">
        <f>O632/1.19</f>
        <v/>
      </c>
      <c r="Q632" s="15">
        <f>O632-P632</f>
        <v/>
      </c>
      <c r="R632" s="15">
        <f>O632*0.15</f>
        <v/>
      </c>
      <c r="S632" s="15" t="n">
        <v>2.25</v>
      </c>
      <c r="T632" s="15">
        <f>S632*0.2</f>
        <v/>
      </c>
      <c r="U632" s="15" t="n">
        <v>0.400000000000002</v>
      </c>
      <c r="V632" s="15" t="n">
        <v>2</v>
      </c>
      <c r="W632" s="15">
        <f>V632*0.2</f>
        <v/>
      </c>
      <c r="X632" s="22">
        <f>O632-Q632-R632-S632-U632-V632+T632+W632</f>
        <v/>
      </c>
      <c r="Y632" s="14" t="n"/>
      <c r="Z632" s="15">
        <f>O632+1.5</f>
        <v/>
      </c>
      <c r="AA632" s="15" t="n"/>
      <c r="AB632" s="15" t="n"/>
      <c r="AC632" s="14" t="n"/>
      <c r="AD632" s="14" t="n"/>
      <c r="AE632" s="13" t="inlineStr">
        <is>
          <t>NOT_UPLOADED</t>
        </is>
      </c>
    </row>
    <row r="633" ht="16" customHeight="1">
      <c r="A633" s="17" t="n"/>
      <c r="B633" s="17" t="n">
        <v>3600531684938</v>
      </c>
      <c r="C633" s="13" t="n"/>
      <c r="D633" s="18" t="n"/>
      <c r="E633" s="18" t="inlineStr">
        <is>
          <t>DM-3600531684938</t>
        </is>
      </c>
      <c r="F633" s="17" t="n">
        <v>1313316</v>
      </c>
      <c r="G633" s="18" t="inlineStr">
        <is>
          <t>DM</t>
        </is>
      </c>
      <c r="H633" s="18" t="inlineStr">
        <is>
          <t>Maybelline</t>
        </is>
      </c>
      <c r="I633" s="18" t="inlineStr">
        <is>
          <t>MAYBELLINE New York Lasting Drama - Waterproof Eyeliner Pen - Highlighted &amp; Intense - Matte Powder Finish - 36H Hold - Automatic Pencil Tip - Ultra Pigmented Formula - Brown Sugar</t>
        </is>
      </c>
      <c r="J633" s="18" t="inlineStr">
        <is>
          <t>No</t>
        </is>
      </c>
      <c r="K633" s="18" t="inlineStr">
        <is>
          <t>https://www.amazon.de/-/en/MAYBELLINE-NEW-YORK-Waterproof-Highlighted/dp/B0CK8PVF6J/ref=sr_1_1?crid=JBKKCLGMTWLX&amp;dib=eyJ2IjoiMSJ9.dRXeVbuTuH3iHoT0NrAPYQ.L6hcOhiBcS5AhHuYx12mA_qRWkrj7u3Wsom9CvRGpfg&amp;dib_tag=se&amp;keywords=3600531684938&amp;qid=1756715972&amp;s=beauty&amp;sprefix=3600531684938%2Cbeauty%2C194&amp;sr=1-1&amp;th=1</t>
        </is>
      </c>
      <c r="L633" s="18" t="inlineStr">
        <is>
          <t>B0CK8PVF6J</t>
        </is>
      </c>
      <c r="M633" s="19" t="n"/>
      <c r="N633" s="19" t="n"/>
      <c r="O633" s="19" t="n">
        <v>6.7</v>
      </c>
      <c r="P633" s="19">
        <f>O633/1.19</f>
        <v/>
      </c>
      <c r="Q633" s="19">
        <f>O633-P633</f>
        <v/>
      </c>
      <c r="R633" s="19">
        <f>O633*0.15</f>
        <v/>
      </c>
      <c r="S633" s="19" t="n">
        <v>2.25</v>
      </c>
      <c r="T633" s="19">
        <f>S633*0.2</f>
        <v/>
      </c>
      <c r="U633" s="19" t="n">
        <v>0.400000000000002</v>
      </c>
      <c r="V633" s="19" t="n">
        <v>2</v>
      </c>
      <c r="W633" s="19">
        <f>V633*0.2</f>
        <v/>
      </c>
      <c r="X633" s="22">
        <f>O633-Q633-R633-S633-U633-V633+T633+W633</f>
        <v/>
      </c>
      <c r="Y633" s="18" t="n"/>
      <c r="Z633" s="19">
        <f>O633+1.5</f>
        <v/>
      </c>
      <c r="AA633" s="19" t="n"/>
      <c r="AB633" s="19" t="n"/>
      <c r="AC633" s="18" t="n"/>
      <c r="AD633" s="18" t="n"/>
      <c r="AE633" s="13" t="inlineStr">
        <is>
          <t>NOT_UPLOADED</t>
        </is>
      </c>
    </row>
    <row r="634" ht="16" customHeight="1">
      <c r="A634" s="12" t="n">
        <v>3600531684945</v>
      </c>
      <c r="B634" s="12" t="n">
        <v>3600531684945</v>
      </c>
      <c r="C634" s="13" t="n"/>
      <c r="D634" s="14" t="n"/>
      <c r="E634" s="14" t="inlineStr">
        <is>
          <t>DM-3600531684945</t>
        </is>
      </c>
      <c r="F634" s="12" t="n">
        <v>1313317</v>
      </c>
      <c r="G634" s="14" t="inlineStr">
        <is>
          <t>DM</t>
        </is>
      </c>
      <c r="H634" s="14" t="inlineStr">
        <is>
          <t>Maybelline</t>
        </is>
      </c>
      <c r="I634" s="14" t="inlineStr">
        <is>
          <t>MAYBELLINE NEW YORK Lasting Drama - Waterproof Eyeliner Pen - Highlighted &amp; Intense - Matte Powder Finish - 36H Hold * - Automatic Pencil Tip - Ultra Pigmented Formula - Green With</t>
        </is>
      </c>
      <c r="J634" s="14" t="inlineStr">
        <is>
          <t>No</t>
        </is>
      </c>
      <c r="K634" s="14" t="inlineStr">
        <is>
          <t>https://www.amazon.de/dp/B0CVB9PW9F/ref=twister_B0F8P411RQ?_encoding=UTF8&amp;th=1</t>
        </is>
      </c>
      <c r="L634" s="14" t="inlineStr">
        <is>
          <t>B0CVB9PW9F</t>
        </is>
      </c>
      <c r="M634" s="15" t="n"/>
      <c r="N634" s="15" t="n"/>
      <c r="O634" s="15" t="n">
        <v>6.7</v>
      </c>
      <c r="P634" s="15">
        <f>O634/1.19</f>
        <v/>
      </c>
      <c r="Q634" s="15">
        <f>O634-P634</f>
        <v/>
      </c>
      <c r="R634" s="15">
        <f>O634*0.15</f>
        <v/>
      </c>
      <c r="S634" s="15" t="n">
        <v>2.25</v>
      </c>
      <c r="T634" s="15">
        <f>S634*0.2</f>
        <v/>
      </c>
      <c r="U634" s="15" t="n">
        <v>0.400000000000002</v>
      </c>
      <c r="V634" s="15" t="n">
        <v>2</v>
      </c>
      <c r="W634" s="15">
        <f>V634*0.2</f>
        <v/>
      </c>
      <c r="X634" s="22">
        <f>O634-Q634-R634-S634-U634-V634+T634+W634</f>
        <v/>
      </c>
      <c r="Y634" s="14" t="n"/>
      <c r="Z634" s="15">
        <f>O634+1.5</f>
        <v/>
      </c>
      <c r="AA634" s="15" t="n"/>
      <c r="AB634" s="15" t="n"/>
      <c r="AC634" s="14" t="n"/>
      <c r="AD634" s="14" t="n"/>
      <c r="AE634" s="13" t="inlineStr">
        <is>
          <t>NOT_UPLOADED</t>
        </is>
      </c>
    </row>
    <row r="635" ht="16" customHeight="1">
      <c r="A635" s="17" t="n">
        <v>3600531531065</v>
      </c>
      <c r="B635" s="17" t="n">
        <v>3600531531065</v>
      </c>
      <c r="C635" s="13" t="n"/>
      <c r="D635" s="18" t="n"/>
      <c r="E635" s="18" t="inlineStr">
        <is>
          <t>DM-3600531531065</t>
        </is>
      </c>
      <c r="F635" s="17" t="n">
        <v>1483108</v>
      </c>
      <c r="G635" s="18" t="inlineStr">
        <is>
          <t>DM</t>
        </is>
      </c>
      <c r="H635" s="18" t="inlineStr">
        <is>
          <t>Maybelline</t>
        </is>
      </c>
      <c r="I635" s="18" t="inlineStr">
        <is>
          <t>Maybelline New York Waterproof Eyeliner with Smudgeproof, Colour-Intense Gel Texture, Tattoo Liner Gel Pencil, No. 900 Deep Onyx (Black), Pack of 1</t>
        </is>
      </c>
      <c r="J635" s="18" t="inlineStr">
        <is>
          <t>No</t>
        </is>
      </c>
      <c r="K635" s="18" t="inlineStr">
        <is>
          <t>https://www.amazon.de/-/en/Maybelline-Waterproof-Eyeliner-Smudgeproof-Colour-Intense/dp/B07KGT94LB/ref=sr_1_1?crid=GXPFUD91INMK&amp;dib=eyJ2IjoiMSJ9.GpT2gYNxDR6Cbw5lmjQTYH8gYgeNyEMkkVU5HQcrRn2PFphb835EF24_N-iOh_jA.Xl9uakyQzefIW0go6GIM00VmMB4a9Lwj51IlcoT1Cgk&amp;dib_tag=se&amp;keywords=3600531531065&amp;qid=1756716399&amp;rdc=1&amp;s=beauty&amp;sprefix=3600531531065%2Cbeauty%2C174&amp;sr=1-1</t>
        </is>
      </c>
      <c r="L635" s="18" t="inlineStr">
        <is>
          <t>B07KGT94LB</t>
        </is>
      </c>
      <c r="M635" s="19" t="n"/>
      <c r="N635" s="19" t="n"/>
      <c r="O635" s="19" t="n">
        <v>9.699999999999999</v>
      </c>
      <c r="P635" s="19">
        <f>O635/1.19</f>
        <v/>
      </c>
      <c r="Q635" s="19">
        <f>O635-P635</f>
        <v/>
      </c>
      <c r="R635" s="19">
        <f>O635*0.15</f>
        <v/>
      </c>
      <c r="S635" s="19" t="n">
        <v>3.89</v>
      </c>
      <c r="T635" s="19">
        <f>S635*0.2</f>
        <v/>
      </c>
      <c r="U635" s="19" t="n">
        <v>0.400000000000002</v>
      </c>
      <c r="V635" s="19" t="n">
        <v>2</v>
      </c>
      <c r="W635" s="19">
        <f>V635*0.2</f>
        <v/>
      </c>
      <c r="X635" s="16">
        <f>O635-Q635-R635-S635-U635-V635+T635+W635</f>
        <v/>
      </c>
      <c r="Y635" s="18" t="n"/>
      <c r="Z635" s="19">
        <f>O635+1.5</f>
        <v/>
      </c>
      <c r="AA635" s="19" t="n"/>
      <c r="AB635" s="19" t="n"/>
      <c r="AC635" s="18" t="n"/>
      <c r="AD635" s="18" t="n"/>
      <c r="AE635" s="13" t="inlineStr">
        <is>
          <t>NOT_UPLOADED</t>
        </is>
      </c>
    </row>
    <row r="636" ht="16" customHeight="1">
      <c r="A636" s="12" t="n">
        <v>3600531638979</v>
      </c>
      <c r="B636" s="12" t="n">
        <v>3600531638979</v>
      </c>
      <c r="C636" s="13" t="n"/>
      <c r="D636" s="14" t="n"/>
      <c r="E636" s="14" t="inlineStr">
        <is>
          <t>DM-3600531638979</t>
        </is>
      </c>
      <c r="F636" s="12" t="n">
        <v>1585974</v>
      </c>
      <c r="G636" s="14" t="inlineStr">
        <is>
          <t>DM</t>
        </is>
      </c>
      <c r="H636" s="14" t="inlineStr">
        <is>
          <t>Maybelline</t>
        </is>
      </c>
      <c r="I636" s="14" t="inlineStr">
        <is>
          <t>Maybelline New York Tattoo Liner Smokey Gel Pencil Brown, Gel Eyeliner</t>
        </is>
      </c>
      <c r="J636" s="14" t="inlineStr">
        <is>
          <t>No</t>
        </is>
      </c>
      <c r="K636" s="14" t="inlineStr">
        <is>
          <t>https://www.amazon.de/-/en/Maybelline-Tattoo-Smokey-Pencil-Eyeliner/dp/B08X58TW14/ref=sr_1_1?crid=NWQP7LCS2F9F&amp;dib=eyJ2IjoiMSJ9.jXofT6pZbl-uvd6bdYFFMA.iU4sX_BNL3LlH0IxliiBk82Sdo22cI7FV299--6WhVI&amp;dib_tag=se&amp;keywords=3600531638979&amp;qid=1756717016&amp;s=beauty&amp;sprefix=3600531638979%2Cbeauty%2C184&amp;sr=1-1&amp;th=1</t>
        </is>
      </c>
      <c r="L636" s="14" t="inlineStr">
        <is>
          <t>B08X58TW14</t>
        </is>
      </c>
      <c r="M636" s="15" t="n"/>
      <c r="N636" s="15" t="n"/>
      <c r="O636" s="15" t="n">
        <v>11.7</v>
      </c>
      <c r="P636" s="15">
        <f>O636/1.19</f>
        <v/>
      </c>
      <c r="Q636" s="15">
        <f>O636-P636</f>
        <v/>
      </c>
      <c r="R636" s="15">
        <f>O636*0.15</f>
        <v/>
      </c>
      <c r="S636" s="15" t="n">
        <v>5.32</v>
      </c>
      <c r="T636" s="15">
        <f>S636*0.2</f>
        <v/>
      </c>
      <c r="U636" s="15" t="n">
        <v>0.400000000000002</v>
      </c>
      <c r="V636" s="15" t="n">
        <v>2</v>
      </c>
      <c r="W636" s="15">
        <f>V636*0.2</f>
        <v/>
      </c>
      <c r="X636" s="16">
        <f>O636-Q636-R636-S636-U636-V636+T636+W636</f>
        <v/>
      </c>
      <c r="Y636" s="14" t="n"/>
      <c r="Z636" s="15">
        <f>O636+1.5</f>
        <v/>
      </c>
      <c r="AA636" s="15" t="n"/>
      <c r="AB636" s="15" t="n"/>
      <c r="AC636" s="14" t="n"/>
      <c r="AD636" s="14" t="n"/>
      <c r="AE636" s="13" t="inlineStr">
        <is>
          <t>NOT_UPLOADED</t>
        </is>
      </c>
    </row>
    <row r="637" ht="16" customHeight="1">
      <c r="A637" s="17" t="n">
        <v>3600531531089</v>
      </c>
      <c r="B637" s="17" t="n">
        <v>3600531531089</v>
      </c>
      <c r="C637" s="13" t="n"/>
      <c r="D637" s="18" t="n"/>
      <c r="E637" s="18" t="inlineStr">
        <is>
          <t>DM-3600531531089</t>
        </is>
      </c>
      <c r="F637" s="17" t="n">
        <v>2108432</v>
      </c>
      <c r="G637" s="18" t="inlineStr">
        <is>
          <t>DM</t>
        </is>
      </c>
      <c r="H637" s="18" t="inlineStr">
        <is>
          <t>Maybelline</t>
        </is>
      </c>
      <c r="I637" s="18" t="inlineStr">
        <is>
          <t>Maybelline Tattoo Liner Lápiz De Ojos Semi-Permanent Waterproof 910 Bold Brown Marrón Oscuro</t>
        </is>
      </c>
      <c r="J637" s="18" t="inlineStr">
        <is>
          <t>No</t>
        </is>
      </c>
      <c r="K637" s="18" t="inlineStr">
        <is>
          <t>https://www.amazon.de/-/en/Maybelline-Tattoo-Semi-Permanent-Waterproof-Marr%C3%B3n/dp/B07KGZB3PP/ref=sr_1_1?crid=2F6RGM3ND4QEN&amp;dib=eyJ2IjoiMSJ9.6zEsWt_xmKSmyI_6_Dbg9A.o9MsacMz0gWS7NlFZ0OAEXHM-UEEIq6zaVzWbRRJFk4&amp;dib_tag=se&amp;keywords=3600531531089&amp;qid=1756717266&amp;s=beauty&amp;sprefix=3600531531089%2Cbeauty%2C183&amp;sr=1-1&amp;th=1</t>
        </is>
      </c>
      <c r="L637" s="18" t="inlineStr">
        <is>
          <t>B07KGZB3PP</t>
        </is>
      </c>
      <c r="M637" s="19" t="n"/>
      <c r="N637" s="19" t="n"/>
      <c r="O637" s="19" t="n">
        <v>8.9</v>
      </c>
      <c r="P637" s="19">
        <f>O637/1.19</f>
        <v/>
      </c>
      <c r="Q637" s="19">
        <f>O637-P637</f>
        <v/>
      </c>
      <c r="R637" s="19">
        <f>O637*0.15</f>
        <v/>
      </c>
      <c r="S637" s="19" t="n">
        <v>3.89</v>
      </c>
      <c r="T637" s="19">
        <f>S637*0.2</f>
        <v/>
      </c>
      <c r="U637" s="19" t="n">
        <v>0.400000000000002</v>
      </c>
      <c r="V637" s="19" t="n">
        <v>2</v>
      </c>
      <c r="W637" s="19">
        <f>V637*0.2</f>
        <v/>
      </c>
      <c r="X637" s="16">
        <f>O637-Q637-R637-S637-U637-V637+T637+W637</f>
        <v/>
      </c>
      <c r="Y637" s="18" t="n"/>
      <c r="Z637" s="19">
        <f>O637+1.5</f>
        <v/>
      </c>
      <c r="AA637" s="19" t="n"/>
      <c r="AB637" s="19" t="n"/>
      <c r="AC637" s="18" t="n"/>
      <c r="AD637" s="18" t="n"/>
      <c r="AE637" s="13" t="inlineStr">
        <is>
          <t>NOT_UPLOADED</t>
        </is>
      </c>
    </row>
    <row r="638" ht="16" customHeight="1">
      <c r="A638" s="12" t="n">
        <v>3600531687205</v>
      </c>
      <c r="B638" s="12" t="n">
        <v>3600531687205</v>
      </c>
      <c r="C638" s="13" t="n"/>
      <c r="D638" s="14" t="n"/>
      <c r="E638" s="14" t="inlineStr">
        <is>
          <t>DM-3600531687205</t>
        </is>
      </c>
      <c r="F638" s="12" t="n">
        <v>1457123</v>
      </c>
      <c r="G638" s="14" t="inlineStr">
        <is>
          <t>DM</t>
        </is>
      </c>
      <c r="H638" s="14" t="inlineStr">
        <is>
          <t>Maybelline</t>
        </is>
      </c>
      <c r="I638" s="14" t="inlineStr">
        <is>
          <t>Liner gel pencil</t>
        </is>
      </c>
      <c r="J638" s="14" t="inlineStr">
        <is>
          <t>No</t>
        </is>
      </c>
      <c r="K638" s="14" t="inlineStr">
        <is>
          <t>https://www.amazon.de/-/en/b3505700-Liner-gel-pencil/dp/B0CV1FXTXP/ref=sr_1_1?crid=327AYZSHBI8A0&amp;dib=eyJ2IjoiMSJ9.-ZV2K3mi_RV-n0Sb-RCnpA.MGvVH6lFz8evOgbR2Kz2ne-6S8jWUNT2rVdB-CvzZqc&amp;dib_tag=se&amp;keywords=3600531687205&amp;qid=1756717523&amp;rdc=1&amp;s=beauty&amp;sprefix=3600531687205%2Cbeauty%2C174&amp;sr=1-1&amp;th=1</t>
        </is>
      </c>
      <c r="L638" s="14" t="inlineStr">
        <is>
          <t>B0CV1FXTXP</t>
        </is>
      </c>
      <c r="M638" s="15" t="n"/>
      <c r="N638" s="15" t="n"/>
      <c r="O638" s="15" t="n">
        <v>8.9</v>
      </c>
      <c r="P638" s="15">
        <f>O638/1.19</f>
        <v/>
      </c>
      <c r="Q638" s="15">
        <f>O638-P638</f>
        <v/>
      </c>
      <c r="R638" s="15">
        <f>O638*0.15</f>
        <v/>
      </c>
      <c r="S638" s="15" t="n">
        <v>3.89</v>
      </c>
      <c r="T638" s="15">
        <f>S638*0.2</f>
        <v/>
      </c>
      <c r="U638" s="15" t="n">
        <v>0.400000000000002</v>
      </c>
      <c r="V638" s="15" t="n">
        <v>2</v>
      </c>
      <c r="W638" s="15">
        <f>V638*0.2</f>
        <v/>
      </c>
      <c r="X638" s="16">
        <f>O638-Q638-R638-S638-U638-V638+T638+W638</f>
        <v/>
      </c>
      <c r="Y638" s="14" t="n"/>
      <c r="Z638" s="15">
        <f>O638+1.5</f>
        <v/>
      </c>
      <c r="AA638" s="15" t="n"/>
      <c r="AB638" s="15" t="n"/>
      <c r="AC638" s="14" t="n"/>
      <c r="AD638" s="14" t="n"/>
      <c r="AE638" s="13" t="inlineStr">
        <is>
          <t>NOT_UPLOADED</t>
        </is>
      </c>
    </row>
    <row r="639" ht="16" customHeight="1">
      <c r="A639" s="17" t="n">
        <v>3600531663483</v>
      </c>
      <c r="B639" s="17" t="n">
        <v>3600531663483</v>
      </c>
      <c r="C639" s="13" t="n"/>
      <c r="D639" s="18" t="n"/>
      <c r="E639" s="18" t="inlineStr">
        <is>
          <t>DM-3600531663483</t>
        </is>
      </c>
      <c r="F639" s="17" t="n">
        <v>1670395</v>
      </c>
      <c r="G639" s="18" t="inlineStr">
        <is>
          <t>DM</t>
        </is>
      </c>
      <c r="H639" s="18" t="inlineStr">
        <is>
          <t>Maybelline</t>
        </is>
      </c>
      <c r="I639" s="18" t="inlineStr">
        <is>
          <t>Maybelline New York Waterproof Eyeliner with Smudgeproof, Colour-Intensive Gel Texture, Tattoo Liner Gel Pencil, No. 970 Polished White, Pack of 1</t>
        </is>
      </c>
      <c r="J639" s="18" t="inlineStr">
        <is>
          <t>No</t>
        </is>
      </c>
      <c r="K639" s="18" t="inlineStr">
        <is>
          <t>https://www.amazon.de/-/en/Maybelline-Waterproof-Eyeliner-Smudgeproof-Colour-Intense/dp/B0B8NX6HPK/ref=sr_1_1?crid=3TGRH31J7OCLC&amp;dib=eyJ2IjoiMSJ9.358lnxnuFISbTLto-IbG2Q.DkjdmlBUgUCU4yx1ejF4YHh7TOincGIISy6mOFgKU_Q&amp;dib_tag=se&amp;keywords=3600531663483&amp;qid=1756717662&amp;s=beauty&amp;sprefix=3600531663483%2Cbeauty%2C229&amp;sr=1-1&amp;th=1</t>
        </is>
      </c>
      <c r="L639" s="18" t="inlineStr">
        <is>
          <t>B0B8NX6HPK</t>
        </is>
      </c>
      <c r="M639" s="19" t="n"/>
      <c r="N639" s="19" t="n"/>
      <c r="O639" s="19" t="n">
        <v>8.9</v>
      </c>
      <c r="P639" s="19">
        <f>O639/1.19</f>
        <v/>
      </c>
      <c r="Q639" s="19">
        <f>O639-P639</f>
        <v/>
      </c>
      <c r="R639" s="19">
        <f>O639*0.15</f>
        <v/>
      </c>
      <c r="S639" s="19" t="n">
        <v>3.89</v>
      </c>
      <c r="T639" s="19">
        <f>S639*0.2</f>
        <v/>
      </c>
      <c r="U639" s="19" t="n">
        <v>0.400000000000002</v>
      </c>
      <c r="V639" s="19" t="n">
        <v>2</v>
      </c>
      <c r="W639" s="19">
        <f>V639*0.2</f>
        <v/>
      </c>
      <c r="X639" s="16">
        <f>O639-Q639-R639-S639-U639-V639+T639+W639</f>
        <v/>
      </c>
      <c r="Y639" s="18" t="n"/>
      <c r="Z639" s="19">
        <f>O639+1.5</f>
        <v/>
      </c>
      <c r="AA639" s="19" t="n"/>
      <c r="AB639" s="19" t="n"/>
      <c r="AC639" s="18" t="n"/>
      <c r="AD639" s="18" t="n"/>
      <c r="AE639" s="13" t="inlineStr">
        <is>
          <t>NOT_UPLOADED</t>
        </is>
      </c>
    </row>
    <row r="640" ht="16" customHeight="1">
      <c r="A640" s="12" t="n">
        <v>3600531687182</v>
      </c>
      <c r="B640" s="12" t="n">
        <v>3600531687182</v>
      </c>
      <c r="C640" s="13" t="n"/>
      <c r="D640" s="14" t="n"/>
      <c r="E640" s="14" t="inlineStr">
        <is>
          <t>DM-3600531687182</t>
        </is>
      </c>
      <c r="F640" s="12" t="n">
        <v>1455232</v>
      </c>
      <c r="G640" s="14" t="inlineStr">
        <is>
          <t>DM</t>
        </is>
      </c>
      <c r="H640" s="14" t="inlineStr">
        <is>
          <t>Maybelline</t>
        </is>
      </c>
      <c r="I640" s="14" t="inlineStr">
        <is>
          <t>Maybelline New York Gel Eyeliner, Waterproof and Long-Lasting Pen, Up to 36 Hours Hold, Tattoo Liner Pencil, Colour: 817 Vivid Green</t>
        </is>
      </c>
      <c r="J640" s="14" t="inlineStr">
        <is>
          <t>No</t>
        </is>
      </c>
      <c r="K640" s="14" t="inlineStr">
        <is>
          <t>https://www.amazon.de/-/en/Maybelline-Eyeliner-Waterproof-Long-Lasting-Tattoo/dp/B0CV1DXP4Z/ref=sr_1_1?crid=1FU2R97HG7UNU&amp;dib=eyJ2IjoiMSJ9.8XoJzLizpd2-XNfbb84fvI6aCjBWPxLJffPEIVL3KNE.4YNwXElnW4utqVTOMMB_7q5G5Cnltwt7JkRMOJWMBxk&amp;dib_tag=se&amp;keywords=3600531687182&amp;qid=1756717886&amp;rdc=1&amp;s=beauty&amp;sprefix=3600531687182%2Cbeauty%2C193&amp;sr=1-1&amp;th=1</t>
        </is>
      </c>
      <c r="L640" s="14" t="inlineStr">
        <is>
          <t>B0CV1DXP4Z</t>
        </is>
      </c>
      <c r="M640" s="15" t="n"/>
      <c r="N640" s="15" t="n"/>
      <c r="O640" s="15" t="n">
        <v>8.9</v>
      </c>
      <c r="P640" s="15">
        <f>O640/1.19</f>
        <v/>
      </c>
      <c r="Q640" s="15">
        <f>O640-P640</f>
        <v/>
      </c>
      <c r="R640" s="15">
        <f>O640*0.15</f>
        <v/>
      </c>
      <c r="S640" s="15" t="n">
        <v>3.89</v>
      </c>
      <c r="T640" s="15">
        <f>S640*0.2</f>
        <v/>
      </c>
      <c r="U640" s="15" t="n">
        <v>0.400000000000002</v>
      </c>
      <c r="V640" s="15" t="n">
        <v>2</v>
      </c>
      <c r="W640" s="15">
        <f>V640*0.2</f>
        <v/>
      </c>
      <c r="X640" s="16">
        <f>O640-Q640-R640-S640-U640-V640+T640+W640</f>
        <v/>
      </c>
      <c r="Y640" s="14" t="n"/>
      <c r="Z640" s="15">
        <f>O640+1.5</f>
        <v/>
      </c>
      <c r="AA640" s="15" t="n"/>
      <c r="AB640" s="15" t="n"/>
      <c r="AC640" s="14" t="n"/>
      <c r="AD640" s="14" t="n"/>
      <c r="AE640" s="13" t="inlineStr">
        <is>
          <t>NOT_UPLOADED</t>
        </is>
      </c>
    </row>
    <row r="641" ht="16" customHeight="1">
      <c r="A641" s="17" t="n">
        <v>3600531687182</v>
      </c>
      <c r="B641" s="17" t="n">
        <v>3600531687182</v>
      </c>
      <c r="C641" s="13" t="n"/>
      <c r="D641" s="18" t="n"/>
      <c r="E641" s="18" t="inlineStr">
        <is>
          <t>DM-3600531687182</t>
        </is>
      </c>
      <c r="F641" s="17" t="n">
        <v>1455232</v>
      </c>
      <c r="G641" s="18" t="inlineStr">
        <is>
          <t>DM</t>
        </is>
      </c>
      <c r="H641" s="18" t="inlineStr">
        <is>
          <t>Maybelline</t>
        </is>
      </c>
      <c r="I641" s="18" t="inlineStr">
        <is>
          <t>Maybelline New York Tattoo Liner Gel Pencil No. 932 Intense Green, Colour-Intense Eyeliner, Long-Lasting</t>
        </is>
      </c>
      <c r="J641" s="18" t="inlineStr">
        <is>
          <t>No</t>
        </is>
      </c>
      <c r="K641" s="18" t="inlineStr">
        <is>
          <t>https://www.amazon.de/-/en/Maybelline-Intense-Colour-Intense-Eyeliner-Long-Lasting/dp/B07HCMK42P/ref=sr_1_2?crid=1FU2R97HG7UNU&amp;dib=eyJ2IjoiMSJ9.8XoJzLizpd2-XNfbb84fvI6aCjBWPxLJffPEIVL3KNE.4YNwXElnW4utqVTOMMB_7q5G5Cnltwt7JkRMOJWMBxk&amp;dib_tag=se&amp;keywords=3600531687182&amp;qid=1756717886&amp;s=beauty&amp;sprefix=3600531687182%2Cbeauty%2C193&amp;sr=1-2</t>
        </is>
      </c>
      <c r="L641" s="18" t="inlineStr">
        <is>
          <t>B07HCMK42P</t>
        </is>
      </c>
      <c r="M641" s="19" t="n"/>
      <c r="N641" s="19" t="n"/>
      <c r="O641" s="19" t="n">
        <v>8.9</v>
      </c>
      <c r="P641" s="19">
        <f>O641/1.19</f>
        <v/>
      </c>
      <c r="Q641" s="19">
        <f>O641-P641</f>
        <v/>
      </c>
      <c r="R641" s="19">
        <f>O641*0.15</f>
        <v/>
      </c>
      <c r="S641" s="19" t="n">
        <v>3.89</v>
      </c>
      <c r="T641" s="19">
        <f>S641*0.2</f>
        <v/>
      </c>
      <c r="U641" s="19" t="n">
        <v>0.400000000000002</v>
      </c>
      <c r="V641" s="19" t="n">
        <v>2</v>
      </c>
      <c r="W641" s="19">
        <f>V641*0.2</f>
        <v/>
      </c>
      <c r="X641" s="16">
        <f>O641-Q641-R641-S641-U641-V641+T641+W641</f>
        <v/>
      </c>
      <c r="Y641" s="18" t="n"/>
      <c r="Z641" s="19">
        <f>O641+1.5</f>
        <v/>
      </c>
      <c r="AA641" s="19" t="n"/>
      <c r="AB641" s="19" t="n"/>
      <c r="AC641" s="18" t="n"/>
      <c r="AD641" s="18" t="n"/>
      <c r="AE641" s="13" t="inlineStr">
        <is>
          <t>NOT_UPLOADED</t>
        </is>
      </c>
    </row>
    <row r="642" ht="16" customHeight="1">
      <c r="A642" s="12" t="n">
        <v>3600531687199</v>
      </c>
      <c r="B642" s="12" t="n">
        <v>3600531687199</v>
      </c>
      <c r="C642" s="13" t="n"/>
      <c r="D642" s="14" t="n"/>
      <c r="E642" s="14" t="inlineStr">
        <is>
          <t>DM-3600531687199</t>
        </is>
      </c>
      <c r="F642" s="12" t="n">
        <v>1455233</v>
      </c>
      <c r="G642" s="14" t="inlineStr">
        <is>
          <t>DM</t>
        </is>
      </c>
      <c r="H642" s="14" t="inlineStr">
        <is>
          <t>Maybelline</t>
        </is>
      </c>
      <c r="I642" s="14" t="inlineStr">
        <is>
          <t>Maybelline New York Gel Eyeliner: Waterproof and Long-Lasting Pen, Up to 36 Hours Hold - Tattoo Liner Gel Pencil in Galactic Cobalt</t>
        </is>
      </c>
      <c r="J642" s="14" t="inlineStr">
        <is>
          <t>No</t>
        </is>
      </c>
      <c r="K642" s="14" t="inlineStr">
        <is>
          <t>https://www.amazon.de/-/en/Maybelline-New-York-Gel-Eyeliner/dp/B0CV1Y144K/ref=sr_1_1?crid=381M8IWHQTA9Q&amp;dib=eyJ2IjoiMSJ9.w1ygZJqtnwYggxct0m5jJQ.tf6nugDlcYpTq9gHtoBKl74N71ELNdtCn3Y7Re1Ary0&amp;dib_tag=se&amp;keywords=3600531687199&amp;qid=1756718081&amp;s=beauty&amp;sprefix=3600531687199%2Cbeauty%2C207&amp;sr=1-1&amp;th=1</t>
        </is>
      </c>
      <c r="L642" s="14" t="inlineStr">
        <is>
          <t>B0CV1Y144K</t>
        </is>
      </c>
      <c r="M642" s="15" t="n"/>
      <c r="N642" s="15" t="n"/>
      <c r="O642" s="15" t="n">
        <v>8.9</v>
      </c>
      <c r="P642" s="15">
        <f>O642/1.19</f>
        <v/>
      </c>
      <c r="Q642" s="15">
        <f>O642-P642</f>
        <v/>
      </c>
      <c r="R642" s="15">
        <f>O642*0.15</f>
        <v/>
      </c>
      <c r="S642" s="15" t="n">
        <v>3.89</v>
      </c>
      <c r="T642" s="15">
        <f>S642*0.2</f>
        <v/>
      </c>
      <c r="U642" s="15" t="n">
        <v>0.400000000000002</v>
      </c>
      <c r="V642" s="15" t="n">
        <v>2</v>
      </c>
      <c r="W642" s="15">
        <f>V642*0.2</f>
        <v/>
      </c>
      <c r="X642" s="16">
        <f>O642-Q642-R642-S642-U642-V642+T642+W642</f>
        <v/>
      </c>
      <c r="Y642" s="14" t="n"/>
      <c r="Z642" s="15">
        <f>O642+1.5</f>
        <v/>
      </c>
      <c r="AA642" s="15" t="n"/>
      <c r="AB642" s="15" t="n"/>
      <c r="AC642" s="14" t="n"/>
      <c r="AD642" s="14" t="n"/>
      <c r="AE642" s="13" t="inlineStr">
        <is>
          <t>NOT_UPLOADED</t>
        </is>
      </c>
    </row>
    <row r="643" ht="16" customHeight="1">
      <c r="A643" s="17" t="n">
        <v>3600531384173</v>
      </c>
      <c r="B643" s="17" t="n">
        <v>3600531384173</v>
      </c>
      <c r="C643" s="13" t="n"/>
      <c r="D643" s="18" t="n"/>
      <c r="E643" s="18" t="inlineStr">
        <is>
          <t>DM-3600531384173</t>
        </is>
      </c>
      <c r="F643" s="17" t="n">
        <v>1516649</v>
      </c>
      <c r="G643" s="18" t="inlineStr">
        <is>
          <t>DM</t>
        </is>
      </c>
      <c r="H643" s="18" t="inlineStr">
        <is>
          <t>Maybelline</t>
        </is>
      </c>
      <c r="I643" s="18" t="inlineStr">
        <is>
          <t>Maybelline New York, FitMe Matt and Poreless Powder x g, 115 Ivory, 9 g</t>
        </is>
      </c>
      <c r="J643" s="18" t="inlineStr">
        <is>
          <t>No</t>
        </is>
      </c>
      <c r="K643" s="18" t="inlineStr">
        <is>
          <t>https://www.amazon.de/-/en/Maybelline-FitMe-Poreless-Powder-Ivory/dp/B06XGH5HLZ/ref=sr_1_1?crid=3TBNXDD8FQKR9&amp;dib=eyJ2IjoiMSJ9.tXIuluXCwx32qxcxFJJtYrxRZfKSDnLXnUAZ9KW6sb4.lrLxOFxwME-1urHsIYnmkpDgRZwzklzwnK43w2oIzTA&amp;dib_tag=se&amp;keywords=3600531384173&amp;qid=1756799828&amp;rdc=1&amp;s=beauty&amp;sprefix=3600531384173%2Cbeauty%2C209&amp;sr=1-1&amp;th=1</t>
        </is>
      </c>
      <c r="L643" s="18" t="inlineStr">
        <is>
          <t>B06XGH5HLZ</t>
        </is>
      </c>
      <c r="M643" s="19" t="n"/>
      <c r="N643" s="19" t="n"/>
      <c r="O643" s="19" t="n">
        <v>10.75</v>
      </c>
      <c r="P643" s="19">
        <f>O643/1.19</f>
        <v/>
      </c>
      <c r="Q643" s="19">
        <f>O643-P643</f>
        <v/>
      </c>
      <c r="R643" s="19">
        <f>O643*0.15</f>
        <v/>
      </c>
      <c r="S643" s="19" t="n">
        <v>5.11</v>
      </c>
      <c r="T643" s="19">
        <f>S643*0.2</f>
        <v/>
      </c>
      <c r="U643" s="19" t="n">
        <v>0.400000000000002</v>
      </c>
      <c r="V643" s="19" t="n">
        <v>2</v>
      </c>
      <c r="W643" s="19">
        <f>V643*0.2</f>
        <v/>
      </c>
      <c r="X643" s="16">
        <f>O643-Q643-R643-S643-U643-V643+T643+W643</f>
        <v/>
      </c>
      <c r="Y643" s="18" t="n"/>
      <c r="Z643" s="19">
        <f>O643+1.5</f>
        <v/>
      </c>
      <c r="AA643" s="19" t="n"/>
      <c r="AB643" s="19" t="n"/>
      <c r="AC643" s="18" t="n"/>
      <c r="AD643" s="18" t="n"/>
      <c r="AE643" s="13" t="inlineStr">
        <is>
          <t>NOT_UPLOADED</t>
        </is>
      </c>
    </row>
    <row r="644" ht="16" customHeight="1">
      <c r="A644" s="12" t="n">
        <v>3600531384173</v>
      </c>
      <c r="B644" s="12" t="n">
        <v>3600531384173</v>
      </c>
      <c r="C644" s="13" t="n"/>
      <c r="D644" s="14" t="n"/>
      <c r="E644" s="14" t="inlineStr">
        <is>
          <t>DM-3600531384173</t>
        </is>
      </c>
      <c r="F644" s="12" t="n">
        <v>1516649</v>
      </c>
      <c r="G644" s="14" t="inlineStr">
        <is>
          <t>DM</t>
        </is>
      </c>
      <c r="H644" s="14" t="inlineStr">
        <is>
          <t>Maybelline</t>
        </is>
      </c>
      <c r="I644" s="14" t="inlineStr">
        <is>
          <t>Fit Me! Matte + Poreless Powder No. 115 Ivory 9 g</t>
        </is>
      </c>
      <c r="J644" s="14" t="inlineStr">
        <is>
          <t>No</t>
        </is>
      </c>
      <c r="K644" s="14" t="inlineStr">
        <is>
          <t>https://www.amazon.de/-/en/Fit-Matte-Poreless-Powder-Ivory/dp/B079G2GJJ7/ref=sr_1_2_mod_primary_new?crid=3TBNXDD8FQKR9&amp;dib=eyJ2IjoiMSJ9.tXIuluXCwx32qxcxFJJtYrxRZfKSDnLXnUAZ9KW6sb4.lrLxOFxwME-1urHsIYnmkpDgRZwzklzwnK43w2oIzTA&amp;dib_tag=se&amp;keywords=3600531384173&amp;qid=1756800261&amp;s=beauty&amp;sbo=RZvfv%2F%2FHxDF%2BO5021pAnSA%3D%3D&amp;sprefix=3600531384173%2Cbeauty%2C209&amp;sr=1-2</t>
        </is>
      </c>
      <c r="L644" s="14" t="inlineStr">
        <is>
          <t>B079G2GJJ7</t>
        </is>
      </c>
      <c r="M644" s="15" t="n"/>
      <c r="N644" s="15" t="n"/>
      <c r="O644" s="15" t="n">
        <v>11.5</v>
      </c>
      <c r="P644" s="15">
        <f>O644/1.19</f>
        <v/>
      </c>
      <c r="Q644" s="15">
        <f>O644-P644</f>
        <v/>
      </c>
      <c r="R644" s="15">
        <f>O644*0.15</f>
        <v/>
      </c>
      <c r="S644" s="15" t="n">
        <v>5.11</v>
      </c>
      <c r="T644" s="15">
        <f>S644*0.2</f>
        <v/>
      </c>
      <c r="U644" s="15" t="n">
        <v>0.400000000000002</v>
      </c>
      <c r="V644" s="15" t="n">
        <v>2</v>
      </c>
      <c r="W644" s="15">
        <f>V644*0.2</f>
        <v/>
      </c>
      <c r="X644" s="16">
        <f>O644-Q644-R644-S644-U644-V644+T644+W644</f>
        <v/>
      </c>
      <c r="Y644" s="14" t="n"/>
      <c r="Z644" s="15">
        <f>O644+1.5</f>
        <v/>
      </c>
      <c r="AA644" s="15" t="n"/>
      <c r="AB644" s="15" t="n"/>
      <c r="AC644" s="14" t="n"/>
      <c r="AD644" s="14" t="n"/>
      <c r="AE644" s="13" t="inlineStr">
        <is>
          <t>NOT_UPLOADED</t>
        </is>
      </c>
    </row>
    <row r="645" ht="16" customHeight="1">
      <c r="A645" s="17" t="n">
        <v>3600531384197</v>
      </c>
      <c r="B645" s="17" t="n">
        <v>3600531384197</v>
      </c>
      <c r="C645" s="13" t="n"/>
      <c r="D645" s="18" t="n"/>
      <c r="E645" s="18" t="inlineStr">
        <is>
          <t>DM-3600531384197</t>
        </is>
      </c>
      <c r="F645" s="17" t="n">
        <v>2122939</v>
      </c>
      <c r="G645" s="18" t="inlineStr">
        <is>
          <t>DM</t>
        </is>
      </c>
      <c r="H645" s="18" t="inlineStr">
        <is>
          <t>Maybelline</t>
        </is>
      </c>
      <c r="I645" s="18" t="inlineStr">
        <is>
          <t>MAYBELLINE, MakeupFinisher, 120 Classic Ivory, 9 g</t>
        </is>
      </c>
      <c r="J645" s="18" t="inlineStr">
        <is>
          <t>No</t>
        </is>
      </c>
      <c r="K645" s="18" t="inlineStr">
        <is>
          <t>https://www.amazon.de/-/en/MAYBELLINE-MakeupFinisher-120-Classic-Ivory/dp/B06XGJJN66/ref=sr_1_2?crid=2D1YGGYQSWU4X&amp;dib=eyJ2IjoiMSJ9.Cd8snlA4jIE3LPVAO1PddA.QQG2fQ41akfuaMuFOmwO9MugdDMkjNTGeDj3A81JqKE&amp;dib_tag=se&amp;keywords=3600531384197&amp;qid=1756800389&amp;s=beauty&amp;sprefix=3600531384197%2Cbeauty%2C190&amp;sr=1-2&amp;th=1</t>
        </is>
      </c>
      <c r="L645" s="18" t="inlineStr">
        <is>
          <t>B06XGJJN66</t>
        </is>
      </c>
      <c r="M645" s="19" t="n"/>
      <c r="N645" s="19" t="n"/>
      <c r="O645" s="19" t="n">
        <v>10.9</v>
      </c>
      <c r="P645" s="19">
        <f>O645/1.19</f>
        <v/>
      </c>
      <c r="Q645" s="19">
        <f>O645-P645</f>
        <v/>
      </c>
      <c r="R645" s="19">
        <f>O645*0.15</f>
        <v/>
      </c>
      <c r="S645" s="19" t="n">
        <v>5.11</v>
      </c>
      <c r="T645" s="19">
        <f>S645*0.2</f>
        <v/>
      </c>
      <c r="U645" s="19" t="n">
        <v>0.400000000000002</v>
      </c>
      <c r="V645" s="19" t="n">
        <v>2</v>
      </c>
      <c r="W645" s="19">
        <f>V645*0.2</f>
        <v/>
      </c>
      <c r="X645" s="16">
        <f>O645-Q645-R645-S645-U645-V645+T645+W645</f>
        <v/>
      </c>
      <c r="Y645" s="18" t="n"/>
      <c r="Z645" s="19">
        <f>O645+1.5</f>
        <v/>
      </c>
      <c r="AA645" s="19" t="n"/>
      <c r="AB645" s="19" t="n"/>
      <c r="AC645" s="18" t="n"/>
      <c r="AD645" s="18" t="n"/>
      <c r="AE645" s="13" t="inlineStr">
        <is>
          <t>NOT_UPLOADED</t>
        </is>
      </c>
    </row>
    <row r="646" ht="16" customHeight="1">
      <c r="A646" s="12" t="n">
        <v>789603466535</v>
      </c>
      <c r="B646" s="12" t="n">
        <v>3600531384197</v>
      </c>
      <c r="C646" s="13" t="n"/>
      <c r="D646" s="14" t="n"/>
      <c r="E646" s="14" t="inlineStr">
        <is>
          <t>DM-0789603466535</t>
        </is>
      </c>
      <c r="F646" s="12" t="n">
        <v>2122939</v>
      </c>
      <c r="G646" s="14" t="inlineStr">
        <is>
          <t>DM</t>
        </is>
      </c>
      <c r="H646" s="14" t="inlineStr">
        <is>
          <t>Maybelline</t>
        </is>
      </c>
      <c r="I646" s="14" t="inlineStr">
        <is>
          <t>MAYBELLINE Fit Me Matte + Poreless Powder - Classic Ivory 120</t>
        </is>
      </c>
      <c r="J646" s="14" t="inlineStr">
        <is>
          <t>No</t>
        </is>
      </c>
      <c r="K646" s="14" t="inlineStr">
        <is>
          <t>https://www.amazon.de/-/en/MAYBELLINE-Fit-Matte-Poreless-Powder/dp/B00PFCSO1U/ref=sr_1_5?crid=39EAN98UAJAJY&amp;dib=eyJ2IjoiMSJ9.bwY8cImr0WG7ZisbrseRRbAJu6i-iUgWoT0cwOG2FOGjCQ4i1hKcj3m7AlGjSnMvqVtZSVqMq2-6MOpID3lz1MUeEuJSr2I5_WZ9bBH9J2NgYVnW61Yjls6NppOLA280yrEza3-iukohRx0us-VIWpZbFj8pUCKwx53ancBWWYeOIvh8QW9fb31_vivH4vxE2-jEdibciPyyMJNvW3G0kMdmIBKdFaB_eEvZTGP6ZrQtrz5tE9cFIM_5kdDhtsTEDBD-ecjhen4qvD7FHzaAAb6ES1Pr4Ru3tpqezubhChc.RyPe8UR8Qudt8x3qTGpSvMhJPVDrNuqh6A2q1xGZcWA&amp;dib_tag=se&amp;keywords=120+Classic+Ivory%2C+9+g&amp;qid=1756800496&amp;s=beauty&amp;sprefix=120+classic+ivory+9+g%2Cbeauty%2C189&amp;sr=1-5</t>
        </is>
      </c>
      <c r="L646" s="14" t="inlineStr">
        <is>
          <t>B00PFCSO1U</t>
        </is>
      </c>
      <c r="M646" s="15" t="n"/>
      <c r="N646" s="15" t="n"/>
      <c r="O646" s="15" t="n">
        <v>12.8</v>
      </c>
      <c r="P646" s="15">
        <f>O646/1.19</f>
        <v/>
      </c>
      <c r="Q646" s="15">
        <f>O646-P646</f>
        <v/>
      </c>
      <c r="R646" s="15">
        <f>O646*0.15</f>
        <v/>
      </c>
      <c r="S646" s="15" t="n">
        <v>5.11</v>
      </c>
      <c r="T646" s="15">
        <f>S646*0.2</f>
        <v/>
      </c>
      <c r="U646" s="15" t="n">
        <v>0.400000000000002</v>
      </c>
      <c r="V646" s="15" t="n">
        <v>2</v>
      </c>
      <c r="W646" s="15">
        <f>V646*0.2</f>
        <v/>
      </c>
      <c r="X646" s="21">
        <f>O646-Q646-R646-S646-U646-V646+T646+W646</f>
        <v/>
      </c>
      <c r="Y646" s="14" t="n"/>
      <c r="Z646" s="15">
        <f>O646+1.5</f>
        <v/>
      </c>
      <c r="AA646" s="15" t="n"/>
      <c r="AB646" s="15" t="n"/>
      <c r="AC646" s="14" t="n"/>
      <c r="AD646" s="14" t="n"/>
      <c r="AE646" s="13" t="inlineStr">
        <is>
          <t>NOT_UPLOADED</t>
        </is>
      </c>
    </row>
    <row r="647" ht="16" customHeight="1">
      <c r="A647" s="17" t="n">
        <v>3600530751327</v>
      </c>
      <c r="B647" s="17" t="n">
        <v>3600531384197</v>
      </c>
      <c r="C647" s="13" t="n"/>
      <c r="D647" s="18" t="n"/>
      <c r="E647" s="18" t="inlineStr">
        <is>
          <t>DM-3600530751327</t>
        </is>
      </c>
      <c r="F647" s="17" t="inlineStr">
        <is>
          <t>M4042</t>
        </is>
      </c>
      <c r="G647" s="18" t="inlineStr">
        <is>
          <t>FORTUNA</t>
        </is>
      </c>
      <c r="H647" s="18" t="inlineStr">
        <is>
          <t>Maybelline</t>
        </is>
      </c>
      <c r="I647" s="18" t="inlineStr">
        <is>
          <t>Maybelline Fit Me Powder 120 Classic Ivory 9g</t>
        </is>
      </c>
      <c r="J647" s="18" t="inlineStr">
        <is>
          <t>No</t>
        </is>
      </c>
      <c r="K647" s="18" t="inlineStr">
        <is>
          <t>https://www.amazon.de/-/en/Maybelline-Fit-Powder-Classic-Ivory/dp/B007B8UG9O/ref=sr_1_2?crid=T8OXH4RAP4L2&amp;dib=eyJ2IjoiMSJ9.M0W0XtKGnRdKuJPqy7uhdN3VF2nwdq4JslJc6NkADoyot3IDaiYt_mi3lXvbfg3P7Dnq0n4Lu-pdGZSDQB6CIj6l3Rtf_5QEB1Q7ROI0gYGwhD1eb0SfbJZTQhKIif6PGnkmD0WSK4NxTC8sH_eNmvZfTBZjlBTrkwtxrobKho276dEzKvC_CtIwpXsCmOmHRFWs_JPZvDwMYBYNUx5ZFJmGsGR18MTlZJpd3GQ73VYGrUDxzE9rizpVII2y_8PVS4lGo92OHWH6q4TE7h2tKYxzi-oENr1yHEu64RxJKKI.7yMLFAjl4xjT9Fk-xC11aVwpjxvuMZGX8s1NAfmThNU&amp;dib_tag=se&amp;keywords=MAYBELLINE%2BFIT%2BME%2BPOWDER&amp;qid=1756800602&amp;s=beauty&amp;sprefix=maybelline%2Bfit%2Cbeauty%2C3198&amp;sr=1-2&amp;th=1</t>
        </is>
      </c>
      <c r="L647" s="18" t="inlineStr">
        <is>
          <t>B007B8UG9O</t>
        </is>
      </c>
      <c r="M647" s="19" t="n"/>
      <c r="N647" s="19" t="n"/>
      <c r="O647" s="19" t="n">
        <v>12.8</v>
      </c>
      <c r="P647" s="19">
        <f>O647/1.19</f>
        <v/>
      </c>
      <c r="Q647" s="19">
        <f>O647-P647</f>
        <v/>
      </c>
      <c r="R647" s="19">
        <f>O647*0.15</f>
        <v/>
      </c>
      <c r="S647" s="19" t="n">
        <v>5.5</v>
      </c>
      <c r="T647" s="19">
        <f>S647*0.2</f>
        <v/>
      </c>
      <c r="U647" s="19" t="n">
        <v>0.400000000000002</v>
      </c>
      <c r="V647" s="19" t="n">
        <v>2</v>
      </c>
      <c r="W647" s="19">
        <f>V647*0.2</f>
        <v/>
      </c>
      <c r="X647" s="21">
        <f>O647-Q647-R647-S647-U647-V647+T647+W647</f>
        <v/>
      </c>
      <c r="Y647" s="18" t="n"/>
      <c r="Z647" s="19">
        <f>O647+1.5</f>
        <v/>
      </c>
      <c r="AA647" s="19" t="n"/>
      <c r="AB647" s="19" t="n"/>
      <c r="AC647" s="18" t="n"/>
      <c r="AD647" s="18" t="n"/>
      <c r="AE647" s="13" t="inlineStr">
        <is>
          <t>NOT_UPLOADED</t>
        </is>
      </c>
    </row>
    <row r="648" ht="16" customHeight="1">
      <c r="A648" s="12" t="n">
        <v>3600531384005</v>
      </c>
      <c r="B648" s="12" t="n">
        <v>3600531384005</v>
      </c>
      <c r="C648" s="13" t="n"/>
      <c r="D648" s="14" t="n"/>
      <c r="E648" s="14" t="inlineStr">
        <is>
          <t>DM-3600531384005</t>
        </is>
      </c>
      <c r="F648" s="12" t="n">
        <v>1516654</v>
      </c>
      <c r="G648" s="14" t="inlineStr">
        <is>
          <t>DM</t>
        </is>
      </c>
      <c r="H648" s="14" t="inlineStr">
        <is>
          <t>Maybelline</t>
        </is>
      </c>
      <c r="I648" s="14" t="inlineStr">
        <is>
          <t>Maybelline Fit Me Matte &amp; Poreless Powder 090 Translucent 30ml</t>
        </is>
      </c>
      <c r="J648" s="14" t="inlineStr">
        <is>
          <t>No</t>
        </is>
      </c>
      <c r="K648" s="14" t="inlineStr">
        <is>
          <t>https://www.amazon.de/-/en/Maybelline-Matte-Poreless-Powder-Translucent/dp/B06XWYR3WG/ref=sr_1_3?crid=1AX2QIFRNVRLS&amp;dib=eyJ2IjoiMSJ9.6KhYrnVgINUhguB5RZdlo1i0bl-RkaibOUpRitf-jv0Fb86f7HF7zG5fH4IKknu7-KhtZYzf6W3w3CnF9UIdI8ilFARrNOR6wCIaPVwCH31YKzBoZS-7ntiY40SPIZHivJ5HR-Kd8K5gU4_mTzH0jaPjPs-1_ZhJGQsTsP7iFHb-4fN8HGy13P6VVaA1iJtaAzbqkYe-P5FSgGhGQadkDjQKFrr5Wbn4IROyut2DyelBDAD3WTgOw9EOYAAjDx1npSJiNTyDn_WSVjxg6HXWN2T4Rfl64pY8AuVr3H3KoYg.W2cOpdJjXvWsxDMRtM_TObNdT_E_0RAKgFvK_Y926YA&amp;dib_tag=se&amp;keywords=MAYBELLINE%2BFIT%2BME%2BPOWDER%2B90&amp;qid=1756800839&amp;s=beauty&amp;sprefix=maybelline%2Bfit%2Bme%2Bpowder%2B90%2Cbeauty%2C164&amp;sr=1-3&amp;th=1</t>
        </is>
      </c>
      <c r="L648" s="14" t="inlineStr">
        <is>
          <t>B06XWYR3WG</t>
        </is>
      </c>
      <c r="M648" s="15" t="n"/>
      <c r="N648" s="15" t="n"/>
      <c r="O648" s="15" t="n">
        <v>10.9</v>
      </c>
      <c r="P648" s="15">
        <f>O648/1.19</f>
        <v/>
      </c>
      <c r="Q648" s="15">
        <f>O648-P648</f>
        <v/>
      </c>
      <c r="R648" s="15">
        <f>O648*0.15</f>
        <v/>
      </c>
      <c r="S648" s="15" t="n">
        <v>5.11</v>
      </c>
      <c r="T648" s="15">
        <f>S648*0.2</f>
        <v/>
      </c>
      <c r="U648" s="15" t="n">
        <v>0.400000000000002</v>
      </c>
      <c r="V648" s="15" t="n">
        <v>2</v>
      </c>
      <c r="W648" s="15">
        <f>V648*0.2</f>
        <v/>
      </c>
      <c r="X648" s="16">
        <f>O648-Q648-R648-S648-U648-V648+T648+W648</f>
        <v/>
      </c>
      <c r="Y648" s="14" t="n"/>
      <c r="Z648" s="15">
        <f>O648+1.5</f>
        <v/>
      </c>
      <c r="AA648" s="15" t="n"/>
      <c r="AB648" s="15" t="n"/>
      <c r="AC648" s="14" t="n"/>
      <c r="AD648" s="14" t="n"/>
      <c r="AE648" s="13" t="inlineStr">
        <is>
          <t>NOT_UPLOADED</t>
        </is>
      </c>
    </row>
    <row r="649" ht="16" customHeight="1">
      <c r="A649" s="17" t="n"/>
      <c r="B649" s="17" t="n">
        <v>3600531384005</v>
      </c>
      <c r="C649" s="13" t="n"/>
      <c r="D649" s="18" t="n"/>
      <c r="E649" s="18" t="inlineStr">
        <is>
          <t>DM-B07P5MX1RX</t>
        </is>
      </c>
      <c r="F649" s="17" t="n">
        <v>1516654</v>
      </c>
      <c r="G649" s="18" t="inlineStr">
        <is>
          <t>DM</t>
        </is>
      </c>
      <c r="H649" s="18" t="inlineStr">
        <is>
          <t>Maybelline</t>
        </is>
      </c>
      <c r="I649" s="18" t="inlineStr">
        <is>
          <t>Maybelline New York FitMe Matt and Poreless Powder 90 Translucent Pack of 1 (1 x 9 g), Translucent (Ivory)</t>
        </is>
      </c>
      <c r="J649" s="18" t="inlineStr">
        <is>
          <t>No</t>
        </is>
      </c>
      <c r="K649" s="18" t="inlineStr">
        <is>
          <t>https://www.amazon.de/-/en/Maybelline-FitMe-Poreless-Powder-Translucent/dp/B07P5MX1RX/ref=sr_1_6?crid=1AX2QIFRNVRLS&amp;dib=eyJ2IjoiMSJ9.6KhYrnVgINUhguB5RZdlo1i0bl-RkaibOUpRitf-jv0Fb86f7HF7zG5fH4IKknu7-KhtZYzf6W3w3CnF9UIdI8ilFARrNOR6wCIaPVwCH31YKzBoZS-7ntiY40SPIZHivJ5HR-Kd8K5gU4_mTzH0jaPjPs-1_ZhJGQsTsP7iFHb-4fN8HGy13P6VVaA1iJtaAzbqkYe-P5FSgGhGQadkDjQKFrr5Wbn4IROyut2DyelBDAD3WTgOw9EOYAAjDx1npSJiNTyDn_WSVjxg6HXWN2T4Rfl64pY8AuVr3H3KoYg.W2cOpdJjXvWsxDMRtM_TObNdT_E_0RAKgFvK_Y926YA&amp;dib_tag=se&amp;keywords=MAYBELLINE+FIT+ME+POWDER+90&amp;qid=1756800839&amp;s=beauty&amp;sprefix=maybelline+fit+me+powder+90%2Cbeauty%2C164&amp;sr=1-6</t>
        </is>
      </c>
      <c r="L649" s="18" t="inlineStr">
        <is>
          <t>B07P5MX1RX</t>
        </is>
      </c>
      <c r="M649" s="19" t="n"/>
      <c r="N649" s="19" t="n"/>
      <c r="O649" s="19" t="n">
        <v>12.7</v>
      </c>
      <c r="P649" s="19">
        <f>O649/1.19</f>
        <v/>
      </c>
      <c r="Q649" s="19">
        <f>O649-P649</f>
        <v/>
      </c>
      <c r="R649" s="19">
        <f>O649*0.15</f>
        <v/>
      </c>
      <c r="S649" s="19" t="n">
        <v>5.11</v>
      </c>
      <c r="T649" s="19">
        <f>S649*0.2</f>
        <v/>
      </c>
      <c r="U649" s="19" t="n">
        <v>0.400000000000002</v>
      </c>
      <c r="V649" s="19" t="n">
        <v>2</v>
      </c>
      <c r="W649" s="19">
        <f>V649*0.2</f>
        <v/>
      </c>
      <c r="X649" s="21">
        <f>O649-Q649-R649-S649-U649-V649+T649+W649</f>
        <v/>
      </c>
      <c r="Y649" s="18" t="n"/>
      <c r="Z649" s="19">
        <f>O649+1.5</f>
        <v/>
      </c>
      <c r="AA649" s="19" t="n"/>
      <c r="AB649" s="19" t="n"/>
      <c r="AC649" s="18" t="n"/>
      <c r="AD649" s="18" t="n"/>
      <c r="AE649" s="13" t="inlineStr">
        <is>
          <t>NOT_UPLOADED</t>
        </is>
      </c>
    </row>
    <row r="650" ht="16" customHeight="1">
      <c r="A650" s="12" t="n">
        <v>3600530751341</v>
      </c>
      <c r="B650" s="12" t="n">
        <v>3600531384210</v>
      </c>
      <c r="C650" s="13" t="n"/>
      <c r="D650" s="14" t="n"/>
      <c r="E650" s="14" t="inlineStr">
        <is>
          <t>DM-3600530751341</t>
        </is>
      </c>
      <c r="F650" s="12" t="n">
        <v>2290480</v>
      </c>
      <c r="G650" s="14" t="inlineStr">
        <is>
          <t>DM</t>
        </is>
      </c>
      <c r="H650" s="14" t="inlineStr">
        <is>
          <t>Maybelline</t>
        </is>
      </c>
      <c r="I650" s="14" t="inlineStr">
        <is>
          <t>Maybelline Fit Me Powder 9g</t>
        </is>
      </c>
      <c r="J650" s="14" t="inlineStr">
        <is>
          <t>No</t>
        </is>
      </c>
      <c r="K650" s="14" t="inlineStr">
        <is>
          <t>https://www.amazon.de/-/en/Maybelline-Fit-Me-Powder-9g/dp/B007B8UHSO/ref=sr_1_6?crid=1QDZVXT2YR5I8&amp;dib=eyJ2IjoiMSJ9.SM1hXkkssiflHQ_Cpin9sOqq4PI0xMEf8KtpQHZlbfEi6klvn2uGuLKPdg9Xz9rdsr8YyuBkh_DAo2rsmj__nC8boPzga2baM1Iax9uhfPPLtwDOwuM-LP5vlBNaUSWDxmbivXOv3Ss6Z5H_9DetJZvj9N7KdZppsICH_Oq25NZ5w4VVNTTaYfq9U28QpFS_y5un6kvp5T_Vzl2IdwrL5Wo4q_l-LQoBUA9LcN_8voXIg4TRTEDHbMaPlmBKWhCTOa42cccR0Gmu6u8u3o2eQluYCmjWo4Ir4qhdKkZbN-Y.jICwxcVWtUUYo7Uvg83ctPGS8NOxFpmGorWx0kK7He0&amp;dib_tag=se&amp;keywords=MAYBELLINE%2BFIT%2BME%2BPOWDER%2B130&amp;qid=1756801024&amp;s=beauty&amp;sprefix=maybelline%2Bfit%2Bme%2Bpowder%2B130%2Cbeauty%2C16506&amp;sr=1-6&amp;th=1</t>
        </is>
      </c>
      <c r="L650" s="14" t="inlineStr">
        <is>
          <t>B007B8UHSO</t>
        </is>
      </c>
      <c r="M650" s="15" t="n"/>
      <c r="N650" s="15" t="n"/>
      <c r="O650" s="15" t="n">
        <v>10.9</v>
      </c>
      <c r="P650" s="15">
        <f>O650/1.19</f>
        <v/>
      </c>
      <c r="Q650" s="15">
        <f>O650-P650</f>
        <v/>
      </c>
      <c r="R650" s="15">
        <f>O650*0.15</f>
        <v/>
      </c>
      <c r="S650" s="15" t="n">
        <v>5.11</v>
      </c>
      <c r="T650" s="15">
        <f>S650*0.2</f>
        <v/>
      </c>
      <c r="U650" s="15" t="n">
        <v>0.400000000000002</v>
      </c>
      <c r="V650" s="15" t="n">
        <v>2</v>
      </c>
      <c r="W650" s="15">
        <f>V650*0.2</f>
        <v/>
      </c>
      <c r="X650" s="16">
        <f>O650-Q650-R650-S650-U650-V650+T650+W650</f>
        <v/>
      </c>
      <c r="Y650" s="14" t="n"/>
      <c r="Z650" s="15">
        <f>O650+1.5</f>
        <v/>
      </c>
      <c r="AA650" s="15" t="n"/>
      <c r="AB650" s="15" t="n"/>
      <c r="AC650" s="14" t="n"/>
      <c r="AD650" s="14" t="n"/>
      <c r="AE650" s="13" t="inlineStr">
        <is>
          <t>NOT_UPLOADED</t>
        </is>
      </c>
    </row>
    <row r="651" ht="16" customHeight="1">
      <c r="A651" s="17" t="n">
        <v>3600531384210</v>
      </c>
      <c r="B651" s="17" t="n">
        <v>3600531384210</v>
      </c>
      <c r="C651" s="13" t="n"/>
      <c r="D651" s="18" t="n"/>
      <c r="E651" s="18" t="inlineStr">
        <is>
          <t>DM-3600531384210</t>
        </is>
      </c>
      <c r="F651" s="17" t="n">
        <v>2290480</v>
      </c>
      <c r="G651" s="18" t="inlineStr">
        <is>
          <t>DM</t>
        </is>
      </c>
      <c r="H651" s="18" t="inlineStr">
        <is>
          <t>Maybelline</t>
        </is>
      </c>
      <c r="I651" s="18" t="inlineStr">
        <is>
          <t>Maybelline Fit Me Matte And Poreless Powder 130 Buff Beige 9g</t>
        </is>
      </c>
      <c r="J651" s="18" t="inlineStr">
        <is>
          <t>No</t>
        </is>
      </c>
      <c r="K651" s="18" t="inlineStr">
        <is>
          <t>https://www.amazon.de/-/en/Maybelline-Matte-Poreless-Powder-Beige/dp/B076SJCCMP/ref=sr_1_6?crid=1QDZVXT2YR5I8&amp;dib=eyJ2IjoiMSJ9.SM1hXkkssiflHQ_Cpin9sOqq4PI0xMEf8KtpQHZlbfEi6klvn2uGuLKPdg9Xz9rdsr8YyuBkh_DAo2rsmj__nC8boPzga2baM1Iax9uhfPPLtwDOwuM-LP5vlBNaUSWDxmbivXOv3Ss6Z5H_9DetJZvj9N7KdZppsICH_Oq25NZ5w4VVNTTaYfq9U28QpFS_y5un6kvp5T_Vzl2IdwrL5Wo4q_l-LQoBUA9LcN_8voXIg4TRTEDHbMaPlmBKWhCTOa42cccR0Gmu6u8u3o2eQluYCmjWo4Ir4qhdKkZbN-Y.jICwxcVWtUUYo7Uvg83ctPGS8NOxFpmGorWx0kK7He0&amp;dib_tag=se&amp;keywords=MAYBELLINE+FIT+ME+POWDER+130&amp;qid=1756801364&amp;s=beauty&amp;sprefix=maybelline+fit+me+powder+130%2Cbeauty%2C16506&amp;sr=1-6</t>
        </is>
      </c>
      <c r="L651" s="18" t="inlineStr">
        <is>
          <t>B076SJCCMP</t>
        </is>
      </c>
      <c r="M651" s="19" t="n"/>
      <c r="N651" s="19" t="n"/>
      <c r="O651" s="19" t="n">
        <v>10.9</v>
      </c>
      <c r="P651" s="19">
        <f>O651/1.19</f>
        <v/>
      </c>
      <c r="Q651" s="19">
        <f>O651-P651</f>
        <v/>
      </c>
      <c r="R651" s="19">
        <f>O651*0.15</f>
        <v/>
      </c>
      <c r="S651" s="19" t="n">
        <v>5.11</v>
      </c>
      <c r="T651" s="19">
        <f>S651*0.2</f>
        <v/>
      </c>
      <c r="U651" s="19" t="n">
        <v>0.400000000000002</v>
      </c>
      <c r="V651" s="19" t="n">
        <v>2</v>
      </c>
      <c r="W651" s="19">
        <f>V651*0.2</f>
        <v/>
      </c>
      <c r="X651" s="16">
        <f>O651-Q651-R651-S651-U651-V651+T651+W651</f>
        <v/>
      </c>
      <c r="Y651" s="18" t="n"/>
      <c r="Z651" s="19">
        <f>O651+1.5</f>
        <v/>
      </c>
      <c r="AA651" s="19" t="n"/>
      <c r="AB651" s="19" t="n"/>
      <c r="AC651" s="18" t="n"/>
      <c r="AD651" s="18" t="n"/>
      <c r="AE651" s="13" t="inlineStr">
        <is>
          <t>NOT_UPLOADED</t>
        </is>
      </c>
    </row>
    <row r="652" ht="16" customHeight="1">
      <c r="A652" s="12" t="n">
        <v>41554433807</v>
      </c>
      <c r="B652" s="12" t="n">
        <v>3600531384210</v>
      </c>
      <c r="C652" s="13" t="n"/>
      <c r="D652" s="14" t="n"/>
      <c r="E652" s="14" t="inlineStr">
        <is>
          <t>DM-041554433807</t>
        </is>
      </c>
      <c r="F652" s="12" t="n">
        <v>2290480</v>
      </c>
      <c r="G652" s="14" t="inlineStr">
        <is>
          <t>DM</t>
        </is>
      </c>
      <c r="H652" s="14" t="inlineStr">
        <is>
          <t>Maybelline</t>
        </is>
      </c>
      <c r="I652" s="14" t="inlineStr">
        <is>
          <t>Maybelline New York Fit Me Matte Plus Poreless Powder - Buff Beige</t>
        </is>
      </c>
      <c r="J652" s="14" t="inlineStr">
        <is>
          <t>No</t>
        </is>
      </c>
      <c r="K652" s="14" t="inlineStr">
        <is>
          <t>https://www.amazon.de/-/en/Maybelline-York-Matte-Poreless-Powder/dp/B00PFCSQBS/ref=sr_1_9?crid=1QDZVXT2YR5I8&amp;dib=eyJ2IjoiMSJ9.SM1hXkkssiflHQ_Cpin9sOqq4PI0xMEf8KtpQHZlbfEi6klvn2uGuLKPdg9Xz9rdsr8YyuBkh_DAo2rsmj__nC8boPzga2baM1Iax9uhfPPLtwDOwuM-LP5vlBNaUSWDxmbivXOv3Ss6Z5H_9DetJZvj9N7KdZppsICH_Oq25NZ5w4VVNTTaYfq9U28QpFS_y5un6kvp5T_Vzl2IdwrL5Wo4q_l-LQoBUA9LcN_8voXIg4TRTEDHbMaPlmBKWhCTOa42cccR0Gmu6u8u3o2eQluYCmjWo4Ir4qhdKkZbN-Y.jICwxcVWtUUYo7Uvg83ctPGS8NOxFpmGorWx0kK7He0&amp;dib_tag=se&amp;keywords=MAYBELLINE+FIT+ME+POWDER+130&amp;qid=1756801364&amp;s=beauty&amp;sprefix=maybelline+fit+me+powder+130%2Cbeauty%2C16506&amp;sr=1-9</t>
        </is>
      </c>
      <c r="L652" s="14" t="inlineStr">
        <is>
          <t>B00PFCSQBS</t>
        </is>
      </c>
      <c r="M652" s="15" t="n"/>
      <c r="N652" s="15" t="n"/>
      <c r="O652" s="15" t="n">
        <v>13.7</v>
      </c>
      <c r="P652" s="15">
        <f>O652/1.19</f>
        <v/>
      </c>
      <c r="Q652" s="15">
        <f>O652-P652</f>
        <v/>
      </c>
      <c r="R652" s="15">
        <f>O652*0.15</f>
        <v/>
      </c>
      <c r="S652" s="15" t="n">
        <v>5.11</v>
      </c>
      <c r="T652" s="15">
        <f>S652*0.2</f>
        <v/>
      </c>
      <c r="U652" s="15" t="n">
        <v>0.400000000000002</v>
      </c>
      <c r="V652" s="15" t="n">
        <v>2</v>
      </c>
      <c r="W652" s="15">
        <f>V652*0.2</f>
        <v/>
      </c>
      <c r="X652" s="21">
        <f>O652-Q652-R652-S652-U652-V652+T652+W652</f>
        <v/>
      </c>
      <c r="Y652" s="14" t="n"/>
      <c r="Z652" s="15">
        <f>O652+1.5</f>
        <v/>
      </c>
      <c r="AA652" s="15" t="n"/>
      <c r="AB652" s="15" t="n"/>
      <c r="AC652" s="14" t="n"/>
      <c r="AD652" s="14" t="n"/>
      <c r="AE652" s="13" t="inlineStr">
        <is>
          <t>NOT_UPLOADED</t>
        </is>
      </c>
    </row>
    <row r="653" ht="16" customHeight="1">
      <c r="A653" s="17" t="n">
        <v>41554238846</v>
      </c>
      <c r="B653" s="17" t="n">
        <v>3600531384210</v>
      </c>
      <c r="C653" s="13" t="n"/>
      <c r="D653" s="18" t="n"/>
      <c r="E653" s="18" t="inlineStr">
        <is>
          <t>DM-0041554238846</t>
        </is>
      </c>
      <c r="F653" s="17" t="inlineStr">
        <is>
          <t>M4043</t>
        </is>
      </c>
      <c r="G653" s="18" t="inlineStr">
        <is>
          <t>FORTUNA</t>
        </is>
      </c>
      <c r="H653" s="18" t="inlineStr">
        <is>
          <t>Maybelline</t>
        </is>
      </c>
      <c r="I653" s="18" t="inlineStr">
        <is>
          <t>MAYBELLINE Fit Me! Set + Smooth Powder - Buff Beige</t>
        </is>
      </c>
      <c r="J653" s="18" t="inlineStr">
        <is>
          <t>No</t>
        </is>
      </c>
      <c r="K653" s="18" t="inlineStr">
        <is>
          <t>https://www.amazon.de/-/en/MAYBELLINE-Fit-Set-Smooth-Powder/dp/B00467B7Q4/ref=sr_1_16?crid=1QDZVXT2YR5I8&amp;dib=eyJ2IjoiMSJ9.SM1hXkkssiflHQ_Cpin9sOqq4PI0xMEf8KtpQHZlbfEi6klvn2uGuLKPdg9Xz9rdsr8YyuBkh_DAo2rsmj__nC8boPzga2baM1Iax9uhfPPLtwDOwuM-LP5vlBNaUSWDxmbivXOv3Ss6Z5H_9DetJZvj9N7KdZppsICH_Oq25NZ5w4VVNTTaYfq9U28QpFS_y5un6kvp5T_Vzl2IdwrL5Wo4q_l-LQoBUA9LcN_8voXIg4TRTEDHbMaPlmBKWhCTOa42cccR0Gmu6u8u3o2eQluYCmjWo4Ir4qhdKkZbN-Y.jICwxcVWtUUYo7Uvg83ctPGS8NOxFpmGorWx0kK7He0&amp;dib_tag=se&amp;keywords=MAYBELLINE+FIT+ME+POWDER+130&amp;qid=1756801364&amp;s=beauty&amp;sprefix=maybelline+fit+me+powder+130%2Cbeauty%2C16506&amp;sr=1-16</t>
        </is>
      </c>
      <c r="L653" s="18" t="inlineStr">
        <is>
          <t>B00467B7Q4</t>
        </is>
      </c>
      <c r="M653" s="19" t="n"/>
      <c r="N653" s="19" t="n"/>
      <c r="O653" s="19" t="n">
        <v>12.85</v>
      </c>
      <c r="P653" s="19">
        <f>O653/1.19</f>
        <v/>
      </c>
      <c r="Q653" s="19">
        <f>O653-P653</f>
        <v/>
      </c>
      <c r="R653" s="19">
        <f>O653*0.15</f>
        <v/>
      </c>
      <c r="S653" s="19" t="n">
        <v>5.93</v>
      </c>
      <c r="T653" s="19">
        <f>S653*0.2</f>
        <v/>
      </c>
      <c r="U653" s="19" t="n">
        <v>0.400000000000002</v>
      </c>
      <c r="V653" s="19" t="n">
        <v>2</v>
      </c>
      <c r="W653" s="19">
        <f>V653*0.2</f>
        <v/>
      </c>
      <c r="X653" s="21">
        <f>O653-Q653-R653-S653-U653-V653+T653+W653</f>
        <v/>
      </c>
      <c r="Y653" s="18" t="n"/>
      <c r="Z653" s="19">
        <f>O653+1.5</f>
        <v/>
      </c>
      <c r="AA653" s="19" t="n"/>
      <c r="AB653" s="19" t="n"/>
      <c r="AC653" s="18" t="n"/>
      <c r="AD653" s="18" t="n"/>
      <c r="AE653" s="13" t="inlineStr">
        <is>
          <t>NOT_UPLOADED</t>
        </is>
      </c>
    </row>
    <row r="654" ht="16" customHeight="1">
      <c r="A654" s="12" t="n">
        <v>3600523982356</v>
      </c>
      <c r="B654" s="12" t="n">
        <v>3600523959877</v>
      </c>
      <c r="C654" s="13" t="n"/>
      <c r="D654" s="14" t="n"/>
      <c r="E654" s="14" t="inlineStr">
        <is>
          <t>DM-3600523982356</t>
        </is>
      </c>
      <c r="F654" s="12" t="n">
        <v>1586191</v>
      </c>
      <c r="G654" s="14" t="inlineStr">
        <is>
          <t>DM</t>
        </is>
      </c>
      <c r="H654" s="14" t="inlineStr">
        <is>
          <t>Loreal</t>
        </is>
      </c>
      <c r="I654" s="14" t="inlineStr">
        <is>
          <t>Loreal Superliner Perfect Slim Eyeliner 2 ml 2ml</t>
        </is>
      </c>
      <c r="J654" s="14" t="inlineStr">
        <is>
          <t>No</t>
        </is>
      </c>
      <c r="K654" s="14" t="inlineStr">
        <is>
          <t>https://www.amazon.de/-/en/Loreal-Superliner-Perfect-Slim-Eyeliner/dp/B0077HAPBI/ref=sr_1_1?crid=3IYQFW2X11WCW&amp;dib=eyJ2IjoiMSJ9.ST0oVIN85k_A4ZvR2OkY4Ouqwp5_6j9bkP272x-emaE.rMd_NFImG--zC9RMG2vFyJuJwLcdL5zQOQgInFcXHGg&amp;dib_tag=se&amp;keywords=3600523959877&amp;qid=1756802148&amp;rdc=1&amp;sprefix=3600523959877%2Caps%2C255&amp;sr=8-1&amp;th=1</t>
        </is>
      </c>
      <c r="L654" s="14" t="inlineStr">
        <is>
          <t>B0077HAPBI</t>
        </is>
      </c>
      <c r="M654" s="15" t="n"/>
      <c r="N654" s="15" t="n"/>
      <c r="O654" s="15" t="n">
        <v>13.35</v>
      </c>
      <c r="P654" s="15">
        <f>O654/1.19</f>
        <v/>
      </c>
      <c r="Q654" s="15">
        <f>O654-P654</f>
        <v/>
      </c>
      <c r="R654" s="15">
        <f>O654*0.15</f>
        <v/>
      </c>
      <c r="S654" s="15" t="n">
        <v>7.55</v>
      </c>
      <c r="T654" s="15">
        <f>S654*0.2</f>
        <v/>
      </c>
      <c r="U654" s="15" t="n">
        <v>0.400000000000002</v>
      </c>
      <c r="V654" s="15" t="n">
        <v>1.8</v>
      </c>
      <c r="W654" s="15">
        <f>V654*0.2</f>
        <v/>
      </c>
      <c r="X654" s="16">
        <f>O654-Q654-R654-S654-U654-V654+T654+W654</f>
        <v/>
      </c>
      <c r="Y654" s="14" t="n"/>
      <c r="Z654" s="15">
        <f>O654+1.5</f>
        <v/>
      </c>
      <c r="AA654" s="15" t="n"/>
      <c r="AB654" s="15" t="n"/>
      <c r="AC654" s="14" t="n"/>
      <c r="AD654" s="14" t="n"/>
      <c r="AE654" s="13" t="inlineStr">
        <is>
          <t>NOT_UPLOADED</t>
        </is>
      </c>
    </row>
    <row r="655" ht="16" customHeight="1">
      <c r="A655" s="17" t="n">
        <v>3600523959877</v>
      </c>
      <c r="B655" s="17" t="n">
        <v>3600523959877</v>
      </c>
      <c r="C655" s="13" t="n"/>
      <c r="D655" s="18" t="n"/>
      <c r="E655" s="18" t="inlineStr">
        <is>
          <t>DM-3600523959877</t>
        </is>
      </c>
      <c r="F655" s="17" t="n">
        <v>1586191</v>
      </c>
      <c r="G655" s="18" t="inlineStr">
        <is>
          <t>DM</t>
        </is>
      </c>
      <c r="H655" s="18" t="inlineStr">
        <is>
          <t>Loreal</t>
        </is>
      </c>
      <c r="I655" s="18" t="inlineStr">
        <is>
          <t>L'Oréal Paris Eyeliner with Precise Felt Tip for the Perfect Eyeliner and Irresistible Eye Make-up, Super Liner Perfect Slim, No. 1 Intense Black, Pack of 1</t>
        </is>
      </c>
      <c r="J655" s="18" t="inlineStr">
        <is>
          <t>No</t>
        </is>
      </c>
      <c r="K655" s="18" t="inlineStr">
        <is>
          <t>https://www.amazon.de/-/en/Eyeliner-Precise-Perfect-Irresistible-Make-Up/dp/B08R7C3D9G/ref=sr_1_2?crid=3IYQFW2X11WCW&amp;dib=eyJ2IjoiMSJ9.ST0oVIN85k_A4ZvR2OkY4Ouqwp5_6j9bkP272x-emaE.rMd_NFImG--zC9RMG2vFyJuJwLcdL5zQOQgInFcXHGg&amp;dib_tag=se&amp;keywords=3600523959877&amp;qid=1756802439&amp;sprefix=3600523959877%2Caps%2C255&amp;sr=8-2&amp;th=1</t>
        </is>
      </c>
      <c r="L655" s="18" t="inlineStr">
        <is>
          <t>B08R7C3D9G</t>
        </is>
      </c>
      <c r="M655" s="19" t="n"/>
      <c r="N655" s="19" t="n"/>
      <c r="O655" s="19" t="n">
        <v>11.9</v>
      </c>
      <c r="P655" s="19">
        <f>O655/1.19</f>
        <v/>
      </c>
      <c r="Q655" s="19">
        <f>O655-P655</f>
        <v/>
      </c>
      <c r="R655" s="19">
        <f>O655*0.15</f>
        <v/>
      </c>
      <c r="S655" s="19" t="n">
        <v>6.04</v>
      </c>
      <c r="T655" s="19">
        <f>S655*0.2</f>
        <v/>
      </c>
      <c r="U655" s="19" t="n">
        <v>0.400000000000002</v>
      </c>
      <c r="V655" s="19" t="n">
        <v>1.8</v>
      </c>
      <c r="W655" s="19">
        <f>V655*0.2</f>
        <v/>
      </c>
      <c r="X655" s="16">
        <f>O655-Q655-R655-S655-U655-V655+T655+W655</f>
        <v/>
      </c>
      <c r="Y655" s="18" t="n"/>
      <c r="Z655" s="19">
        <f>O655+1.5</f>
        <v/>
      </c>
      <c r="AA655" s="19" t="n"/>
      <c r="AB655" s="19" t="n"/>
      <c r="AC655" s="18" t="n"/>
      <c r="AD655" s="18" t="n"/>
      <c r="AE655" s="13" t="inlineStr">
        <is>
          <t>NOT_UPLOADED</t>
        </is>
      </c>
    </row>
    <row r="656" ht="16" customHeight="1">
      <c r="A656" s="12" t="n">
        <v>30152526</v>
      </c>
      <c r="B656" s="12" t="n">
        <v>30152526</v>
      </c>
      <c r="C656" s="13" t="n"/>
      <c r="D656" s="14" t="n"/>
      <c r="E656" s="14" t="inlineStr">
        <is>
          <t>DM-0000030152526</t>
        </is>
      </c>
      <c r="F656" s="12" t="n">
        <v>1649538</v>
      </c>
      <c r="G656" s="14" t="inlineStr">
        <is>
          <t>DM</t>
        </is>
      </c>
      <c r="H656" s="14" t="inlineStr">
        <is>
          <t>Loreal</t>
        </is>
      </c>
      <c r="I656" s="14" t="inlineStr">
        <is>
          <t>L'Oréal Paris Infallible Grip 24H Vinyl Liquid Liner Black, Liquid Eyeliner with Soft and Flexible Applicator</t>
        </is>
      </c>
      <c r="J656" s="14" t="inlineStr">
        <is>
          <t>No</t>
        </is>
      </c>
      <c r="K656" s="14" t="inlineStr">
        <is>
          <t>https://www.amazon.de/-/en/LOr%C3%A9al-Infallible-Eyeliner-Flexible-Applicator/dp/B0B3S5CSLC/ref=sr_1_6?crid=1KQTK8B6QYQS3&amp;dib=eyJ2IjoiMSJ9.miOI8W8qwZVbpscOAPlnXpU9gUqCONFedqKCWvVDN-UclNyQMVX83GurW4dvXo-E0r6pNHxCCQTJAuQHnsWj0shNN71iYgMrDZmv_Jz4EZ8y6x39QMoq64D9bl-UMQGZTO6CCdlj1tv_trHOT6lFz9q9h13GXDsxIgffawPekWpS6DP46n7vCELywpNsM3BpPtSHgui7zz4QieGKTfl5MLQXl_Jw8nXVKmYPfOIEhdGPtiDM-EZNxx0V4pA3cT8-9zUtdqor2Po_j0d9XTSB0jldBH_JrgoyIcdgnZyIzok.bYNP8Z4XqRCDwa4Ek-9adPXSIMhWEFYXm9tlg_t-UpU&amp;dib_tag=se&amp;keywords=loreal%2Binfaillible%2BLIQUID%2BEYE%2BLINER&amp;qid=1756802762&amp;rdc=1&amp;sprefix=loreal%2Binfaillible%2Bliquid%2Beye%2B%2Caps%2C837&amp;sr=8-6&amp;th=1</t>
        </is>
      </c>
      <c r="L656" s="14" t="inlineStr">
        <is>
          <t>B0B3S5CSLC</t>
        </is>
      </c>
      <c r="M656" s="15" t="n"/>
      <c r="N656" s="15" t="n"/>
      <c r="O656" s="15" t="n">
        <v>14.2</v>
      </c>
      <c r="P656" s="15">
        <f>O656/1.19</f>
        <v/>
      </c>
      <c r="Q656" s="15">
        <f>O656-P656</f>
        <v/>
      </c>
      <c r="R656" s="15">
        <f>O656*0.15</f>
        <v/>
      </c>
      <c r="S656" s="15" t="n">
        <v>7.27</v>
      </c>
      <c r="T656" s="15">
        <f>S656*0.2</f>
        <v/>
      </c>
      <c r="U656" s="15" t="n">
        <v>0.400000000000002</v>
      </c>
      <c r="V656" s="15" t="n">
        <v>2</v>
      </c>
      <c r="W656" s="15">
        <f>V656*0.2</f>
        <v/>
      </c>
      <c r="X656" s="16">
        <f>O656-Q656-R656-S656-U656-V656+T656+W656</f>
        <v/>
      </c>
      <c r="Y656" s="14" t="n"/>
      <c r="Z656" s="15">
        <f>O656+1.5</f>
        <v/>
      </c>
      <c r="AA656" s="15" t="n"/>
      <c r="AB656" s="15" t="n"/>
      <c r="AC656" s="14" t="n"/>
      <c r="AD656" s="14" t="n"/>
      <c r="AE656" s="13" t="inlineStr">
        <is>
          <t>NOT_UPLOADED</t>
        </is>
      </c>
    </row>
    <row r="657" ht="16" customHeight="1">
      <c r="A657" s="17" t="n">
        <v>30175228</v>
      </c>
      <c r="B657" s="17" t="n">
        <v>30152526</v>
      </c>
      <c r="C657" s="13" t="n"/>
      <c r="D657" s="18" t="n"/>
      <c r="E657" s="18" t="inlineStr">
        <is>
          <t>DM-0000030175228</t>
        </is>
      </c>
      <c r="F657" s="17" t="n">
        <v>1649538</v>
      </c>
      <c r="G657" s="18" t="inlineStr">
        <is>
          <t>DM</t>
        </is>
      </c>
      <c r="H657" s="18" t="inlineStr">
        <is>
          <t>Loreal</t>
        </is>
      </c>
      <c r="I657" s="18" t="inlineStr">
        <is>
          <t>L'Oréal Paris Matte Signature Eyeliner 01 Black, Black Eyeliner with Precision Brush for a Precise Eyeliner, Smudge-proof and Waterproof</t>
        </is>
      </c>
      <c r="J657" s="18" t="inlineStr">
        <is>
          <t>No</t>
        </is>
      </c>
      <c r="K657" s="18" t="inlineStr">
        <is>
          <t>https://www.amazon.de/-/en/30175242/dp/B07VBG7N5D/ref=cs_sr_dp_2?crid=1KQTK8B6QYQS3&amp;dib=eyJ2IjoiMSJ9.miOI8W8qwZVbpscOAPlnXpU9gUqCONFedqKCWvVDN-UclNyQMVX83GurW4dvXo-E0r6pNHxCCQTJAuQHnsWj0shNN71iYgMrDZmv_Jz4EZ8y6x39QMoq64D9bl-UMQGZTO6CCdlj1tv_trHOT6lFz9q9h13GXDsxIgffawPekWpS6DP46n7vCELywpNsM3BpsWGEHKL8eVieGZE7pTocIW0UJxgZpR2jA6tyyCRNOgWPtiDM-EZNxx0V4pA3cT8-9zUtdqor2Po_j0d9XTSB0jldBH_JrgoyIcdgnZyIzok.Q6oF021VcJaSDZhjrrZ1AKQtwutkME9jAetd97gJM00&amp;dib_tag=se&amp;keywords=loreal%2Binfaillible%2BLIQUID%2BEYE%2BLINER&amp;qid=1756803043&amp;rdc=1&amp;sprefix=loreal%2Binfaillible%2Bliquid%2Beye%2B%2Caps%2C837&amp;sr=8-7&amp;th=1</t>
        </is>
      </c>
      <c r="L657" s="18" t="inlineStr">
        <is>
          <t>B07VBG7N5D</t>
        </is>
      </c>
      <c r="M657" s="19" t="n"/>
      <c r="N657" s="19" t="n"/>
      <c r="O657" s="19" t="n">
        <v>14.9</v>
      </c>
      <c r="P657" s="19">
        <f>O657/1.19</f>
        <v/>
      </c>
      <c r="Q657" s="19">
        <f>O657-P657</f>
        <v/>
      </c>
      <c r="R657" s="19">
        <f>O657*0.15</f>
        <v/>
      </c>
      <c r="S657" s="19" t="n">
        <v>7.27</v>
      </c>
      <c r="T657" s="19">
        <f>S657*0.2</f>
        <v/>
      </c>
      <c r="U657" s="19" t="n">
        <v>0.400000000000002</v>
      </c>
      <c r="V657" s="19" t="n">
        <v>2</v>
      </c>
      <c r="W657" s="19">
        <f>V657*0.2</f>
        <v/>
      </c>
      <c r="X657" s="21">
        <f>O657-Q657-R657-S657-U657-V657+T657+W657</f>
        <v/>
      </c>
      <c r="Y657" s="18" t="n"/>
      <c r="Z657" s="19">
        <f>O657+1.5</f>
        <v/>
      </c>
      <c r="AA657" s="19" t="n"/>
      <c r="AB657" s="19" t="n"/>
      <c r="AC657" s="18" t="n"/>
      <c r="AD657" s="18" t="n"/>
      <c r="AE657" s="13" t="inlineStr">
        <is>
          <t>NOT_UPLOADED</t>
        </is>
      </c>
    </row>
    <row r="658" ht="16" customHeight="1">
      <c r="A658" s="12" t="n">
        <v>3600523727933</v>
      </c>
      <c r="B658" s="12" t="n">
        <v>3600524050832</v>
      </c>
      <c r="C658" s="20" t="inlineStr">
        <is>
          <t>PACK X 2</t>
        </is>
      </c>
      <c r="D658" s="14" t="n"/>
      <c r="E658" s="14" t="inlineStr">
        <is>
          <t>DM-3600523727933</t>
        </is>
      </c>
      <c r="F658" s="12" t="n">
        <v>1662923</v>
      </c>
      <c r="G658" s="14" t="inlineStr">
        <is>
          <t>DM</t>
        </is>
      </c>
      <c r="H658" s="14" t="inlineStr">
        <is>
          <t>Loreal</t>
        </is>
      </c>
      <c r="I658" s="14" t="inlineStr">
        <is>
          <t>L'Oréal Paris Infaillible Grip Eyeliner with Felt Tip, Ultra Thin Precise Felt for Precise Strokes, Waterproof, Non-Transfer 24 Hours, Long Lasting, Intense Color 01 Black-2</t>
        </is>
      </c>
      <c r="J658" s="14" t="inlineStr">
        <is>
          <t>No</t>
        </is>
      </c>
      <c r="K658" s="14" t="inlineStr">
        <is>
          <t>https://www.amazon.de/-/en/Infaillible-Eyeliner-Precise-Waterproof-Non-Transfer/dp/B0BZSQ38VC/ref=sr_1_3?crid=DRB22XVAVBAZ&amp;dib=eyJ2IjoiMSJ9.ERcUi1vcKGCRJnW6RkOAfPPk7Xh2L47aU7iGIR2BuuQ2OYbMMsOvTZPjTuhEmsf1pKJa-EZE28-W1ZWy5nhZC-WsBNLfMdg2wPqYrPTDRd8OnRkYmNmBdUDCrUAaBZUv0CZUVmCap3n3K278Yk1n2Wi2hMPAaq6Hg7pgEYz5bxMHXC-oHPlivvBs3HJTfpZ4twWO1e0BXGr0k-L8y2FUqqL7qNw35UQXWXrbLzXqFFymoDFEYRBrTZqhYz7nRvLaWJ2kc8-vbwYi_Y8cuKJcmif95nWCXhfRqvLIDoHsccA.ealJXMJgtWzq6vk8KUvGszNbNMufSLbJIZaEjQzr4WM&amp;dib_tag=se&amp;keywords=loreal+infaillible+grip+01&amp;qid=1756803452&amp;sprefix=loreal+infaillible+grip+01%2Caps%2C186&amp;sr=8-3</t>
        </is>
      </c>
      <c r="L658" s="14" t="inlineStr">
        <is>
          <t>B0BZSQ38VC</t>
        </is>
      </c>
      <c r="M658" s="15" t="n">
        <v>29</v>
      </c>
      <c r="N658" s="15" t="n"/>
      <c r="O658" s="15" t="n">
        <v>27</v>
      </c>
      <c r="P658" s="15">
        <f>O658/1.19</f>
        <v/>
      </c>
      <c r="Q658" s="15">
        <f>O658-P658</f>
        <v/>
      </c>
      <c r="R658" s="15">
        <f>O658*0.15</f>
        <v/>
      </c>
      <c r="S658" s="15" t="n">
        <v>12.07</v>
      </c>
      <c r="T658" s="15">
        <f>S658*0.2</f>
        <v/>
      </c>
      <c r="U658" s="15" t="n">
        <v>0.400000000000002</v>
      </c>
      <c r="V658" s="15" t="n">
        <v>2.2</v>
      </c>
      <c r="W658" s="15">
        <f>V658*0.2</f>
        <v/>
      </c>
      <c r="X658" s="21">
        <f>O658-Q658-R658-S658-U658-V658+T658+W658</f>
        <v/>
      </c>
      <c r="Y658" s="14" t="n"/>
      <c r="Z658" s="15">
        <f>O658+1.5</f>
        <v/>
      </c>
      <c r="AA658" s="15" t="n"/>
      <c r="AB658" s="15" t="n"/>
      <c r="AC658" s="14" t="n"/>
      <c r="AD658" s="14" t="n"/>
      <c r="AE658" s="13" t="inlineStr">
        <is>
          <t>NOT_UPLOADED</t>
        </is>
      </c>
    </row>
    <row r="659" ht="16" customHeight="1">
      <c r="A659" s="17" t="n">
        <v>3600524026639</v>
      </c>
      <c r="B659" s="17" t="n">
        <v>3600524026639</v>
      </c>
      <c r="C659" s="13" t="n"/>
      <c r="D659" s="18" t="n"/>
      <c r="E659" s="18" t="inlineStr">
        <is>
          <t>DM-3600524026639</t>
        </is>
      </c>
      <c r="F659" s="17" t="n">
        <v>1623683</v>
      </c>
      <c r="G659" s="18" t="inlineStr">
        <is>
          <t>DM</t>
        </is>
      </c>
      <c r="H659" s="18" t="inlineStr">
        <is>
          <t>Loreal</t>
        </is>
      </c>
      <c r="I659" s="18" t="inlineStr">
        <is>
          <t>L'Oréal Paris Waterproof Eyeliner with Gel Formula and Integrated Sponge for Successful Smokey Eyes, 36h Hold, Infaillible Gel Automatic Grip Liner, Intense Black, Pack of 1</t>
        </is>
      </c>
      <c r="J659" s="18" t="inlineStr">
        <is>
          <t>No</t>
        </is>
      </c>
      <c r="K659" s="18" t="inlineStr">
        <is>
          <t>https://www.amazon.de/-/en/Waterproof-Integrated-Successful-Infaillible-Automatic/dp/B09NQGDDGF/ref=sr_1_1?crid=17FXED6DCJD1I&amp;dib=eyJ2IjoiMSJ9.QB2o3tpf8Bp9r_InWya0bA.wpcTgjIqeI48QEg29oSoh1bDFNHQUgB-ISX1Rj4kr2E&amp;dib_tag=se&amp;keywords=3600524026639&amp;qid=1756803917&amp;sprefix=3600524026639%2Caps%2C216&amp;sr=8-1&amp;th=1</t>
        </is>
      </c>
      <c r="L659" s="18" t="inlineStr">
        <is>
          <t>B09NQGDDGF</t>
        </is>
      </c>
      <c r="M659" s="19" t="n"/>
      <c r="N659" s="19" t="n"/>
      <c r="O659" s="19" t="n">
        <v>13.3</v>
      </c>
      <c r="P659" s="19">
        <f>O659/1.19</f>
        <v/>
      </c>
      <c r="Q659" s="19">
        <f>O659-P659</f>
        <v/>
      </c>
      <c r="R659" s="19">
        <f>O659*0.15</f>
        <v/>
      </c>
      <c r="S659" s="19" t="n">
        <v>6.28</v>
      </c>
      <c r="T659" s="19">
        <f>S659*0.2</f>
        <v/>
      </c>
      <c r="U659" s="19" t="n">
        <v>0.400000000000002</v>
      </c>
      <c r="V659" s="19" t="n">
        <v>2</v>
      </c>
      <c r="W659" s="19">
        <f>V659*0.2</f>
        <v/>
      </c>
      <c r="X659" s="21">
        <f>O659-Q659-R659-S659-U659-V659+T659+W659</f>
        <v/>
      </c>
      <c r="Y659" s="18" t="n"/>
      <c r="Z659" s="19">
        <f>O659+1.5</f>
        <v/>
      </c>
      <c r="AA659" s="19" t="n"/>
      <c r="AB659" s="19" t="n"/>
      <c r="AC659" s="18" t="n"/>
      <c r="AD659" s="18" t="n"/>
      <c r="AE659" s="13" t="inlineStr">
        <is>
          <t>NOT_UPLOADED</t>
        </is>
      </c>
    </row>
    <row r="660" ht="16" customHeight="1">
      <c r="A660" s="12" t="n">
        <v>3600524026660</v>
      </c>
      <c r="B660" s="12" t="n">
        <v>3600524026660</v>
      </c>
      <c r="C660" s="13" t="n"/>
      <c r="D660" s="14" t="n"/>
      <c r="E660" s="14" t="inlineStr">
        <is>
          <t>DM-3600524026660</t>
        </is>
      </c>
      <c r="F660" s="12" t="n">
        <v>1623682</v>
      </c>
      <c r="G660" s="14" t="inlineStr">
        <is>
          <t>DM</t>
        </is>
      </c>
      <c r="H660" s="14" t="inlineStr">
        <is>
          <t>Loreal</t>
        </is>
      </c>
      <c r="I660" s="14" t="inlineStr">
        <is>
          <t>L'Oréal Paris Waterproof Eyeliner with Gel Formula and Integrated Sponge for Successful Smokey Eyes, 36h Hold, Infaillible Gel Automatic Grip Liner, Brown Demin (Brown), Pack of 1</t>
        </is>
      </c>
      <c r="J660" s="14" t="inlineStr">
        <is>
          <t>No</t>
        </is>
      </c>
      <c r="K660" s="14" t="inlineStr">
        <is>
          <t>https://www.amazon.de/-/en/Waterproof-Integrated-Successful-Infaillible-Automatic/dp/B09NQGNVMB/ref=sr_1_1?crid=17FXED6DCJD1I&amp;dib=eyJ2IjoiMSJ9.QB2o3tpf8Bp9r_InWya0bA.wpcTgjIqeI48QEg29oSoh1bDFNHQUgB-ISX1Rj4kr2E&amp;dib_tag=se&amp;keywords=3600524026639&amp;qid=1756803917&amp;sprefix=3600524026639%2Caps%2C216&amp;sr=8-1&amp;th=1</t>
        </is>
      </c>
      <c r="L660" s="14" t="inlineStr">
        <is>
          <t>B09NQGNVMB</t>
        </is>
      </c>
      <c r="M660" s="15" t="n"/>
      <c r="N660" s="15" t="n"/>
      <c r="O660" s="15" t="n">
        <v>12.7</v>
      </c>
      <c r="P660" s="15">
        <f>O660/1.19</f>
        <v/>
      </c>
      <c r="Q660" s="15">
        <f>O660-P660</f>
        <v/>
      </c>
      <c r="R660" s="15">
        <f>O660*0.15</f>
        <v/>
      </c>
      <c r="S660" s="15" t="n">
        <v>6.04</v>
      </c>
      <c r="T660" s="15">
        <f>S660*0.2</f>
        <v/>
      </c>
      <c r="U660" s="15" t="n">
        <v>0.400000000000002</v>
      </c>
      <c r="V660" s="15" t="n">
        <v>2</v>
      </c>
      <c r="W660" s="15">
        <f>V660*0.2</f>
        <v/>
      </c>
      <c r="X660" s="16">
        <f>O660-Q660-R660-S660-U660-V660+T660+W660</f>
        <v/>
      </c>
      <c r="Y660" s="14" t="n"/>
      <c r="Z660" s="15">
        <f>O660+1.5</f>
        <v/>
      </c>
      <c r="AA660" s="15" t="n"/>
      <c r="AB660" s="15" t="n"/>
      <c r="AC660" s="14" t="n"/>
      <c r="AD660" s="14" t="n"/>
      <c r="AE660" s="13" t="inlineStr">
        <is>
          <t>NOT_UPLOADED</t>
        </is>
      </c>
    </row>
    <row r="661" ht="16" customHeight="1">
      <c r="A661" s="17" t="n">
        <v>3600524048907</v>
      </c>
      <c r="B661" s="17" t="n">
        <v>3600524048907</v>
      </c>
      <c r="C661" s="13" t="n"/>
      <c r="D661" s="18" t="n"/>
      <c r="E661" s="18" t="inlineStr">
        <is>
          <t>DM-3600524048907</t>
        </is>
      </c>
      <c r="F661" s="17" t="n">
        <v>1662935</v>
      </c>
      <c r="G661" s="18" t="inlineStr">
        <is>
          <t>DM</t>
        </is>
      </c>
      <c r="H661" s="18" t="inlineStr">
        <is>
          <t>Loreal</t>
        </is>
      </c>
      <c r="I661" s="18" t="inlineStr">
        <is>
          <t>L'Oréal Paris Infaillible 36H Grip Micro-Fine Liner Obsidian, Eyeliner for Ultra-Fine Liner Looks, 0.4 ml</t>
        </is>
      </c>
      <c r="J661" s="18" t="inlineStr">
        <is>
          <t>No</t>
        </is>
      </c>
      <c r="K661" s="18" t="inlineStr">
        <is>
          <t>https://www.amazon.de/-/en/Infaillible-Micro-Fine-Obsidian-Eyeliner-Ultra-Fine/dp/B0B3SC7Q53/ref=sr_1_1?crid=BXYBC8QK3WST&amp;dib=eyJ2IjoiMSJ9.pu1baWnKY0DMsVbad5xNQA.fuGBpYBdnoQC9n6wOCBuSJhJsHS-Cc1WDyr4dEnKyWk&amp;dib_tag=se&amp;keywords=3600524048907&amp;qid=1756906462&amp;sprefix=3600524048907%2Caps%2C203&amp;sr=8-1&amp;th=1</t>
        </is>
      </c>
      <c r="L661" s="18" t="inlineStr">
        <is>
          <t>B0B3SC7Q53</t>
        </is>
      </c>
      <c r="M661" s="19" t="n"/>
      <c r="N661" s="19" t="n"/>
      <c r="O661" s="19" t="n">
        <v>15.8</v>
      </c>
      <c r="P661" s="19">
        <f>O661/1.19</f>
        <v/>
      </c>
      <c r="Q661" s="19">
        <f>O661-P661</f>
        <v/>
      </c>
      <c r="R661" s="19">
        <f>O661*0.15</f>
        <v/>
      </c>
      <c r="S661" s="19" t="n">
        <v>8.35</v>
      </c>
      <c r="T661" s="19">
        <f>S661*0.2</f>
        <v/>
      </c>
      <c r="U661" s="19" t="n">
        <v>0.400000000000002</v>
      </c>
      <c r="V661" s="19" t="n">
        <v>2</v>
      </c>
      <c r="W661" s="19">
        <f>V661*0.2</f>
        <v/>
      </c>
      <c r="X661" s="21">
        <f>O661-Q661-R661-S661-U661-V661+T661+W661</f>
        <v/>
      </c>
      <c r="Y661" s="18" t="n"/>
      <c r="Z661" s="19">
        <f>O661+1.5</f>
        <v/>
      </c>
      <c r="AA661" s="19" t="n"/>
      <c r="AB661" s="19" t="n"/>
      <c r="AC661" s="18" t="n"/>
      <c r="AD661" s="18" t="n"/>
      <c r="AE661" s="13" t="inlineStr">
        <is>
          <t>NOT_UPLOADED</t>
        </is>
      </c>
    </row>
    <row r="662" ht="16" customHeight="1">
      <c r="A662" s="12" t="n">
        <v>3600523409273</v>
      </c>
      <c r="B662" s="12" t="n">
        <v>3600523409273</v>
      </c>
      <c r="C662" s="13" t="n"/>
      <c r="D662" s="14" t="n"/>
      <c r="E662" s="14" t="inlineStr">
        <is>
          <t>DM-3600523409273</t>
        </is>
      </c>
      <c r="F662" s="12" t="n">
        <v>1495905</v>
      </c>
      <c r="G662" s="14" t="inlineStr">
        <is>
          <t>DM</t>
        </is>
      </c>
      <c r="H662" s="14" t="inlineStr">
        <is>
          <t>Loreal</t>
        </is>
      </c>
      <c r="I662" s="14" t="inlineStr">
        <is>
          <t>LOréal Paris Superliner Le Khol Lápiz De Ojos 101 Midnight Black</t>
        </is>
      </c>
      <c r="J662" s="14" t="inlineStr">
        <is>
          <t>No</t>
        </is>
      </c>
      <c r="K662" s="14" t="inlineStr">
        <is>
          <t>https://www.amazon.de/-/en/LOr%C3%A9al-Paris-Superliner-L%C3%A1piz-Midnight/dp/B07BH8KKN5/ref=sr_1_2?crid=1IPINGQN241LK&amp;dib=eyJ2IjoiMSJ9.Fzp1MCuDObPoOv5I2pvYw0pyw7P5CaFGjFCFG7NSyMc.25lDD94es3UKQxQ80bzt0clS8mUMblY2NxmtDA_s8MM&amp;dib_tag=se&amp;keywords=3600523409273&amp;qid=1756983264&amp;sprefix=3600523409273%2Caps%2C108&amp;sr=8-2</t>
        </is>
      </c>
      <c r="L662" s="14" t="inlineStr">
        <is>
          <t>B07BH8KKN5</t>
        </is>
      </c>
      <c r="M662" s="15" t="n"/>
      <c r="N662" s="15" t="n"/>
      <c r="O662" s="15" t="n">
        <v>10.5</v>
      </c>
      <c r="P662" s="15">
        <f>O662/1.19</f>
        <v/>
      </c>
      <c r="Q662" s="15">
        <f>O662-P662</f>
        <v/>
      </c>
      <c r="R662" s="15">
        <f>O662*0.15</f>
        <v/>
      </c>
      <c r="S662" s="15" t="n">
        <v>4.35</v>
      </c>
      <c r="T662" s="15">
        <f>S662*0.2</f>
        <v/>
      </c>
      <c r="U662" s="15" t="n">
        <v>0.400000000000002</v>
      </c>
      <c r="V662" s="15" t="n">
        <v>2</v>
      </c>
      <c r="W662" s="15">
        <f>V662*0.2</f>
        <v/>
      </c>
      <c r="X662" s="16">
        <f>O662-Q662-R662-S662-U662-V662+T662+W662</f>
        <v/>
      </c>
      <c r="Y662" s="14" t="n"/>
      <c r="Z662" s="15">
        <f>O662+1.5</f>
        <v/>
      </c>
      <c r="AA662" s="15" t="n"/>
      <c r="AB662" s="15" t="n"/>
      <c r="AC662" s="14" t="n"/>
      <c r="AD662" s="14" t="n"/>
      <c r="AE662" s="13" t="inlineStr">
        <is>
          <t>NOT_UPLOADED</t>
        </is>
      </c>
    </row>
    <row r="663" ht="16" customHeight="1">
      <c r="A663" s="17" t="n">
        <v>3600523409280</v>
      </c>
      <c r="B663" s="17" t="n">
        <v>3600523409280</v>
      </c>
      <c r="C663" s="13" t="n"/>
      <c r="D663" s="18" t="n"/>
      <c r="E663" s="18" t="inlineStr">
        <is>
          <t>DM-3600523409280</t>
        </is>
      </c>
      <c r="F663" s="17" t="n">
        <v>1495911</v>
      </c>
      <c r="G663" s="18" t="inlineStr">
        <is>
          <t>DM</t>
        </is>
      </c>
      <c r="H663" s="18" t="inlineStr">
        <is>
          <t>Loreal</t>
        </is>
      </c>
      <c r="I663" s="18" t="inlineStr">
        <is>
          <t>L'Oreal Paris Color Riche Le Khol Eyes Eyeliner 102 Pure Espresso</t>
        </is>
      </c>
      <c r="J663" s="18" t="inlineStr">
        <is>
          <t>No</t>
        </is>
      </c>
      <c r="K663" s="18" t="inlineStr">
        <is>
          <t>https://www.amazon.de/-/en/LOr%C3%A9al-Naturell-Paradise-No-101-Midnight/dp/B003U3YMEE/ref=sr_1_1?crid=2PG0NZWMP6M91&amp;dib=eyJ2IjoiMSJ9.u8R0qocePVxOYdF_pEALXnw8ISNxtcNCIQ5yz9RUN3K8zBa0YFChUywNz1wyP3wQ3x8eF2KPShEFUIdA4wX3OfIwhbP7ibugxuFg3pjF3rx-gUbflJVs1SJb3JVgZE8rhdkCMyHc8FTh-rqk2F2pTCB-eDD23yu9EjYT0Eq23uQjY6Zj5535jnXo-MygX_urY1h3EZDUPA7qbQeN7qUZKWBLVWsU5nzsiCNvO9ruBdyHEwyJaJSjyv5JuVVolj2if85-2ublG-SASOz_y7szv-rlm2m_X2zBeOcHfvzaj44.9TSw3BUMIO_PblgEDEFid0RjfaAHcADezRb939B8xXE&amp;dib_tag=se&amp;keywords=loreal%2Ble%2Bkhol&amp;qid=1756983651&amp;sprefix=loreal%2Ble%2Bkhol%2Caps%2C130&amp;sr=8-1&amp;th=1</t>
        </is>
      </c>
      <c r="L663" s="18" t="inlineStr">
        <is>
          <t>B003U3YMEE</t>
        </is>
      </c>
      <c r="M663" s="19" t="n"/>
      <c r="N663" s="19" t="n"/>
      <c r="O663" s="19" t="n">
        <v>10.5</v>
      </c>
      <c r="P663" s="19">
        <f>O663/1.19</f>
        <v/>
      </c>
      <c r="Q663" s="19">
        <f>O663-P663</f>
        <v/>
      </c>
      <c r="R663" s="19">
        <f>O663*0.15</f>
        <v/>
      </c>
      <c r="S663" s="19" t="n">
        <v>4.91</v>
      </c>
      <c r="T663" s="19">
        <f>S663*0.2</f>
        <v/>
      </c>
      <c r="U663" s="19" t="n">
        <v>0.400000000000002</v>
      </c>
      <c r="V663" s="19" t="n">
        <v>2</v>
      </c>
      <c r="W663" s="19">
        <f>V663*0.2</f>
        <v/>
      </c>
      <c r="X663" s="16">
        <f>O663-Q663-R663-S663-U663-V663+T663+W663</f>
        <v/>
      </c>
      <c r="Y663" s="18" t="n"/>
      <c r="Z663" s="19">
        <f>O663+1.5</f>
        <v/>
      </c>
      <c r="AA663" s="19" t="n"/>
      <c r="AB663" s="19" t="n"/>
      <c r="AC663" s="18" t="n"/>
      <c r="AD663" s="18" t="n"/>
      <c r="AE663" s="13" t="inlineStr">
        <is>
          <t>NOT_UPLOADED</t>
        </is>
      </c>
    </row>
    <row r="664" ht="16" customHeight="1">
      <c r="A664" s="12" t="n">
        <v>3600524026660</v>
      </c>
      <c r="B664" s="12" t="n">
        <v>3600524026660</v>
      </c>
      <c r="C664" s="13" t="n"/>
      <c r="D664" s="14" t="n"/>
      <c r="E664" s="14" t="inlineStr">
        <is>
          <t>DM-3600524026660</t>
        </is>
      </c>
      <c r="F664" s="12" t="n">
        <v>1623682</v>
      </c>
      <c r="G664" s="14" t="inlineStr">
        <is>
          <t>DM</t>
        </is>
      </c>
      <c r="H664" s="14" t="inlineStr">
        <is>
          <t>Loreal</t>
        </is>
      </c>
      <c r="I664" s="14" t="inlineStr">
        <is>
          <t>L'Oréal Paris Waterproof Eyeliner with Gel Formula and Integrated Sponge for Successful Smokey Eyes, 36h Hold, Infaillible Gel Automatic Grip Liner, Brown Demin (Brown), Pack of 1</t>
        </is>
      </c>
      <c r="J664" s="14" t="inlineStr">
        <is>
          <t>No</t>
        </is>
      </c>
      <c r="K664" s="14" t="inlineStr">
        <is>
          <t>https://www.amazon.de/-/en/Waterproof-Integrated-Successful-Infaillible-Automatic/dp/B09NQGNVMB/ref=sr_1_2?crid=2R96WJHTL5V1E&amp;dib=eyJ2IjoiMSJ9.GPny1EEqqJDpq22Fjxf81iwDbek5wbIh29ew4Zq8JeDrTeewnTUd3ja-MjDdXleQZWvGEHJ3Wcr4i2IP9_sFkSto0cSNkwrV5kL31QCARoB63lzrPtAs1NCmvLmRoSTsu9IrIjZwo4zEL500Zpm5o17euBsu_KymK735HjnjdjLPHHfrzELxnH1kZK9_imHEDNrf8E249dUCoWqRTN7gAkkeo2Q6V1kavt73J_gLthRXAklbNprquSY1jnWdyPRkgw4WyJtruHaP3hAdiPkerOUv4dhQHVZLu3iAwlZ3saA.KUUF117JVxa89TRKESlD8PLglJ_d7QVD3k4aQ96jBXg&amp;dib_tag=se&amp;keywords=loreal%2BInfaillible%2BGrip%2C%2BBrown%2BDenim%2B004&amp;qid=1756984118&amp;sprefix=loreal%2Binfaillible%2Bgrip%2Bbrown%2Bdenim%2B004%2Caps%2C198&amp;sr=8-2&amp;th=1</t>
        </is>
      </c>
      <c r="L664" s="14" t="inlineStr">
        <is>
          <t>B09NQGNVMB</t>
        </is>
      </c>
      <c r="M664" s="15" t="n"/>
      <c r="N664" s="15" t="n"/>
      <c r="O664" s="15" t="n">
        <v>11.95</v>
      </c>
      <c r="P664" s="15">
        <f>O664/1.19</f>
        <v/>
      </c>
      <c r="Q664" s="15">
        <f>O664-P664</f>
        <v/>
      </c>
      <c r="R664" s="15">
        <f>O664*0.15</f>
        <v/>
      </c>
      <c r="S664" s="15" t="n">
        <v>6.04</v>
      </c>
      <c r="T664" s="15">
        <f>S664*0.2</f>
        <v/>
      </c>
      <c r="U664" s="15" t="n">
        <v>0.400000000000002</v>
      </c>
      <c r="V664" s="15" t="n">
        <v>2</v>
      </c>
      <c r="W664" s="15">
        <f>V664*0.2</f>
        <v/>
      </c>
      <c r="X664" s="16">
        <f>O664-Q664-R664-S664-U664-V664+T664+W664</f>
        <v/>
      </c>
      <c r="Y664" s="14" t="n"/>
      <c r="Z664" s="15">
        <f>O664+1.5</f>
        <v/>
      </c>
      <c r="AA664" s="15" t="n"/>
      <c r="AB664" s="15" t="n"/>
      <c r="AC664" s="14" t="n"/>
      <c r="AD664" s="14" t="n"/>
      <c r="AE664" s="13" t="inlineStr">
        <is>
          <t>NOT_UPLOADED</t>
        </is>
      </c>
    </row>
    <row r="665" ht="16" customHeight="1">
      <c r="A665" s="17" t="n">
        <v>30175242</v>
      </c>
      <c r="B665" s="17" t="n">
        <v>30175242</v>
      </c>
      <c r="C665" s="13" t="n"/>
      <c r="D665" s="18" t="n"/>
      <c r="E665" s="18" t="inlineStr">
        <is>
          <t>DM-0000030175242</t>
        </is>
      </c>
      <c r="F665" s="17" t="n">
        <v>1640564</v>
      </c>
      <c r="G665" s="18" t="inlineStr">
        <is>
          <t>DM</t>
        </is>
      </c>
      <c r="H665" s="18" t="inlineStr">
        <is>
          <t>Loreal</t>
        </is>
      </c>
      <c r="I665" s="18" t="inlineStr">
        <is>
          <t>L’Oréal Paris Infaillible Grip 24H Matte Liquid Liner 03 Marron, brauner Eyeliner für einen präzisen Lidstrich, wisch- und wasserfest</t>
        </is>
      </c>
      <c r="J665" s="18" t="inlineStr">
        <is>
          <t>No</t>
        </is>
      </c>
      <c r="K665" s="18" t="inlineStr">
        <is>
          <t>https://www.amazon.de/-/en/30175242/dp/B07VDLM7CH/ref=sr_1_2?crid=1RTSNDNK8RC0I&amp;dib=eyJ2IjoiMSJ9._bFqa1P-CgRXViPHmTsiMhp1vhqY-T7WqtLwcRxKMoGLp7YxCkYKwsToWVyBwACSM0iMd2zrqA57sUDFIYqaK9MDry8s_GtIr9WnhURzYSUsdT0JKQBg_EQmjfoHxqzbbwpsSZuNZbV5D080g_7vUdb9qLruE699vnGVm8cT3LvxcvBjOrAdaCZv-QLjG5QVNFN4jpn_GkoqtgKkPCC2Dyw3JQkw69gbTnaAH5d3k-EJB2SMWbTP7y-7RsBGJnuLqHu8c4i9eynNSOIRcHhYCHqaJjqpa6gigUDdVYYcOks.Unwf8zYdt19zb-pXx24HtLxQVcqrgtBnHHJ2EzwGd7w&amp;dib_tag=se&amp;keywords=loreal%2BInfaillible%2BGrip%2BInfaillible%2BGrip%2BMatte%2C%2BNr.03&amp;qid=1756987740&amp;rdc=1&amp;sprefix=loreal%2Binfaillible%2Bgrip%2Binfaillible%2Bgrip%2Bmatte%2Bnr.03%2Caps%2C217&amp;sr=8-2&amp;th=1</t>
        </is>
      </c>
      <c r="L665" s="18" t="inlineStr">
        <is>
          <t>B07VDLM7CH</t>
        </is>
      </c>
      <c r="M665" s="19" t="n"/>
      <c r="N665" s="19" t="n"/>
      <c r="O665" s="19" t="n">
        <v>14.3</v>
      </c>
      <c r="P665" s="19">
        <f>O665/1.19</f>
        <v/>
      </c>
      <c r="Q665" s="19">
        <f>O665-P665</f>
        <v/>
      </c>
      <c r="R665" s="19">
        <f>O665*0.15</f>
        <v/>
      </c>
      <c r="S665" s="19" t="n">
        <v>7.27</v>
      </c>
      <c r="T665" s="19">
        <f>S665*0.2</f>
        <v/>
      </c>
      <c r="U665" s="19" t="n">
        <v>0.400000000000002</v>
      </c>
      <c r="V665" s="19" t="n">
        <v>2</v>
      </c>
      <c r="W665" s="19">
        <f>V665*0.2</f>
        <v/>
      </c>
      <c r="X665" s="21">
        <f>O665-Q665-R665-S665-U665-V665+T665+W665</f>
        <v/>
      </c>
      <c r="Y665" s="18" t="n"/>
      <c r="Z665" s="19">
        <f>O665+1.5</f>
        <v/>
      </c>
      <c r="AA665" s="19" t="n"/>
      <c r="AB665" s="19" t="n"/>
      <c r="AC665" s="18" t="n"/>
      <c r="AD665" s="18" t="n"/>
      <c r="AE665" s="13" t="inlineStr">
        <is>
          <t>NOT_UPLOADED</t>
        </is>
      </c>
    </row>
    <row r="666" ht="16" customHeight="1">
      <c r="A666" s="12" t="n">
        <v>3600524048921</v>
      </c>
      <c r="B666" s="12" t="n">
        <v>3600524048921</v>
      </c>
      <c r="C666" s="13" t="n"/>
      <c r="D666" s="14" t="n"/>
      <c r="E666" s="14" t="inlineStr">
        <is>
          <t>DM-3600524048921</t>
        </is>
      </c>
      <c r="F666" s="12" t="n">
        <v>2165918</v>
      </c>
      <c r="G666" s="14" t="inlineStr">
        <is>
          <t>DM</t>
        </is>
      </c>
      <c r="H666" s="14" t="inlineStr">
        <is>
          <t>Loreal</t>
        </is>
      </c>
      <c r="I666" s="14" t="inlineStr">
        <is>
          <t>L'Oréal Paris Infaillible Micro Liner Eyeliner 03 Ancient Rose</t>
        </is>
      </c>
      <c r="J666" s="14" t="inlineStr">
        <is>
          <t>No</t>
        </is>
      </c>
      <c r="K666" s="14" t="inlineStr">
        <is>
          <t>https://www.amazon.de/-/en/LOr%C3%A9al-Paris-Infaillible-Eyeliner-Ancient/dp/B0B3S9RJFL/ref=sr_1_1?crid=1CC6T4FREL65E&amp;dib=eyJ2IjoiMSJ9.0ryYajxMOCAAC7_2z6pRUyDoTPbF4JvL-AKeW5CcaWBkNceokl5S9UW-iWssqjVRqNas6N9-uy8v9ORwHoM3PIfLAImjJmKbgryh7WNAUsktzh-GfErea0z86x85IGkm9Rp4Q-e0ZvXGYR8hPUF4WUBiNwqqNG_ANTVh45OPg2qWkwc3KZ75ZBdUncSCuOR9VLt4zfM1Nl02__5BlG9KXctjuEioVAClgWvN0Km1Dh35gFYaqLbLRss11n839PAp25yjlw5iUccInLhKN2bgkwD9c_p2lHz5WUqyRw-Xwrg.GGIcgjqoDGPw7n5aK3ZrZuFz7a4qAOLmc4sE8JRRtoM&amp;dib_tag=se&amp;keywords=loreal+Infaillible+Micro+Fine+Grip%2C+Nr.03+Ancient+Rose&amp;qid=1756988118&amp;sprefix=loreal+infaillible+micro+fine+grip+nr.03+ancient+rose%2Caps%2C125&amp;sr=8-1</t>
        </is>
      </c>
      <c r="L666" s="14" t="inlineStr">
        <is>
          <t>B0B3S9RJFL</t>
        </is>
      </c>
      <c r="M666" s="15" t="n"/>
      <c r="N666" s="15" t="n"/>
      <c r="O666" s="15" t="n">
        <v>15.7</v>
      </c>
      <c r="P666" s="15">
        <f>O666/1.19</f>
        <v/>
      </c>
      <c r="Q666" s="15">
        <f>O666-P666</f>
        <v/>
      </c>
      <c r="R666" s="15">
        <f>O666*0.15</f>
        <v/>
      </c>
      <c r="S666" s="15" t="n">
        <v>8.35</v>
      </c>
      <c r="T666" s="15">
        <f>S666*0.2</f>
        <v/>
      </c>
      <c r="U666" s="15" t="n">
        <v>0.400000000000002</v>
      </c>
      <c r="V666" s="15" t="n">
        <v>2</v>
      </c>
      <c r="W666" s="15">
        <f>V666*0.2</f>
        <v/>
      </c>
      <c r="X666" s="21">
        <f>O666-Q666-R666-S666-U666-V666+T666+W666</f>
        <v/>
      </c>
      <c r="Y666" s="14" t="n"/>
      <c r="Z666" s="15">
        <f>O666+1.5</f>
        <v/>
      </c>
      <c r="AA666" s="15" t="n"/>
      <c r="AB666" s="15" t="n"/>
      <c r="AC666" s="14" t="n"/>
      <c r="AD666" s="14" t="n"/>
      <c r="AE666" s="13" t="inlineStr">
        <is>
          <t>NOT_UPLOADED</t>
        </is>
      </c>
    </row>
    <row r="667" ht="16" customHeight="1">
      <c r="A667" s="17" t="n">
        <v>30144309</v>
      </c>
      <c r="B667" s="17" t="n">
        <v>30144309</v>
      </c>
      <c r="C667" s="13" t="n"/>
      <c r="D667" s="18" t="n"/>
      <c r="E667" s="18" t="inlineStr">
        <is>
          <t>DM-0000030144309</t>
        </is>
      </c>
      <c r="F667" s="17" t="n">
        <v>2978464</v>
      </c>
      <c r="G667" s="18" t="inlineStr">
        <is>
          <t>DM</t>
        </is>
      </c>
      <c r="H667" s="18" t="inlineStr">
        <is>
          <t>Maybelline</t>
        </is>
      </c>
      <c r="I667" s="18" t="inlineStr">
        <is>
          <t>Maybelline New York Superstay Teddy (Tint) Lippenstift, Für zarte, soft-matte Lippen, Extra langanhaltende Farbe, Weichgezeichnetes Finish, Komfortabel ohne Abfärben, Farbe: 10 Current Mood Superstay</t>
        </is>
      </c>
      <c r="J667" s="18" t="inlineStr">
        <is>
          <t>No</t>
        </is>
      </c>
      <c r="K667" s="18" t="inlineStr">
        <is>
          <t>https://www.amazon.de/Maybelline-Lippenstift-langanhaltende-Weichgezeichnetes-Komfortabel/dp/B0DHCSZFDM/ref=sr_1_1?__mk_de_DE=%C3%85M%C3%85%C5%BD%C3%95%C3%91&amp;crid=22C22Q9M7WQTY&amp;dib=eyJ2IjoiMSJ9.PuJGjnxwlWAo6wtTxqp1-LfulWHobcZ8RJ79hazesZ4pjk0Ld8b9ALT9CtPDAix4o4DRAw5VcXWpiYax0LG9P8jr_KCp0C_tcN7bPQ2i-s0uS2H3FeEUhJ8BudSSmdCUfZf6-F-OkdFs73QLCtpPag.fuo0LOXLd6IImEKelN7fxllA5kNl0zr8WSJf9dk6vXw&amp;dib_tag=se&amp;keywords=Super+Stay+Teddy+Tint+-+Nr.+10+Current+Mood&amp;qid=1759340053&amp;rdc=1&amp;sprefix=super+stay+teddy+tint+-+nr.+10+current+mood%2Caps%2C141&amp;sr=8-1</t>
        </is>
      </c>
      <c r="L667" s="18" t="inlineStr">
        <is>
          <t>B0DHCSZFDM</t>
        </is>
      </c>
      <c r="M667" s="19" t="n"/>
      <c r="N667" s="19" t="n"/>
      <c r="O667" s="19" t="n">
        <v>16.8</v>
      </c>
      <c r="P667" s="19">
        <f>O667/1.19</f>
        <v/>
      </c>
      <c r="Q667" s="19">
        <f>O667-P667</f>
        <v/>
      </c>
      <c r="R667" s="19">
        <f>O667*0.15</f>
        <v/>
      </c>
      <c r="S667" s="19" t="n">
        <v>8.91</v>
      </c>
      <c r="T667" s="19">
        <f>S667*0.2</f>
        <v/>
      </c>
      <c r="U667" s="19" t="n">
        <v>0.400000000000002</v>
      </c>
      <c r="V667" s="19" t="n">
        <v>2</v>
      </c>
      <c r="W667" s="19">
        <f>V667*0.2</f>
        <v/>
      </c>
      <c r="X667" s="21">
        <f>O667-Q667-R667-S667-U667-V667+T667+W667</f>
        <v/>
      </c>
      <c r="Y667" s="18" t="n"/>
      <c r="Z667" s="19">
        <f>O667+1.5</f>
        <v/>
      </c>
      <c r="AA667" s="19" t="n"/>
      <c r="AB667" s="19" t="n"/>
      <c r="AC667" s="18" t="n"/>
      <c r="AD667" s="18" t="n"/>
      <c r="AE667" s="13" t="inlineStr">
        <is>
          <t>NOT_UPLOADED</t>
        </is>
      </c>
    </row>
    <row r="668" ht="16" customHeight="1">
      <c r="A668" s="12" t="n">
        <v>30146730</v>
      </c>
      <c r="B668" s="12" t="n">
        <v>30146730</v>
      </c>
      <c r="C668" s="13" t="n"/>
      <c r="D668" s="14" t="n"/>
      <c r="E668" s="14" t="inlineStr">
        <is>
          <t>DM-0000030146730</t>
        </is>
      </c>
      <c r="F668" s="12" t="n">
        <v>2481877</v>
      </c>
      <c r="G668" s="14" t="inlineStr">
        <is>
          <t>DM</t>
        </is>
      </c>
      <c r="H668" s="14" t="inlineStr">
        <is>
          <t>Maybelline</t>
        </is>
      </c>
      <c r="I668" s="14" t="inlineStr">
        <is>
          <t>Maybelline New York Superstay Teddy (Tint) Lippenstift, Für zarte, soft-matte Lippen, Extra langanhaltende Farbe, Weichgezeichnetes Finish, Komfortabel ohne Abfärben, Farbe: 15 Skinnydip, Superstay</t>
        </is>
      </c>
      <c r="J668" s="14" t="inlineStr">
        <is>
          <t>No</t>
        </is>
      </c>
      <c r="K668" s="14" t="inlineStr">
        <is>
          <t>https://www.amazon.de/Maybelline-Lippenstift-langanhaltende-Weichgezeichnetes-Komfortabel/dp/B0DH87QLNL/ref=sr_1_1?__mk_de_DE=%C3%85M%C3%85%C5%BD%C3%95%C3%91&amp;crid=1158AT8WMUWBI&amp;dib=eyJ2IjoiMSJ9.gvhiKybLrXKqu3Uws1aYdrMFfyLEYw6-endR6_0_AjfGLVAg5e-0BFiDPYVhhVd2F6KmZHMMt-Sq3vJyMgRCafPzzhzkWMgFAqtvjqGef6GjveIDiCFUOBV9Z8F6q93gfZNw9nXqoYFxvN2XVJbbYA.dXknpgSZ_eA7Vys4nnNA6anXoEw47Xjuj5fr7hdS8kg&amp;dib_tag=se&amp;keywords=Super%2BStay%2BTeddy%2BTint%2B-%2BNr.%2B15%2BSKINNYDIP&amp;qid=1759340167&amp;sprefix=super%2Bstay%2Bteddy%2Btint%2B-%2Bnr.%2B15%2Bskinnydip%2Caps%2C143&amp;sr=8-1&amp;th=1</t>
        </is>
      </c>
      <c r="L668" s="14" t="inlineStr">
        <is>
          <t>B0DH87QLNL</t>
        </is>
      </c>
      <c r="M668" s="15" t="n">
        <v>17.2</v>
      </c>
      <c r="N668" s="15" t="n"/>
      <c r="O668" s="15" t="n">
        <v>16.8</v>
      </c>
      <c r="P668" s="15">
        <f>O668/1.19</f>
        <v/>
      </c>
      <c r="Q668" s="15">
        <f>O668-P668</f>
        <v/>
      </c>
      <c r="R668" s="15">
        <f>O668*0.15</f>
        <v/>
      </c>
      <c r="S668" s="15" t="n">
        <v>8.91</v>
      </c>
      <c r="T668" s="15">
        <f>S668*0.2</f>
        <v/>
      </c>
      <c r="U668" s="15" t="n">
        <v>0.400000000000002</v>
      </c>
      <c r="V668" s="15" t="n">
        <v>2</v>
      </c>
      <c r="W668" s="15">
        <f>V668*0.2</f>
        <v/>
      </c>
      <c r="X668" s="21">
        <f>O668-Q668-R668-S668-U668-V668+T668+W668</f>
        <v/>
      </c>
      <c r="Y668" s="14" t="n"/>
      <c r="Z668" s="15">
        <f>O668+1.5</f>
        <v/>
      </c>
      <c r="AA668" s="15" t="n"/>
      <c r="AB668" s="15" t="n"/>
      <c r="AC668" s="14" t="n"/>
      <c r="AD668" s="14" t="n"/>
      <c r="AE668" s="13" t="inlineStr">
        <is>
          <t>NOT_UPLOADED</t>
        </is>
      </c>
    </row>
    <row r="669" ht="16" customHeight="1">
      <c r="A669" s="17" t="n">
        <v>30146785</v>
      </c>
      <c r="B669" s="17" t="n">
        <v>30146785</v>
      </c>
      <c r="C669" s="13" t="n"/>
      <c r="D669" s="18" t="n"/>
      <c r="E669" s="18" t="inlineStr">
        <is>
          <t>DM-0000030146785</t>
        </is>
      </c>
      <c r="F669" s="17" t="n">
        <v>2481881</v>
      </c>
      <c r="G669" s="18" t="inlineStr">
        <is>
          <t>DM</t>
        </is>
      </c>
      <c r="H669" s="18" t="inlineStr">
        <is>
          <t>Maybelline</t>
        </is>
      </c>
      <c r="I669" s="18" t="inlineStr">
        <is>
          <t>Superstay Teddy Tint Lippenstift 40 Petalcore</t>
        </is>
      </c>
      <c r="J669" s="18" t="inlineStr">
        <is>
          <t>No</t>
        </is>
      </c>
      <c r="K669" s="18" t="inlineStr">
        <is>
          <t>https://www.amazon.de/Superstay-Teddy-Tint-Lippenstift-Petalcore/dp/B0DH865444/ref=sr_1_1?__mk_de_DE=%C3%85M%C3%85%C5%BD%C3%95%C3%91&amp;crid=Y6R32JFZO4LA&amp;dib=eyJ2IjoiMSJ9.mh3YigbeGmiakfLZNbij1PBCVrw5mw7t8qelnUdPpKK6icWYCfy2LtOhtC2HC34sp8Nj7OhocyvyhPvV1tKkGTV7iylU2Jk-M_qmxqQRrF-vzIHsCMY5a8MvdBtB_KJjvZwniRJfRFvzM6pxCYDa4gBtdPqtXC_4eIllKcQAmt_zbBKvaPiuYdRS-cDr-KDFJhmM4kgJYsjolQVV8uItVltL0ezJBzUB3UzVCLj60sNr-btY4mwk0Ds7cPk_UDT_qU57Vj9KUuFGG4lLvlhiTmfe8uugMuZYCTBNa4CdnYU.vNUAh2cpKz1DjEIK4nArNwETO-4JH4lva0f2RSfN94I&amp;dib_tag=se&amp;keywords=Super%2BStay%2BTeddSuper%2BStay%2BTeddy%2BTint%2B-%2BNr.%2B40%2BPetal%2BCorey%2BTint%2B-%2BNr.%2B15%2BSKINNYDIP&amp;qid=1759340501&amp;rdc=1&amp;sprefix=super%2Bstay%2Bteddsuper%2Bstay%2Bteddy%2Btint%2B-%2Bnr.%2B40%2Bpetal%2Bcorey%2Btint%2B-%2Bnr.%2B15%2Bskinnydip%2Caps%2C459&amp;sr=8-1&amp;th=1</t>
        </is>
      </c>
      <c r="L669" s="18" t="inlineStr">
        <is>
          <t>B0DH865444</t>
        </is>
      </c>
      <c r="M669" s="19" t="n"/>
      <c r="N669" s="19" t="n"/>
      <c r="O669" s="19" t="n">
        <v>16.8</v>
      </c>
      <c r="P669" s="19">
        <f>O669/1.19</f>
        <v/>
      </c>
      <c r="Q669" s="19">
        <f>O669-P669</f>
        <v/>
      </c>
      <c r="R669" s="19">
        <f>O669*0.15</f>
        <v/>
      </c>
      <c r="S669" s="19" t="n">
        <v>8.91</v>
      </c>
      <c r="T669" s="19">
        <f>S669*0.2</f>
        <v/>
      </c>
      <c r="U669" s="19" t="n">
        <v>0.400000000000002</v>
      </c>
      <c r="V669" s="19" t="n">
        <v>2</v>
      </c>
      <c r="W669" s="19">
        <f>V669*0.2</f>
        <v/>
      </c>
      <c r="X669" s="21">
        <f>O669-Q669-R669-S669-U669-V669+T669+W669</f>
        <v/>
      </c>
      <c r="Y669" s="18" t="n"/>
      <c r="Z669" s="19">
        <f>O669+1.5</f>
        <v/>
      </c>
      <c r="AA669" s="19" t="n"/>
      <c r="AB669" s="19" t="n"/>
      <c r="AC669" s="18" t="n"/>
      <c r="AD669" s="18" t="n"/>
      <c r="AE669" s="13" t="inlineStr">
        <is>
          <t>NOT_UPLOADED</t>
        </is>
      </c>
    </row>
    <row r="670" ht="16" customHeight="1">
      <c r="A670" s="12" t="n">
        <v>3600551029863</v>
      </c>
      <c r="B670" s="12" t="n">
        <v>30146785</v>
      </c>
      <c r="C670" s="20" t="inlineStr">
        <is>
          <t>PACK X 2</t>
        </is>
      </c>
      <c r="D670" s="14" t="n"/>
      <c r="E670" s="14" t="inlineStr">
        <is>
          <t>DM-3600551029863</t>
        </is>
      </c>
      <c r="F670" s="12" t="n">
        <v>2481881</v>
      </c>
      <c r="G670" s="14" t="inlineStr">
        <is>
          <t>DM</t>
        </is>
      </c>
      <c r="H670" s="14" t="inlineStr">
        <is>
          <t>Maybelline</t>
        </is>
      </c>
      <c r="I670" s="14" t="inlineStr">
        <is>
          <t>Maybelline New York SuperStay Teddy Tint Lippenfarbe, 40 Blütenblätter, Samt-Effekt, langer Halt, mattes Finish, nicht übertragbar, Formel ohne Transfer und leichte Textur, 2 Flaschen à 5 ml</t>
        </is>
      </c>
      <c r="J670" s="14" t="inlineStr">
        <is>
          <t>No</t>
        </is>
      </c>
      <c r="K670" s="14" t="inlineStr">
        <is>
          <t>https://www.amazon.de/Maybelline-Lippenfarbe-Bl%C3%BCtenbl%C3%A4tter-Samt-Effekt-%C3%BCbertragbar/dp/B0F63QN2FQ/ref=sr_1_2?__mk_de_DE=%C3%85M%C3%85%C5%BD%C3%95%C3%91&amp;crid=Y6R32JFZO4LA&amp;dib=eyJ2IjoiMSJ9.mh3YigbeGmiakfLZNbij1PBCVrw5mw7t8qelnUdPpKK6icWYCfy2LtOhtC2HC34sp8Nj7OhocyvyhPvV1tKkGTV7iylU2Jk-M_qmxqQRrF-vzIHsCMY5a8MvdBtB_KJjvZwniRJfRFvzM6pxCYDa4gBtdPqtXC_4eIllKcQAmt_zbBKvaPiuYdRS-cDr-KDFJhmM4kgJYsjolQVV8uItVltL0ezJBzUB3UzVCLj60sNr-btY4mwk0Ds7cPk_UDT_qU57Vj9KUuFGG4lLvlhiTmfe8uugMuZYCTBNa4CdnYU.vNUAh2cpKz1DjEIK4nArNwETO-4JH4lva0f2RSfN94I&amp;dib_tag=se&amp;keywords=Super%2BStay%2BTeddSuper%2BStay%2BTeddy%2BTint%2B-%2BNr.%2B40%2BPetal%2BCorey%2BTint%2B-%2BNr.%2B15%2BSKINNYDIP&amp;qid=1759340501&amp;sprefix=super%2Bstay%2Bteddsuper%2Bstay%2Bteddy%2Btint%2B-%2Bnr.%2B40%2Bpetal%2Bcorey%2Btint%2B-%2Bnr.%2B15%2Bskinnydip%2Caps%2C459&amp;sr=8-2&amp;th=1</t>
        </is>
      </c>
      <c r="L670" s="14" t="inlineStr">
        <is>
          <t>B0F63QN2FQ</t>
        </is>
      </c>
      <c r="M670" s="15" t="n">
        <v>23.39</v>
      </c>
      <c r="N670" s="15" t="n"/>
      <c r="O670" s="15" t="n">
        <v>29.97</v>
      </c>
      <c r="P670" s="15">
        <f>O670/1.19</f>
        <v/>
      </c>
      <c r="Q670" s="15">
        <f>O670-P670</f>
        <v/>
      </c>
      <c r="R670" s="15">
        <f>O670*0.15</f>
        <v/>
      </c>
      <c r="S670" s="15" t="n">
        <v>17.82</v>
      </c>
      <c r="T670" s="15">
        <f>S670*0.2</f>
        <v/>
      </c>
      <c r="U670" s="15" t="n">
        <v>0.400000000000002</v>
      </c>
      <c r="V670" s="15" t="n">
        <v>2.2</v>
      </c>
      <c r="W670" s="15">
        <f>V670*0.2</f>
        <v/>
      </c>
      <c r="X670" s="21">
        <f>O670-Q670-R670-S670-U670-V670+T670+W670</f>
        <v/>
      </c>
      <c r="Y670" s="14" t="n"/>
      <c r="Z670" s="15">
        <f>O670+1.5</f>
        <v/>
      </c>
      <c r="AA670" s="15" t="n"/>
      <c r="AB670" s="15" t="n"/>
      <c r="AC670" s="14" t="n"/>
      <c r="AD670" s="14" t="n"/>
      <c r="AE670" s="13" t="inlineStr">
        <is>
          <t>NOT_UPLOADED</t>
        </is>
      </c>
    </row>
    <row r="671" ht="16" customHeight="1">
      <c r="A671" s="17" t="n">
        <v>30146754</v>
      </c>
      <c r="B671" s="17" t="n">
        <v>30146754</v>
      </c>
      <c r="C671" s="13" t="n"/>
      <c r="D671" s="18" t="n"/>
      <c r="E671" s="18" t="inlineStr">
        <is>
          <t>DM-0000030146754</t>
        </is>
      </c>
      <c r="F671" s="17" t="n">
        <v>2481879</v>
      </c>
      <c r="G671" s="18" t="inlineStr">
        <is>
          <t>DM</t>
        </is>
      </c>
      <c r="H671" s="18" t="inlineStr">
        <is>
          <t>Maybelline</t>
        </is>
      </c>
      <c r="I671" s="18" t="inlineStr">
        <is>
          <t>Maybelline New York Superstay Teddy (Tint) Lippenstift, Für zarte, soft-matte Lippen, Extra langanhaltende Farbe, Weichgezeichnetes Finish, Komfortabel ohne Abfärben, Farbe: 25 Baby Tee, Superstay</t>
        </is>
      </c>
      <c r="J671" s="18" t="inlineStr">
        <is>
          <t>No</t>
        </is>
      </c>
      <c r="K671" s="18" t="inlineStr">
        <is>
          <t>https://www.amazon.de/Superstay-Teddy-Tint-Lippenstift-Baby/dp/B0DH86WKRM/ref=sr_1_1?__mk_de_DE=%C3%85M%C3%85%C5%BD%C3%95%C3%91&amp;crid=1WX7ASZ9WZ5TZ&amp;dib=eyJ2IjoiMSJ9.PZC1xWP-ZukCr4d4NVMGjVSox-FyI3rWZvnb0yISnf7W1o40GUhvzdqYwNJD9N3KDOffFMAueBV_ypgJuZSTYwEvTG_bZMVRJS7PVoNKxExVzFSji59QeCLA1JR_j9SUnhGnNCqjeGqFBzwokmwD4rcm04_0B4VKDSaqJH0PJm4.L2e76u8yoqK4p1kyOxmmpKLw1Mm-T70eMdkYNrS38a0&amp;dib_tag=se&amp;keywords=Super%2BStay%2BTeddy%2BTint%2B-%2BNr.%2B25%2BBaby%2BTee&amp;qid=1759340760&amp;rdc=1&amp;sprefix=super%2Bstay%2Bteddy%2Btint%2B-%2Bnr.%2B25%2Bbaby%2Btee%2Caps%2C429&amp;sr=8-1&amp;th=1</t>
        </is>
      </c>
      <c r="L671" s="18" t="inlineStr">
        <is>
          <t>B0DH86WKRM</t>
        </is>
      </c>
      <c r="M671" s="19" t="n"/>
      <c r="N671" s="19" t="n"/>
      <c r="O671" s="19" t="n">
        <v>16.8</v>
      </c>
      <c r="P671" s="19">
        <f>O671/1.19</f>
        <v/>
      </c>
      <c r="Q671" s="19">
        <f>O671-P671</f>
        <v/>
      </c>
      <c r="R671" s="19">
        <f>O671*0.15</f>
        <v/>
      </c>
      <c r="S671" s="19" t="n">
        <v>8.91</v>
      </c>
      <c r="T671" s="19">
        <f>S671*0.2</f>
        <v/>
      </c>
      <c r="U671" s="19" t="n">
        <v>0.400000000000002</v>
      </c>
      <c r="V671" s="19" t="n">
        <v>2</v>
      </c>
      <c r="W671" s="19">
        <f>V671*0.2</f>
        <v/>
      </c>
      <c r="X671" s="21">
        <f>O671-Q671-R671-S671-U671-V671+T671+W671</f>
        <v/>
      </c>
      <c r="Y671" s="18" t="n"/>
      <c r="Z671" s="19">
        <f>O671+1.5</f>
        <v/>
      </c>
      <c r="AA671" s="19" t="n"/>
      <c r="AB671" s="19" t="n"/>
      <c r="AC671" s="18" t="n"/>
      <c r="AD671" s="18" t="n"/>
      <c r="AE671" s="13" t="inlineStr">
        <is>
          <t>NOT_UPLOADED</t>
        </is>
      </c>
    </row>
    <row r="672" ht="16" customHeight="1">
      <c r="A672" s="12" t="n">
        <v>3600551029719</v>
      </c>
      <c r="B672" s="12" t="n">
        <v>30146754</v>
      </c>
      <c r="C672" s="20" t="inlineStr">
        <is>
          <t>PACK X 2</t>
        </is>
      </c>
      <c r="D672" s="14" t="n"/>
      <c r="E672" s="14" t="inlineStr">
        <is>
          <t>DM-3600551029719</t>
        </is>
      </c>
      <c r="F672" s="12" t="n">
        <v>2481879</v>
      </c>
      <c r="G672" s="14" t="inlineStr">
        <is>
          <t>DM</t>
        </is>
      </c>
      <c r="H672" s="14" t="inlineStr">
        <is>
          <t>Maybelline</t>
        </is>
      </c>
      <c r="I672" s="14" t="inlineStr">
        <is>
          <t>Maybelline New York SuperStay Teddy Tint Lippenfarbe 25 Baby Tee Samteffekt Langer Halt Finish Matte Schichtbare Formel No Transfer und Leichte Textur - 2 Flaschen à 5 ml</t>
        </is>
      </c>
      <c r="J672" s="14" t="inlineStr">
        <is>
          <t>No</t>
        </is>
      </c>
      <c r="K672" s="14" t="inlineStr">
        <is>
          <t>https://www.amazon.de/Maybelline-SuperStay-Lippenfarbe-Samteffekt-Schichtbare/dp/B0F63QZ4LC/ref=sr_1_2?__mk_de_DE=%C3%85M%C3%85%C5%BD%C3%95%C3%91&amp;crid=1WX7ASZ9WZ5TZ&amp;dib=eyJ2IjoiMSJ9.PZC1xWP-ZukCr4d4NVMGjVSox-FyI3rWZvnb0yISnf7W1o40GUhvzdqYwNJD9N3KDOffFMAueBV_ypgJuZSTYwEvTG_bZMVRJS7PVoNKxExVzFSji59QeCLA1JR_j9SUnhGnNCqjeGqFBzwokmwD4rcm04_0B4VKDSaqJH0PJm4.L2e76u8yoqK4p1kyOxmmpKLw1Mm-T70eMdkYNrS38a0&amp;dib_tag=se&amp;keywords=Super%2BStay%2BTeddy%2BTint%2B-%2BNr.%2B25%2BBaby%2BTee&amp;qid=1759340760&amp;sprefix=super%2Bstay%2Bteddy%2Btint%2B-%2Bnr.%2B25%2Bbaby%2Btee%2Caps%2C429&amp;sr=8-2&amp;th=1</t>
        </is>
      </c>
      <c r="L672" s="14" t="inlineStr">
        <is>
          <t>B0F63QZ4LC</t>
        </is>
      </c>
      <c r="M672" s="15" t="n"/>
      <c r="N672" s="15" t="n"/>
      <c r="O672" s="15" t="n">
        <v>34.97</v>
      </c>
      <c r="P672" s="15">
        <f>O672/1.19</f>
        <v/>
      </c>
      <c r="Q672" s="15">
        <f>O672-P672</f>
        <v/>
      </c>
      <c r="R672" s="15">
        <f>O672*0.15</f>
        <v/>
      </c>
      <c r="S672" s="15" t="n">
        <v>17.82</v>
      </c>
      <c r="T672" s="15">
        <f>S672*0.2</f>
        <v/>
      </c>
      <c r="U672" s="15" t="n">
        <v>0.400000000000002</v>
      </c>
      <c r="V672" s="15" t="n">
        <v>5</v>
      </c>
      <c r="W672" s="15">
        <f>V672*0.2</f>
        <v/>
      </c>
      <c r="X672" s="21">
        <f>O672-Q672-R672-S672-U672-V672+T672+W672</f>
        <v/>
      </c>
      <c r="Y672" s="14" t="n"/>
      <c r="Z672" s="15">
        <f>O672+1.5</f>
        <v/>
      </c>
      <c r="AA672" s="15" t="n"/>
      <c r="AB672" s="15" t="n"/>
      <c r="AC672" s="14" t="n"/>
      <c r="AD672" s="14" t="n"/>
      <c r="AE672" s="13" t="inlineStr">
        <is>
          <t>NOT_UPLOADED</t>
        </is>
      </c>
    </row>
    <row r="673" ht="16" customHeight="1">
      <c r="A673" s="17" t="n">
        <v>3600531702243</v>
      </c>
      <c r="B673" s="17" t="n">
        <v>3600531702243</v>
      </c>
      <c r="C673" s="13" t="n"/>
      <c r="D673" s="18" t="n"/>
      <c r="E673" s="18" t="inlineStr">
        <is>
          <t>DM-3600531702243</t>
        </is>
      </c>
      <c r="F673" s="17" t="n">
        <v>3062571</v>
      </c>
      <c r="G673" s="18" t="inlineStr">
        <is>
          <t>DM</t>
        </is>
      </c>
      <c r="H673" s="18" t="inlineStr">
        <is>
          <t>Maybelline</t>
        </is>
      </c>
      <c r="I673" s="18" t="inlineStr">
        <is>
          <t>Maybelline New York Lip Tint, Aufbaubarer Lippen-Balsam, Feuchtigkeitsspendender Öl-Balsam für spürbar glattere Lippen, Verschwommen mattes Finish, Lifter Glaze, Farbe: Berry Haze</t>
        </is>
      </c>
      <c r="J673" s="18" t="inlineStr">
        <is>
          <t>No</t>
        </is>
      </c>
      <c r="K673" s="18" t="inlineStr">
        <is>
          <t>https://www.amazon.de/Maybelline-Aufbaubarer-Lippen-Balsam-Feuchtigkeitsspendender-Verschwommen/dp/B0F5H39SQ3/ref=sr_1_2?__mk_de_DE=%C3%85M%C3%85%C5%BD%C3%95%C3%91&amp;crid=GH5VZO4YY34D&amp;dib=eyJ2IjoiMSJ9.0BaP0ipus9ky2nwT0z-uvzs9yW10ZZLnhHpw92zusAn_Xz0g5n4KDVXoY3egsbnomupnV_lJ74NXaV-bx8p-qwz9B6pGNHcA24lUACxHR_rBK4jKFBLZDdkjPum1lvutAVdqcp-9h8-dXyksBD7A6XvjxX4bNM5YYdNPFRcc2Tc_LYJb61UDnQ6-3E-FhMcUMNxFwIGUF2BDm0ttXfDJMylBIRZirj8sqR8_KPpdw67IJp-WeRlWEK2PysP-Wm5mlo8VSzWZP6PoKjwwNLEU-MiKdWoHSZToT7TDGYf959s.uvUSGfnBB6p3xPtbrh57ua-3ftj-kZkZP-KbX882fcI&amp;dib_tag=se&amp;keywords=maybelline%2Blifter%2Bglaze&amp;qid=1760256701&amp;sprefix=maybelline%2Blifter%2Bglaze%2Caps%2C91&amp;sr=8-2&amp;th=1</t>
        </is>
      </c>
      <c r="L673" s="18" t="inlineStr">
        <is>
          <t>B0F5H39SQ3</t>
        </is>
      </c>
      <c r="M673" s="19" t="n"/>
      <c r="N673" s="19" t="n"/>
      <c r="O673" s="19" t="n">
        <v>12.27</v>
      </c>
      <c r="P673" s="19">
        <f>O673/1.19</f>
        <v/>
      </c>
      <c r="Q673" s="19">
        <f>O673-P673</f>
        <v/>
      </c>
      <c r="R673" s="19">
        <f>O673*0.15</f>
        <v/>
      </c>
      <c r="S673" s="19" t="n">
        <v>5.11</v>
      </c>
      <c r="T673" s="19">
        <f>S673*0.2</f>
        <v/>
      </c>
      <c r="U673" s="19" t="n">
        <v>0.400000000000002</v>
      </c>
      <c r="V673" s="19" t="n">
        <v>2</v>
      </c>
      <c r="W673" s="19">
        <f>V673*0.2</f>
        <v/>
      </c>
      <c r="X673" s="21">
        <f>O673-Q673-R673-S673-U673-V673+T673+W673</f>
        <v/>
      </c>
      <c r="Y673" s="18" t="n"/>
      <c r="Z673" s="19">
        <f>O673+1.5</f>
        <v/>
      </c>
      <c r="AA673" s="19" t="n"/>
      <c r="AB673" s="19" t="n"/>
      <c r="AC673" s="18" t="n"/>
      <c r="AD673" s="18" t="n"/>
      <c r="AE673" s="13" t="inlineStr">
        <is>
          <t>NOT_UPLOADED</t>
        </is>
      </c>
    </row>
    <row r="674" ht="16" customHeight="1">
      <c r="A674" s="12" t="n">
        <v>3600531702236</v>
      </c>
      <c r="B674" s="12" t="n">
        <v>3600531702236</v>
      </c>
      <c r="C674" s="13" t="n"/>
      <c r="D674" s="14" t="n"/>
      <c r="E674" s="14" t="inlineStr">
        <is>
          <t>DM-3600531702236</t>
        </is>
      </c>
      <c r="F674" s="12" t="n">
        <v>3062570</v>
      </c>
      <c r="G674" s="14" t="inlineStr">
        <is>
          <t>DM</t>
        </is>
      </c>
      <c r="H674" s="14" t="inlineStr">
        <is>
          <t>Maybelline</t>
        </is>
      </c>
      <c r="I674" s="14" t="inlineStr">
        <is>
          <t>Maybelline New York Lip Tint, Aufbaubarer Lippen-Balsam, Feuchtigkeitsspendender Öl-Balsam für spürbar glattere Lippen, Verschwommen mattes Finish, Lifter Glaze, Farbe: Caramel Glow</t>
        </is>
      </c>
      <c r="J674" s="14" t="inlineStr">
        <is>
          <t>No</t>
        </is>
      </c>
      <c r="K674" s="14" t="inlineStr">
        <is>
          <t>https://www.amazon.de/Maybelline-Aufbaubarer-Lippen-Balsam-Feuchtigkeitsspendender-Verschwommen/dp/B0F5H23BY2/ref=sr_1_2?__mk_de_DE=%C3%85M%C3%85%C5%BD%C3%95%C3%91&amp;crid=GH5VZO4YY34D&amp;dib=eyJ2IjoiMSJ9.0BaP0ipus9ky2nwT0z-uvzs9yW10ZZLnhHpw92zusAn_Xz0g5n4KDVXoY3egsbnomupnV_lJ74NXaV-bx8p-qwz9B6pGNHcA24lUACxHR_rBK4jKFBLZDdkjPum1lvutAVdqcp-9h8-dXyksBD7A6XvjxX4bNM5YYdNPFRcc2Tc_LYJb61UDnQ6-3E-FhMcUMNxFwIGUF2BDm0ttXfDJMylBIRZirj8sqR8_KPpdw67IJp-WeRlWEK2PysP-Wm5mlo8VSzWZP6PoKjwwNLEU-MiKdWoHSZToT7TDGYf959s.uvUSGfnBB6p3xPtbrh57ua-3ftj-kZkZP-KbX882fcI&amp;dib_tag=se&amp;keywords=maybelline%2Blifter%2Bglaze&amp;qid=1760256701&amp;sprefix=maybelline%2Blifter%2Bglaze%2Caps%2C91&amp;sr=8-2&amp;th=1</t>
        </is>
      </c>
      <c r="L674" s="14" t="inlineStr">
        <is>
          <t>B0F5H23BY2</t>
        </is>
      </c>
      <c r="M674" s="15" t="n"/>
      <c r="N674" s="15" t="n"/>
      <c r="O674" s="15" t="n">
        <v>12.27</v>
      </c>
      <c r="P674" s="15">
        <f>O674/1.19</f>
        <v/>
      </c>
      <c r="Q674" s="15">
        <f>O674-P674</f>
        <v/>
      </c>
      <c r="R674" s="15">
        <f>O674*0.15</f>
        <v/>
      </c>
      <c r="S674" s="15" t="n">
        <v>5.11</v>
      </c>
      <c r="T674" s="15">
        <f>S674*0.2</f>
        <v/>
      </c>
      <c r="U674" s="15" t="n">
        <v>0.400000000000002</v>
      </c>
      <c r="V674" s="15" t="n">
        <v>2</v>
      </c>
      <c r="W674" s="15">
        <f>V674*0.2</f>
        <v/>
      </c>
      <c r="X674" s="21">
        <f>O674-Q674-R674-S674-U674-V674+T674+W674</f>
        <v/>
      </c>
      <c r="Y674" s="14" t="n"/>
      <c r="Z674" s="15">
        <f>O674+1.5</f>
        <v/>
      </c>
      <c r="AA674" s="15" t="n"/>
      <c r="AB674" s="15" t="n"/>
      <c r="AC674" s="14" t="n"/>
      <c r="AD674" s="14" t="n"/>
      <c r="AE674" s="13" t="inlineStr">
        <is>
          <t>NOT_UPLOADED</t>
        </is>
      </c>
    </row>
    <row r="675" ht="16" customHeight="1">
      <c r="A675" s="17" t="n">
        <v>3600531702250</v>
      </c>
      <c r="B675" s="17" t="n">
        <v>3600531702250</v>
      </c>
      <c r="C675" s="13" t="n"/>
      <c r="D675" s="18" t="n"/>
      <c r="E675" s="18" t="inlineStr">
        <is>
          <t>DM-3600531702250</t>
        </is>
      </c>
      <c r="F675" s="17" t="n">
        <v>3062602</v>
      </c>
      <c r="G675" s="18" t="inlineStr">
        <is>
          <t>DM</t>
        </is>
      </c>
      <c r="H675" s="18" t="inlineStr">
        <is>
          <t>Maybelline</t>
        </is>
      </c>
      <c r="I675" s="18" t="inlineStr">
        <is>
          <t>Maybelline New York Lip Tint, Aufbaubarer Lippen-Balsam, Feuchtigkeitsspendender Öl-Balsam für spürbar glattere Lippen, Verschwommen mattes Finish, Lifter Glaze, Farbe: Acai Glaze</t>
        </is>
      </c>
      <c r="J675" s="18" t="inlineStr">
        <is>
          <t>No</t>
        </is>
      </c>
      <c r="K675" s="18" t="inlineStr">
        <is>
          <t>https://www.amazon.de/Maybelline-Aufbaubarer-Lippen-Balsam-Feuchtigkeitsspendender-Verschwommen/dp/B0DZXZF18Z/ref=sr_1_7?__mk_de_DE=%C3%85M%C3%85%C5%BD%C3%95%C3%91&amp;crid=GH5VZO4YY34D&amp;dib=eyJ2IjoiMSJ9.0BaP0ipus9ky2nwT0z-uvzs9yW10ZZLnhHpw92zusAn_Xz0g5n4KDVXoY3egsbnomupnV_lJ74NXaV-bx8p-qwz9B6pGNHcA24lUACxHR_rBK4jKFBLZDdkjPum1lvutAVdqcp-9h8-dXyksBD7A6XvjxX4bNM5YYdNPFRcc2Tc_LYJb61UDnQ6-3E-FhMcUMNxFwIGUF2BDm0ttXfDJMylBIRZirj8sqR8_KPpdw67IJp-WeRlWEK2PysP-Wm5mlo8VSzWZP6PoKjwwNLEU-MiKdWoHSZToT7TDGYf959s.uvUSGfnBB6p3xPtbrh57ua-3ftj-kZkZP-KbX882fcI&amp;dib_tag=se&amp;keywords=maybelline+lifter+glaze&amp;qid=1760256701&amp;sprefix=maybelline+lifter+glaze%2Caps%2C91&amp;sr=8-7</t>
        </is>
      </c>
      <c r="L675" s="18" t="inlineStr">
        <is>
          <t>B0DZXZF18Z</t>
        </is>
      </c>
      <c r="M675" s="19" t="n"/>
      <c r="N675" s="19" t="n"/>
      <c r="O675" s="19" t="n">
        <v>12.27</v>
      </c>
      <c r="P675" s="19">
        <f>O675/1.19</f>
        <v/>
      </c>
      <c r="Q675" s="19">
        <f>O675-P675</f>
        <v/>
      </c>
      <c r="R675" s="19">
        <f>O675*0.15</f>
        <v/>
      </c>
      <c r="S675" s="19" t="n">
        <v>5.11</v>
      </c>
      <c r="T675" s="19">
        <f>S675*0.2</f>
        <v/>
      </c>
      <c r="U675" s="19" t="n">
        <v>0.400000000000002</v>
      </c>
      <c r="V675" s="19" t="n">
        <v>2</v>
      </c>
      <c r="W675" s="19">
        <f>V675*0.2</f>
        <v/>
      </c>
      <c r="X675" s="21">
        <f>O675-Q675-R675-S675-U675-V675+T675+W675</f>
        <v/>
      </c>
      <c r="Y675" s="18" t="n"/>
      <c r="Z675" s="19">
        <f>O675+1.5</f>
        <v/>
      </c>
      <c r="AA675" s="19" t="n"/>
      <c r="AB675" s="19" t="n"/>
      <c r="AC675" s="18" t="n"/>
      <c r="AD675" s="18" t="n"/>
      <c r="AE675" s="13" t="inlineStr">
        <is>
          <t>NOT_UPLOADED</t>
        </is>
      </c>
    </row>
    <row r="676" ht="16" customHeight="1">
      <c r="A676" s="12" t="n">
        <v>3600523193189</v>
      </c>
      <c r="B676" s="12" t="n">
        <v>3600523192861</v>
      </c>
      <c r="C676" s="13" t="n"/>
      <c r="D676" s="14" t="n"/>
      <c r="E676" s="14" t="inlineStr">
        <is>
          <t>FOR-3600523193189</t>
        </is>
      </c>
      <c r="F676" s="12" t="inlineStr">
        <is>
          <t>L1010</t>
        </is>
      </c>
      <c r="G676" s="14" t="inlineStr">
        <is>
          <t>Fortuna</t>
        </is>
      </c>
      <c r="H676" s="14" t="inlineStr">
        <is>
          <t>Loreal</t>
        </is>
      </c>
      <c r="I676" s="14" t="inlineStr">
        <is>
          <t>L'Oréal Paris Root Concealer Spray for seamless and natural transitions, conceals roots until the next shampoo, Magic Retouch, Black, 1 x 75 ml</t>
        </is>
      </c>
      <c r="J676" s="14" t="inlineStr">
        <is>
          <t>No</t>
        </is>
      </c>
      <c r="K676" s="14" t="inlineStr">
        <is>
          <t>https://www.amazon.de/LOr%C3%A9al-Paris-Retouch-Ansatz-Kaschierspray-Schwarz/dp/B082VQ6LZM/ref=sr_1_3_sspa?__mk_de_DE=%C3%85M%C3%85%C5%BD%C3%95%C3%91&amp;crid=2Y0Q54ZABQN86&amp;dib=eyJ2IjoiMSJ9.xqGr_jT2XAOT_xZ5aN_Az950N7yvYVbqSv-i377oUabjD8q4_lkPMxHIMk1AIENL0kaUXmhUs5g9uqLucrVlRYhiKttBqnpuZ5CJjYW3njl_tXJ3ML_4ja3UwYQohe576VJRHS4uYtSqvpgTHu-Vc4ytictOW9L9FkGT1zCI2IZkcY4rz-PkLaE7LNZTVuEPsjP4sTnHnfV8nK9PxZ0HKGNUlRTMfz6bQte-o6GTq1Z528N_73ZejZRdlPY527Brwgy3mssJjuUzIEJe3bPxaPZxVzFyfpd3l40pU5Nbd2s.g2vSavcdKLt8CutI3TRPKNsYYHcqE7f2dymxlD-D24w&amp;dib_tag=se&amp;keywords=loreal%2Bmagic%2Bret.black&amp;qid=1764506959&amp;rdc=1&amp;sprefix=lorealmagic%2Bret.black%2B%2Caps%2C86&amp;sr=8-3-spons&amp;aref=zUn6cuYX9g&amp;sp_csd=d2lkZ2V0TmFtZT1zcF9hdGY&amp;th=1</t>
        </is>
      </c>
      <c r="L676" s="14" t="inlineStr">
        <is>
          <t>B082VQ6LZM</t>
        </is>
      </c>
      <c r="M676" s="15" t="n">
        <v>10.28</v>
      </c>
      <c r="N676" s="15" t="n"/>
      <c r="O676" s="15" t="n">
        <v>10.2</v>
      </c>
      <c r="P676" s="15">
        <f>O676/1.19</f>
        <v/>
      </c>
      <c r="Q676" s="15">
        <f>O676-P676</f>
        <v/>
      </c>
      <c r="R676" s="15">
        <f>O676*0.15</f>
        <v/>
      </c>
      <c r="S676" s="15" t="n">
        <v>4.11</v>
      </c>
      <c r="T676" s="15">
        <f>S676*0.2</f>
        <v/>
      </c>
      <c r="U676" s="15" t="n">
        <v>0.400000000000002</v>
      </c>
      <c r="V676" s="15" t="n">
        <v>2.2</v>
      </c>
      <c r="W676" s="15">
        <f>V676*0.2</f>
        <v/>
      </c>
      <c r="X676" s="16">
        <f>O676-Q676-R676-S676-U676-V676+T676+W676</f>
        <v/>
      </c>
      <c r="Y676" s="14" t="n"/>
      <c r="Z676" s="15">
        <f>O676+1.5</f>
        <v/>
      </c>
      <c r="AA676" s="15" t="n"/>
      <c r="AB676" s="15" t="n"/>
      <c r="AC676" s="14" t="n"/>
      <c r="AD676" s="14" t="n"/>
      <c r="AE676" s="13" t="inlineStr">
        <is>
          <t>NOT_UPLOADED</t>
        </is>
      </c>
    </row>
    <row r="677" ht="16" customHeight="1">
      <c r="A677" s="17" t="n">
        <v>3600523388240</v>
      </c>
      <c r="B677" s="17" t="n">
        <v>3600523387854</v>
      </c>
      <c r="C677" s="13" t="n"/>
      <c r="D677" s="18" t="n"/>
      <c r="E677" s="18" t="inlineStr">
        <is>
          <t>FOR-3600523388240</t>
        </is>
      </c>
      <c r="F677" s="17" t="inlineStr">
        <is>
          <t>L1018 !!!</t>
        </is>
      </c>
      <c r="G677" s="18" t="inlineStr">
        <is>
          <t>Fortuna</t>
        </is>
      </c>
      <c r="H677" s="18" t="inlineStr">
        <is>
          <t>Loreal</t>
        </is>
      </c>
      <c r="I677" s="18" t="inlineStr">
        <is>
          <t>(Golden Brown) - L'Oreal Magic Retouch Instant Root Touch Up Golden Brown</t>
        </is>
      </c>
      <c r="J677" s="18" t="inlineStr">
        <is>
          <t>No</t>
        </is>
      </c>
      <c r="K677" s="18" t="inlineStr">
        <is>
          <t>https://www.amazon.de/Golden-Brown-LOreal-Retouch-Instant/dp/B0718ZSFL3/ref=sr_1_15?__mk_de_DE=%C3%85M%C3%85%C5%BD%C3%95%C3%91&amp;crid=31ZT4DPMDYYB1&amp;dib=eyJ2IjoiMSJ9.xq376h7zF6hkzDV-5UnYTZPao6IjKHWpYyqepZrmLmmIYIiTy3_0wKvQVTyMUd9E6mhbO6ZeyB-0v4Bg15zldh37RnZ-IDbHIpMEQblYc87h5nDGMAkbs_I2uzasAah2URzxTclDB-ILOYBrosyic8-PzTLfnVV4NnOijyirDOghEGIlMr-retHn7P8Kp09xeLBllflge2XY5Ss9y2IP8EhgSMmws7ZkG48cUBkfoEVrjFW4gKZH0157yoMpAcDcf17ZP0qaV4xtkh4g8xi3861Zs4IbQ2ObqLXqPhBnygI.tHkiXodvUrtx4F6LChQyx0uw__RcetPqin0_kwMNRxE&amp;dib_tag=se&amp;keywords=loreal+magic+retOUCH+75ML&amp;qid=1764508878&amp;sprefix=loreal+magic+retouch+75ml%2Caps%2C146&amp;sr=8-15</t>
        </is>
      </c>
      <c r="L677" s="18" t="inlineStr">
        <is>
          <t>B0718ZSFL3</t>
        </is>
      </c>
      <c r="M677" s="19" t="n"/>
      <c r="N677" s="19" t="n"/>
      <c r="O677" s="19" t="n">
        <v>9.800000000000001</v>
      </c>
      <c r="P677" s="19">
        <f>O677/1.19</f>
        <v/>
      </c>
      <c r="Q677" s="19">
        <f>O677-P677</f>
        <v/>
      </c>
      <c r="R677" s="19">
        <f>O677*0.15</f>
        <v/>
      </c>
      <c r="S677" s="19" t="n">
        <v>4.11</v>
      </c>
      <c r="T677" s="19">
        <f>S677*0.2</f>
        <v/>
      </c>
      <c r="U677" s="19" t="n">
        <v>0.400000000000002</v>
      </c>
      <c r="V677" s="19" t="n">
        <v>2.2</v>
      </c>
      <c r="W677" s="19">
        <f>V677*0.2</f>
        <v/>
      </c>
      <c r="X677" s="16">
        <f>O677-Q677-R677-S677-U677-V677+T677+W677</f>
        <v/>
      </c>
      <c r="Y677" s="18" t="n"/>
      <c r="Z677" s="19">
        <f>O677+1.5</f>
        <v/>
      </c>
      <c r="AA677" s="19" t="n"/>
      <c r="AB677" s="19" t="n"/>
      <c r="AC677" s="18" t="n"/>
      <c r="AD677" s="18" t="n"/>
      <c r="AE677" s="13" t="inlineStr">
        <is>
          <t>NOT_UPLOADED</t>
        </is>
      </c>
    </row>
    <row r="678" ht="16" customHeight="1">
      <c r="A678" s="12" t="n">
        <v>3600523388226</v>
      </c>
      <c r="B678" s="12" t="n">
        <v>3600523388226</v>
      </c>
      <c r="C678" s="13" t="n"/>
      <c r="D678" s="14" t="n"/>
      <c r="E678" s="14" t="inlineStr">
        <is>
          <t>FOR-3600523388226</t>
        </is>
      </c>
      <c r="F678" s="12" t="inlineStr">
        <is>
          <t>L1017</t>
        </is>
      </c>
      <c r="G678" s="14" t="inlineStr">
        <is>
          <t>Fortuna</t>
        </is>
      </c>
      <c r="H678" s="14" t="inlineStr">
        <is>
          <t>Loreal</t>
        </is>
      </c>
      <c r="I678" s="14" t="inlineStr">
        <is>
          <t>L'Oréal Paris Magic Retouch Wurzelkorrigierspray - Sofortige Grauabdeckung für alle Haare - Dark Iced Brown</t>
        </is>
      </c>
      <c r="J678" s="14" t="inlineStr">
        <is>
          <t>No</t>
        </is>
      </c>
      <c r="K678" s="14" t="inlineStr">
        <is>
          <t>https://www.amazon.de/Magic-Retouch-3600523388226-magische-Retusche/dp/B0722LD4RH/ref=sr_1_1?__mk_de_DE=%C3%85M%C3%85%C5%BD%C3%95%C3%91&amp;crid=1KYGCKGIO0R1D&amp;dib=eyJ2IjoiMSJ9.TnnfScLq0FYu21hDoccYT8HE2qLXKGZZaN1Ewjqs4OGcyAg0lJwZtT649tevkQg2Q8T4a6vL8WR2xI3fodPGQT6Th7lJQ1q7llVhic0wazh4reDwC48nntqS4jV25sNLhVB9--x43_v2Z1yyuXUHzltUZdLEtpKz41MpieVn-EXO7zsLHj1GmxJy_G-fqnO7vSbbjI7tZC9WWYRmOSlpzXnG5PC770uDpmbBzqpQiEuprx-Hoz7jBSmTt1wc4lY9EwFBTqU2BAod-5LY9YlZEDwSqMm2z9Sw-vsUAD47sfU.fDd42o6vy_c4dN1KU8PeHAo2KdkQjM9MDr-OlJzk0Ig&amp;dib_tag=se&amp;keywords=loreal%2Bmagic%2Bretouch%2BDARK%2BICED%2BBROWN&amp;qid=1770494593&amp;sprefix=loreal%2Bmagic%2Bretouch%2Bdark%2Biced%2Bbrown%2Caps%2C150&amp;sr=8-1&amp;th=1</t>
        </is>
      </c>
      <c r="L678" s="14" t="inlineStr">
        <is>
          <t>B0722LD4RH</t>
        </is>
      </c>
      <c r="M678" s="15" t="n"/>
      <c r="N678" s="15" t="n"/>
      <c r="O678" s="15" t="n">
        <v>9.9</v>
      </c>
      <c r="P678" s="15">
        <f>O678/1.19</f>
        <v/>
      </c>
      <c r="Q678" s="15">
        <f>O678-P678</f>
        <v/>
      </c>
      <c r="R678" s="15">
        <f>O678*0.15</f>
        <v/>
      </c>
      <c r="S678" s="15" t="n">
        <v>4.11</v>
      </c>
      <c r="T678" s="15">
        <f>S678*0.2</f>
        <v/>
      </c>
      <c r="U678" s="15" t="n">
        <v>0.400000000000002</v>
      </c>
      <c r="V678" s="15" t="n">
        <v>2.2</v>
      </c>
      <c r="W678" s="15">
        <f>V678*0.2</f>
        <v/>
      </c>
      <c r="X678" s="16">
        <f>O678-Q678-R678-S678-U678-V678+T678+W678</f>
        <v/>
      </c>
      <c r="Y678" s="14" t="n"/>
      <c r="Z678" s="15">
        <f>O678+1.5</f>
        <v/>
      </c>
      <c r="AA678" s="15" t="n"/>
      <c r="AB678" s="15" t="n"/>
      <c r="AC678" s="14" t="n"/>
      <c r="AD678" s="14" t="n"/>
      <c r="AE678" s="13" t="inlineStr">
        <is>
          <t>NOT_UPLOADED</t>
        </is>
      </c>
    </row>
    <row r="679" ht="16" customHeight="1">
      <c r="A679" s="17" t="n">
        <v>3600521044841</v>
      </c>
      <c r="B679" s="17" t="n">
        <v>3600521372654</v>
      </c>
      <c r="C679" s="13" t="n"/>
      <c r="D679" s="18" t="n"/>
      <c r="E679" s="18" t="inlineStr">
        <is>
          <t>FOR-3600521044841</t>
        </is>
      </c>
      <c r="F679" s="17" t="inlineStr">
        <is>
          <t>L1200</t>
        </is>
      </c>
      <c r="G679" s="18" t="inlineStr">
        <is>
          <t>Fortuna</t>
        </is>
      </c>
      <c r="H679" s="18" t="inlineStr">
        <is>
          <t>Loreal</t>
        </is>
      </c>
      <c r="I679" s="18" t="inlineStr">
        <is>
          <t>L'ORÉAL Casting Creme Gloss No. 200 Black Ebony</t>
        </is>
      </c>
      <c r="J679" s="18" t="inlineStr">
        <is>
          <t>No</t>
        </is>
      </c>
      <c r="K679" s="18" t="inlineStr">
        <is>
          <t>https://www.amazon.de/LOREAL-Casting-Schwarz-Ebenholz-Ammoniak/dp/B00E4L034O/ref=sr_1_34?__mk_de_DE=%C3%85M%C3%85%C5%BD%C3%95%C3%91&amp;crid=5HNSRDRZC1UL&amp;dib=eyJ2IjoiMSJ9.NZcthcewa5HDqN5QM3lHbI1lFJZ8yoRtB9I57FoeKBX3nJVy10YCivb_7ouTWFeveDyha9ATJojVXF1uvMFjA1ZsBvnuPLrDlfjvwaQamuqZ9yOvFZseGy-e3XNwXwJ10RV3-0oKgkjeRFUwnVpphYtUWcDm5S97REVsli527qqpMHL743vOS_0WjvwTF3ol0Ciqa9hF-gtJaOGaHEM4nqG0QpHChhfDgGPfyfYgvC3VX8MCGs7XXMCVFSEemXlhySR8DoeYtmvK9-U8vzr5Aev1Mj9jROTkbgdpvtg7w3E.fRCBJimSg6gkdBZd07v_PexTy-2I7Huenr8GAKzjzR4&amp;dib_tag=se&amp;keywords=loreal+casting+cream+gloss&amp;qid=1764531204&amp;sprefix=loreal+casting+cream+gloss+%2Caps%2C181&amp;sr=8-34</t>
        </is>
      </c>
      <c r="L679" s="18" t="inlineStr">
        <is>
          <t>B00E4L034O</t>
        </is>
      </c>
      <c r="M679" s="19" t="n"/>
      <c r="N679" s="19" t="n"/>
      <c r="O679" s="19" t="n">
        <v>11.7</v>
      </c>
      <c r="P679" s="19">
        <f>O679/1.19</f>
        <v/>
      </c>
      <c r="Q679" s="19">
        <f>O679-P679</f>
        <v/>
      </c>
      <c r="R679" s="19">
        <f>O679*0.15</f>
        <v/>
      </c>
      <c r="S679" s="19" t="n">
        <v>4.33</v>
      </c>
      <c r="T679" s="19">
        <f>S679*0.2</f>
        <v/>
      </c>
      <c r="U679" s="19" t="n">
        <v>0.400000000000002</v>
      </c>
      <c r="V679" s="19" t="n">
        <v>2.5</v>
      </c>
      <c r="W679" s="19">
        <f>V679*0.2</f>
        <v/>
      </c>
      <c r="X679" s="21">
        <f>O679-Q679-R679-S679-U679-V679+T679+W679</f>
        <v/>
      </c>
      <c r="Y679" s="18" t="n"/>
      <c r="Z679" s="19">
        <f>O679+1.5</f>
        <v/>
      </c>
      <c r="AA679" s="19" t="n"/>
      <c r="AB679" s="19" t="n"/>
      <c r="AC679" s="18" t="n"/>
      <c r="AD679" s="18" t="n"/>
      <c r="AE679" s="13" t="inlineStr">
        <is>
          <t>NOT_UPLOADED</t>
        </is>
      </c>
    </row>
    <row r="680" ht="16" customHeight="1">
      <c r="A680" s="12" t="n">
        <v>5055451005376</v>
      </c>
      <c r="B680" s="12" t="n">
        <v>3600521372654</v>
      </c>
      <c r="C680" s="13" t="n"/>
      <c r="D680" s="14" t="n"/>
      <c r="E680" s="14" t="inlineStr">
        <is>
          <t>LIL-5055451005376</t>
        </is>
      </c>
      <c r="F680" s="12" t="inlineStr">
        <is>
          <t>L1200</t>
        </is>
      </c>
      <c r="G680" s="14" t="inlineStr">
        <is>
          <t>Lilly</t>
        </is>
      </c>
      <c r="H680" s="14" t="inlineStr">
        <is>
          <t>Loreal</t>
        </is>
      </c>
      <c r="I680" s="14" t="inlineStr">
        <is>
          <t>L'oreal Casting Creme Gloss 200 Ebony Black, 240 g</t>
        </is>
      </c>
      <c r="J680" s="14" t="inlineStr">
        <is>
          <t>No</t>
        </is>
      </c>
      <c r="K680" s="14" t="inlineStr">
        <is>
          <t>https://www.amazon.de/LOr-Paris-Casting-Ebony-black/dp/B002TIFJDE/ref=sr_1_2?__mk_de_DE=%C3%85M%C3%85%C5%BD%C3%95%C3%91&amp;crid=1KPLEUETKNUL4&amp;dib=eyJ2IjoiMSJ9.AfakZQNkX252txQ3VAzsDcuIXCsaw38BWWtA-fIw6PEkZwy0En7rdjRjJDN658w5GCesyHQICp9-VFvfI5nrtpZ54zJIIzXw2KuY_rsyRskqlfpJ-R8cjcXIMIRYuAQHOEI8VmNXCnw6_zDyyeDMuLXphZD2RlW464uYTvrswa8QUF4Hx-RoXX1-szI3fJpCNjpKGhm_8intaO9Fp6Haysu78-8jkQwSpRQzSNiSVVAOIoD0N4Xg8AVjl709tZ9nW-D1ULokLC-BiwY4ca00MsvA_IXWTnV0-Xk-JybSRpQ.5002KQzFZRRiltCMJRlcqF_R1ybuzSwy1J-7iI-aax4&amp;dib_tag=se&amp;keywords=loreal+casting+cream+gloss+200+EBONY+BLACK&amp;qid=1764532283&amp;sprefix=loreal+casting+cream+gloss+200+ebony+blac%2Caps%2C381&amp;sr=8-2</t>
        </is>
      </c>
      <c r="L680" s="14" t="inlineStr">
        <is>
          <t>B002TIFJDE</t>
        </is>
      </c>
      <c r="M680" s="15" t="n"/>
      <c r="N680" s="15" t="n"/>
      <c r="O680" s="15" t="n">
        <v>11.7</v>
      </c>
      <c r="P680" s="15">
        <f>O680/1.19</f>
        <v/>
      </c>
      <c r="Q680" s="15">
        <f>O680-P680</f>
        <v/>
      </c>
      <c r="R680" s="15">
        <f>O680*0.15</f>
        <v/>
      </c>
      <c r="S680" s="15" t="n">
        <v>4.26</v>
      </c>
      <c r="T680" s="15">
        <f>S680*0.2</f>
        <v/>
      </c>
      <c r="U680" s="15" t="n">
        <v>0.400000000000002</v>
      </c>
      <c r="V680" s="15" t="n">
        <v>3.7</v>
      </c>
      <c r="W680" s="15">
        <f>V680*0.2</f>
        <v/>
      </c>
      <c r="X680" s="16">
        <f>O680-Q680-R680-S680-U680-V680+T680+W680</f>
        <v/>
      </c>
      <c r="Y680" s="14" t="n"/>
      <c r="Z680" s="15">
        <f>O680+1.5</f>
        <v/>
      </c>
      <c r="AA680" s="15" t="n"/>
      <c r="AB680" s="15" t="n"/>
      <c r="AC680" s="14" t="n"/>
      <c r="AD680" s="14" t="n"/>
      <c r="AE680" s="13" t="inlineStr">
        <is>
          <t>NOT_UPLOADED</t>
        </is>
      </c>
    </row>
    <row r="681" ht="16" customHeight="1">
      <c r="A681" s="17" t="n">
        <v>3600520982472</v>
      </c>
      <c r="B681" s="17" t="n">
        <v>3600521372654</v>
      </c>
      <c r="C681" s="13" t="n"/>
      <c r="D681" s="18" t="n"/>
      <c r="E681" s="18" t="inlineStr">
        <is>
          <t>LIL-3600520982472</t>
        </is>
      </c>
      <c r="F681" s="17" t="inlineStr">
        <is>
          <t>L1200</t>
        </is>
      </c>
      <c r="G681" s="18" t="inlineStr">
        <is>
          <t>Lilly</t>
        </is>
      </c>
      <c r="H681" s="18" t="inlineStr">
        <is>
          <t>Loreal</t>
        </is>
      </c>
      <c r="I681" s="18" t="inlineStr">
        <is>
          <t>L'Oréal Paris Coloration ohne Ammoniak und Silikone, Pflegende Intensivtönung mit Glanz-Reflex-Balsam, Casting Crème Gloss Haarfarbe, Nr. 200 Schwarzbraun (Braun), 1 Stück</t>
        </is>
      </c>
      <c r="J681" s="18" t="inlineStr">
        <is>
          <t>No</t>
        </is>
      </c>
      <c r="K681" s="18" t="inlineStr">
        <is>
          <t>https://www.amazon.de/LOr%C3%A9al-Paris-Casting-Glanz-Reflex-Intensivt%C3%B6nung-Schwarzbraun/dp/B000OVRX2S/ref=sr_1_1?__mk_de_DE=%C3%85M%C3%85%C5%BD%C3%95%C3%91&amp;crid=1KPLEUETKNUL4&amp;dib=eyJ2IjoiMSJ9.AfakZQNkX252txQ3VAzsDcuIXCsaw38BWWtA-fIw6PEkZwy0En7rdjRjJDN658w5GCesyHQICp9-VFvfI5nrtpZ54zJIIzXw2KuY_rsyRsmL7ifPL2HL1XkKeO3I9635LIozI62Oog9_1OcfgEwsQuXJPhYBOqsjmVVTXh2VB3v4btifVspkFbveQQQy5MzsNVZ1UxPxS9884WpqWbSNRvjfnm3YGv6ihyAWsdOUyb1iuPJ5NCJHXECphRS1HW6xtI3VVOLNsxDG87Ak-NYiMMvA_IXWTnV0-Xk-JybSRpQ.6Fu2y1sZzMrJyF0jHAbg0qJkZHlzu4oeLcTUkibndk0&amp;dib_tag=se&amp;keywords=loreal%2Bcasting%2Bcream%2Bgloss%2B200%2BEBONY%2BBLACK&amp;qid=1764533812&amp;sprefix=loreal%2Bcasting%2Bcream%2Bgloss%2B200%2Bebony%2Bblac%2Caps%2C381&amp;sr=8-1&amp;th=1</t>
        </is>
      </c>
      <c r="L681" s="18" t="inlineStr">
        <is>
          <t>B000OVRX2S</t>
        </is>
      </c>
      <c r="M681" s="19" t="n"/>
      <c r="N681" s="19" t="n"/>
      <c r="O681" s="19" t="n">
        <v>11.7</v>
      </c>
      <c r="P681" s="19">
        <f>O681/1.19</f>
        <v/>
      </c>
      <c r="Q681" s="19">
        <f>O681-P681</f>
        <v/>
      </c>
      <c r="R681" s="19">
        <f>O681*0.15</f>
        <v/>
      </c>
      <c r="S681" s="19" t="n">
        <v>4.26</v>
      </c>
      <c r="T681" s="19">
        <f>S681*0.2</f>
        <v/>
      </c>
      <c r="U681" s="19" t="n">
        <v>0.400000000000002</v>
      </c>
      <c r="V681" s="19" t="n">
        <v>3.7</v>
      </c>
      <c r="W681" s="19">
        <f>V681*0.2</f>
        <v/>
      </c>
      <c r="X681" s="16">
        <f>O681-Q681-R681-S681-U681-V681+T681+W681</f>
        <v/>
      </c>
      <c r="Y681" s="18" t="n"/>
      <c r="Z681" s="19">
        <f>O681+1.5</f>
        <v/>
      </c>
      <c r="AA681" s="19" t="n"/>
      <c r="AB681" s="19" t="n"/>
      <c r="AC681" s="18" t="n"/>
      <c r="AD681" s="18" t="n"/>
      <c r="AE681" s="13" t="inlineStr">
        <is>
          <t>NOT_UPLOADED</t>
        </is>
      </c>
    </row>
    <row r="682" ht="16" customHeight="1">
      <c r="A682" s="12" t="n">
        <v>3600523388240</v>
      </c>
      <c r="B682" s="12" t="n">
        <v>3600523387854</v>
      </c>
      <c r="C682" s="13" t="n"/>
      <c r="D682" s="14" t="n"/>
      <c r="E682" s="14" t="inlineStr">
        <is>
          <t>FOR-3600523388240</t>
        </is>
      </c>
      <c r="F682" s="12" t="inlineStr">
        <is>
          <t>L1018</t>
        </is>
      </c>
      <c r="G682" s="14" t="inlineStr">
        <is>
          <t>Fortuna</t>
        </is>
      </c>
      <c r="H682" s="14" t="inlineStr">
        <is>
          <t>Loreal</t>
        </is>
      </c>
      <c r="I682" s="14" t="inlineStr">
        <is>
          <t>(Golden Brown) - L'Oreal Magic Retouch Instant Root Touch Up Golden Brown</t>
        </is>
      </c>
      <c r="J682" s="14" t="inlineStr">
        <is>
          <t>No</t>
        </is>
      </c>
      <c r="K682" s="14" t="inlineStr">
        <is>
          <t>https://www.amazon.de/Golden-Brown-LOreal-Retouch-Instant/dp/B0718ZSFL3/ref=sr_1_3?__mk_de_DE=%C3%85M%C3%85%C5%BD%C3%95%C3%91&amp;crid=2WACCRFLFZO08&amp;dib=eyJ2IjoiMSJ9.rHkGgMoUDT_AY8so2YyxXLB8kkLEAnxGSXfGleWHpfBHHVyJ67XNBAKxNYEo2AWSKpNyWaJchXNIWR6YWY_cd6SQ68tnjZx270OTbx9IWWsO8TjIF98kOGP10HkU7tzv2hGMGDg8Tqcv3Pju8bnnC2ah-y5Dsqk9iWlvmJ71S4DbjH7clKReCaswUEvZOG2rrF0tUKbATTKAc4nvI_8CK0536aUP2MN_0DR6XNW9Bfwg2_NHl78tmulqlR2Nnb0p0VBBKq-GvczXZvOgV7QKqAdeeZjO18GtpDFNCBotZJs.pkbv4AROBblq2qzNX7oiHzXiVHb_wpS-k31hb0c9AnU&amp;dib_tag=se&amp;keywords=loreal+magic+retouch+BROWN&amp;qid=1770493927&amp;sprefix=loreal+magic+retouch+brown%2Caps%2C139&amp;sr=8-3</t>
        </is>
      </c>
      <c r="L682" s="14" t="inlineStr">
        <is>
          <t>B0718ZSFL3</t>
        </is>
      </c>
      <c r="M682" s="15" t="n"/>
      <c r="N682" s="15" t="n"/>
      <c r="O682" s="15" t="n">
        <v>9.65</v>
      </c>
      <c r="P682" s="15">
        <f>O682/1.19</f>
        <v/>
      </c>
      <c r="Q682" s="15">
        <f>O682-P682</f>
        <v/>
      </c>
      <c r="R682" s="15">
        <f>O682*0.15</f>
        <v/>
      </c>
      <c r="S682" s="15" t="n">
        <v>4.11</v>
      </c>
      <c r="T682" s="15">
        <f>S682*0.2</f>
        <v/>
      </c>
      <c r="U682" s="15" t="n">
        <v>0.400000000000002</v>
      </c>
      <c r="V682" s="15" t="n">
        <v>2.2</v>
      </c>
      <c r="W682" s="15">
        <f>V682*0.2</f>
        <v/>
      </c>
      <c r="X682" s="16">
        <f>O682-Q682-R682-S682-U682-V682+T682+W682</f>
        <v/>
      </c>
      <c r="Y682" s="14" t="n"/>
      <c r="Z682" s="15">
        <f>O682+1.5</f>
        <v/>
      </c>
      <c r="AA682" s="15" t="n"/>
      <c r="AB682" s="15" t="n"/>
      <c r="AC682" s="14" t="n"/>
      <c r="AD682" s="14" t="n"/>
      <c r="AE682" s="13" t="inlineStr">
        <is>
          <t>NOT_UPLOADED</t>
        </is>
      </c>
    </row>
    <row r="683" ht="16" customHeight="1">
      <c r="A683" s="17" t="n">
        <v>3600523337729</v>
      </c>
      <c r="B683" s="17" t="n">
        <v>3600523337422</v>
      </c>
      <c r="C683" s="13" t="n"/>
      <c r="D683" s="18" t="n"/>
      <c r="E683" s="18" t="inlineStr">
        <is>
          <t>FOR-3600523337729</t>
        </is>
      </c>
      <c r="F683" s="17" t="inlineStr">
        <is>
          <t>L1016</t>
        </is>
      </c>
      <c r="G683" s="18" t="inlineStr">
        <is>
          <t>Fortuna</t>
        </is>
      </c>
      <c r="H683" s="18" t="inlineStr">
        <is>
          <t>Loreal</t>
        </is>
      </c>
      <c r="I683" s="18" t="inlineStr">
        <is>
          <t>L'Oreal Paris Magic Retouch Spray Temporäres Ausbesserungsspray Farbton Medium Iced Brown 75 ml</t>
        </is>
      </c>
      <c r="J683" s="18" t="inlineStr">
        <is>
          <t>No</t>
        </is>
      </c>
      <c r="K683" s="18" t="inlineStr">
        <is>
          <t>https://www.amazon.de/LOreal-Retouch-Tempor%C3%A4res-Ausbesserungsspray-Farbton/dp/B06XKD1PNH/ref=sr_1_1?__mk_de_DE=%C3%85M%C3%85%C5%BD%C3%95%C3%91&amp;crid=14UWMDZCJ7VUP&amp;dib=eyJ2IjoiMSJ9.44kIkIO0L77itXETPVNJOXiafHgSOW3ztKa4sNfWvdr8pPzKtJLsqV5IQYng93pVTTJxEq1FwueBq88xPaUVr_2nyMcHcXZxnOr2BDmmsXcGASatTtrXCIkN15Rc7_BgVX0-IuR98MO2hc3ow_ygUmDMduCsb6bYpUdUmj6SYYPb2X7RowRMonxoXBCEAsvjESD285FOeo1MHG2TbXXeGnIhsAym0UieUZnDayki9xjJl-7h-oNP3yUl_SaBOAlLk9E4bNbfwR2lCQqGLtfp16ur4sa2HWoszcMH8Oc8S8s.AAHBgpUdvySM1pgdr9j2YVtnknpmSK8MhUtSV3yBbIA&amp;dib_tag=se&amp;keywords=loreal+magic+retouch+MEDIUM+ICED+BROWN&amp;qid=1770495439&amp;sprefix=loreal+magic+retouch+medium+iced+brown%2Caps%2C127&amp;sr=8-1</t>
        </is>
      </c>
      <c r="L683" s="18" t="inlineStr">
        <is>
          <t>B06XKD1PNH</t>
        </is>
      </c>
      <c r="M683" s="19" t="n"/>
      <c r="N683" s="19" t="n"/>
      <c r="O683" s="19" t="n">
        <v>12.95</v>
      </c>
      <c r="P683" s="19">
        <f>O683/1.19</f>
        <v/>
      </c>
      <c r="Q683" s="19">
        <f>O683-P683</f>
        <v/>
      </c>
      <c r="R683" s="19">
        <f>O683*0.15</f>
        <v/>
      </c>
      <c r="S683" s="19" t="n">
        <v>4.11</v>
      </c>
      <c r="T683" s="19">
        <f>S683*0.2</f>
        <v/>
      </c>
      <c r="U683" s="19" t="n">
        <v>0.400000000000002</v>
      </c>
      <c r="V683" s="19" t="n">
        <v>2.2</v>
      </c>
      <c r="W683" s="19">
        <f>V683*0.2</f>
        <v/>
      </c>
      <c r="X683" s="21">
        <f>O683-Q683-R683-S683-U683-V683+T683+W683</f>
        <v/>
      </c>
      <c r="Y683" s="18" t="n"/>
      <c r="Z683" s="19">
        <f>O683+1.5</f>
        <v/>
      </c>
      <c r="AA683" s="19" t="n"/>
      <c r="AB683" s="19" t="n"/>
      <c r="AC683" s="18" t="n"/>
      <c r="AD683" s="18" t="n"/>
      <c r="AE683" s="13" t="inlineStr">
        <is>
          <t>NOT_UPLOADED</t>
        </is>
      </c>
    </row>
    <row r="684" ht="16" customHeight="1">
      <c r="A684" s="12" t="n">
        <v>3600523155200</v>
      </c>
      <c r="B684" s="12" t="n">
        <v>3600523155200</v>
      </c>
      <c r="C684" s="13" t="n"/>
      <c r="D684" s="14" t="n"/>
      <c r="E684" s="14" t="inlineStr">
        <is>
          <t>DM-3600523155200</t>
        </is>
      </c>
      <c r="F684" s="12" t="n">
        <v>2119975</v>
      </c>
      <c r="G684" s="14" t="inlineStr">
        <is>
          <t>DM</t>
        </is>
      </c>
      <c r="H684" s="14" t="inlineStr">
        <is>
          <t>Loreal</t>
        </is>
      </c>
      <c r="I684" s="14" t="inlineStr">
        <is>
          <t>L'Oréal Paris Powder Make Up Matte Compact Powder SPF 8 Includes Mirror and Sponge True Match Powder #2.N 9g</t>
        </is>
      </c>
      <c r="J684" s="14" t="inlineStr">
        <is>
          <t>No</t>
        </is>
      </c>
      <c r="K684" s="14" t="inlineStr">
        <is>
          <t>https://www.amazon.de/-/en/LOr%C3%A9al-Powder-Compact-True-Match/dp/B07T5SVFP2/ref=sr_1_1?crid=35PIJGIIL284N&amp;dib=eyJ2IjoiMSJ9.vZADENDpib-KoOq_nIqEEQ.AF2-sTnNvv_aDy65T88hoGgpyBzK_oPeuitQQRzcb_c&amp;dib_tag=se&amp;keywords=B07T5SVFP2&amp;qid=1768062236&amp;s=beauty&amp;sprefix=b07t5svfp2%2Cbeauty%2C140&amp;sr=1-1</t>
        </is>
      </c>
      <c r="L684" s="14" t="inlineStr">
        <is>
          <t>B07T5SVFP2</t>
        </is>
      </c>
      <c r="M684" s="15" t="n"/>
      <c r="N684" s="15" t="n"/>
      <c r="O684" s="15" t="n">
        <v>13.7</v>
      </c>
      <c r="P684" s="15">
        <f>O684/1.19</f>
        <v/>
      </c>
      <c r="Q684" s="15">
        <f>O684-P684</f>
        <v/>
      </c>
      <c r="R684" s="15">
        <f>O684*0.15</f>
        <v/>
      </c>
      <c r="S684" s="15" t="n">
        <v>6.74</v>
      </c>
      <c r="T684" s="15">
        <f>S684*0.2</f>
        <v/>
      </c>
      <c r="U684" s="15" t="n">
        <v>0.400000000000002</v>
      </c>
      <c r="V684" s="15" t="n">
        <v>2.5</v>
      </c>
      <c r="W684" s="15">
        <f>V684*0.2</f>
        <v/>
      </c>
      <c r="X684" s="16">
        <f>O684-Q684-R684-S684-U684-V684+T684+W684</f>
        <v/>
      </c>
      <c r="Y684" s="14" t="n"/>
      <c r="Z684" s="15">
        <f>O684+1.5</f>
        <v/>
      </c>
      <c r="AA684" s="15" t="n"/>
      <c r="AB684" s="15" t="n"/>
      <c r="AC684" s="14" t="n"/>
      <c r="AD684" s="14" t="n"/>
      <c r="AE684" s="13" t="inlineStr">
        <is>
          <t>NOT_UPLOADED</t>
        </is>
      </c>
    </row>
    <row r="685" ht="16" customHeight="1">
      <c r="A685" s="17" t="n">
        <v>3600520932897</v>
      </c>
      <c r="B685" s="17" t="n">
        <v>3600520932897</v>
      </c>
      <c r="C685" s="13" t="n"/>
      <c r="D685" s="18" t="n"/>
      <c r="E685" s="18" t="inlineStr">
        <is>
          <t>DM-3600520932897</t>
        </is>
      </c>
      <c r="F685" s="17" t="n">
        <v>2105023</v>
      </c>
      <c r="G685" s="18" t="inlineStr">
        <is>
          <t>DM</t>
        </is>
      </c>
      <c r="H685" s="18" t="inlineStr">
        <is>
          <t>Loreal</t>
        </is>
      </c>
      <c r="I685" s="18" t="inlineStr">
        <is>
          <t>L'Oréal Paris Powder Make Up Matte Compact Powder SPF 8 Mirror and Sponge True Match Powder #4.N 9g</t>
        </is>
      </c>
      <c r="J685" s="18" t="inlineStr">
        <is>
          <t>No</t>
        </is>
      </c>
      <c r="K685" s="18" t="inlineStr">
        <is>
          <t>https://www.amazon.de/-/en/LOr%C3%A9al-Powder-Compact-Mirror-Sponge/dp/B0046U7HA6/ref=sr_1_4?crid=RD82142GAXJW&amp;dib=eyJ2IjoiMSJ9.PYfqMzU4NJxFakvV5ERvv6HHxAn0nNBaCtKXRpWs3MELbN3OgVlFtvOy1CTwVRjjRIQh30cMZzq-v3AuDQeMvWXJvb2hGeV-ke56hm6xi-gYnDknicNd6j9cbjaWGU4f-tR6m2vuHu_Y85AK6iBZYu7ZwO3s4dbzyCaq21EClO6FiiNr6kbY5GokxfvkR_dBh0bG_38qeelmWvrEwlhKzftITz617eVmfEYHSvnTdtgdh9Pu6FFtFOnAmZy_xicH-JDhqyj-_4OqNWS3OukbKbMgYdhTuX-qXpGTV5_SGKc.xijEE8rzLCg3CLVRd0w1IVswzAG7Kl0zJweYwsqYYZE&amp;dib_tag=se&amp;keywords=LOREAL%2BPOWDER%2BTRUE%2BMATCH&amp;qid=1768069712&amp;rdc=1&amp;s=beauty&amp;sprefix=loreal%2Bpowder%2Btrue%2Bmatch%2Cbeauty%2C129&amp;sr=1-4&amp;th=1</t>
        </is>
      </c>
      <c r="L685" s="18" t="inlineStr">
        <is>
          <t>B0046U7HA6</t>
        </is>
      </c>
      <c r="M685" s="19" t="n"/>
      <c r="N685" s="19" t="n"/>
      <c r="O685" s="19" t="n">
        <v>13.8</v>
      </c>
      <c r="P685" s="19">
        <f>O685/1.19</f>
        <v/>
      </c>
      <c r="Q685" s="19">
        <f>O685-P685</f>
        <v/>
      </c>
      <c r="R685" s="19">
        <f>O685*0.15</f>
        <v/>
      </c>
      <c r="S685" s="19" t="n">
        <v>6.74</v>
      </c>
      <c r="T685" s="19">
        <f>S685*0.2</f>
        <v/>
      </c>
      <c r="U685" s="19" t="n">
        <v>0.400000000000002</v>
      </c>
      <c r="V685" s="19" t="n">
        <v>2.5</v>
      </c>
      <c r="W685" s="19">
        <f>V685*0.2</f>
        <v/>
      </c>
      <c r="X685" s="16">
        <f>O685-Q685-R685-S685-U685-V685+T685+W685</f>
        <v/>
      </c>
      <c r="Y685" s="18" t="n"/>
      <c r="Z685" s="19">
        <f>O685+1.5</f>
        <v/>
      </c>
      <c r="AA685" s="19" t="n"/>
      <c r="AB685" s="19" t="n"/>
      <c r="AC685" s="18" t="n"/>
      <c r="AD685" s="18" t="n"/>
      <c r="AE685" s="13" t="inlineStr">
        <is>
          <t>NOT_UPLOADED</t>
        </is>
      </c>
    </row>
    <row r="686" ht="16" customHeight="1">
      <c r="A686" s="12" t="n">
        <v>3600520772035</v>
      </c>
      <c r="B686" s="12" t="n">
        <v>3600520772035</v>
      </c>
      <c r="C686" s="13" t="n"/>
      <c r="D686" s="14" t="n"/>
      <c r="E686" s="14" t="inlineStr">
        <is>
          <t>DM-3600520772035</t>
        </is>
      </c>
      <c r="F686" s="12" t="n">
        <v>2019707</v>
      </c>
      <c r="G686" s="14" t="inlineStr">
        <is>
          <t>DM</t>
        </is>
      </c>
      <c r="H686" s="14" t="inlineStr">
        <is>
          <t>Loreal</t>
        </is>
      </c>
      <c r="I686" s="14" t="inlineStr">
        <is>
          <t>L'Oréal Paris Powder Make Up Matte Compact Powder SPF 8 Mirror and Sponge True Match Powder #3.D 9g</t>
        </is>
      </c>
      <c r="J686" s="14" t="inlineStr">
        <is>
          <t>No</t>
        </is>
      </c>
      <c r="K686" s="14" t="inlineStr">
        <is>
          <t>https://www.amazon.de/-/en/LOr%C3%A9al-Powder-Compact-True-Match/dp/B0046U7FOE/ref=sr_1_1?crid=11HZ0X941LNOU&amp;dib=eyJ2IjoiMSJ9.h4ho7J5o5egFvzZxq7hQEg.pO34dliWTUyfJny4l_5TlG89ZseUu4vzAhfD-TME7RI&amp;dib_tag=se&amp;keywords=B0046U7FOE&amp;qid=1768070585&amp;rdc=1&amp;s=beauty&amp;sprefix=b0046u7foe%2Cbeauty%2C210&amp;sr=1-1</t>
        </is>
      </c>
      <c r="L686" s="14" t="inlineStr">
        <is>
          <t>B0046U7FOE</t>
        </is>
      </c>
      <c r="M686" s="15" t="n"/>
      <c r="N686" s="15" t="n"/>
      <c r="O686" s="15" t="n">
        <v>13.99</v>
      </c>
      <c r="P686" s="15">
        <f>O686/1.19</f>
        <v/>
      </c>
      <c r="Q686" s="15">
        <f>O686-P686</f>
        <v/>
      </c>
      <c r="R686" s="15">
        <f>O686*0.15</f>
        <v/>
      </c>
      <c r="S686" s="15" t="n">
        <v>6.74</v>
      </c>
      <c r="T686" s="15">
        <f>S686*0.2</f>
        <v/>
      </c>
      <c r="U686" s="15" t="n">
        <v>0.400000000000002</v>
      </c>
      <c r="V686" s="15" t="n">
        <v>2.5</v>
      </c>
      <c r="W686" s="15">
        <f>V686*0.2</f>
        <v/>
      </c>
      <c r="X686" s="16">
        <f>O686-Q686-R686-S686-U686-V686+T686+W686</f>
        <v/>
      </c>
      <c r="Y686" s="14" t="n"/>
      <c r="Z686" s="15">
        <f>O686+1.5</f>
        <v/>
      </c>
      <c r="AA686" s="15" t="n"/>
      <c r="AB686" s="15" t="n"/>
      <c r="AC686" s="14" t="n"/>
      <c r="AD686" s="14" t="n"/>
      <c r="AE686" s="13" t="inlineStr">
        <is>
          <t>NOT_UPLOADED</t>
        </is>
      </c>
    </row>
    <row r="687" ht="16" customHeight="1">
      <c r="A687" s="17" t="n">
        <v>3600520772080</v>
      </c>
      <c r="B687" s="17" t="n">
        <v>3600520772080</v>
      </c>
      <c r="C687" s="13" t="n"/>
      <c r="D687" s="18" t="n"/>
      <c r="E687" s="18" t="inlineStr">
        <is>
          <t>DM-3600520772080</t>
        </is>
      </c>
      <c r="F687" s="17" t="n">
        <v>2269069</v>
      </c>
      <c r="G687" s="18" t="inlineStr">
        <is>
          <t>DM</t>
        </is>
      </c>
      <c r="H687" s="18" t="inlineStr">
        <is>
          <t>Loreal</t>
        </is>
      </c>
      <c r="I687" s="18" t="inlineStr">
        <is>
          <t>L'Oreal True Match Super Blendable Powder Colour: W7 Cinnamon</t>
        </is>
      </c>
      <c r="J687" s="18" t="inlineStr">
        <is>
          <t>No</t>
        </is>
      </c>
      <c r="K687" s="18" t="inlineStr">
        <is>
          <t>https://www.amazon.de/-/en/LOreal-True-Match-Blendable-Powder/dp/B00H5KF8G4/ref=sr_1_1?crid=29UCUALOWORTB&amp;dib=eyJ2IjoiMSJ9.Yjvkf-X79cqIh_aCxrsjUjyPkMeJA7ny3x7ZAzffyNPGjHj071QN20LucGBJIEps.MeS1w0nYIGF4eK7CAfsqWRgqe9oRGMpsjUQk_ycABzw&amp;dib_tag=se&amp;keywords=3600520772080&amp;qid=1768072783&amp;s=beauty&amp;sprefix=3600520772080%2Cbeauty%2C223&amp;sr=1-1&amp;th=1</t>
        </is>
      </c>
      <c r="L687" s="18" t="inlineStr">
        <is>
          <t>B00H5KF8G4</t>
        </is>
      </c>
      <c r="M687" s="19" t="n"/>
      <c r="N687" s="19" t="n"/>
      <c r="O687" s="19" t="n">
        <v>13.95</v>
      </c>
      <c r="P687" s="19">
        <f>O687/1.19</f>
        <v/>
      </c>
      <c r="Q687" s="19">
        <f>O687-P687</f>
        <v/>
      </c>
      <c r="R687" s="19">
        <f>O687*0.15</f>
        <v/>
      </c>
      <c r="S687" s="19" t="n">
        <v>6.74</v>
      </c>
      <c r="T687" s="19">
        <f>S687*0.2</f>
        <v/>
      </c>
      <c r="U687" s="19" t="n">
        <v>0.400000000000002</v>
      </c>
      <c r="V687" s="19" t="n">
        <v>2.5</v>
      </c>
      <c r="W687" s="19">
        <f>V687*0.2</f>
        <v/>
      </c>
      <c r="X687" s="16">
        <f>O687-Q687-R687-S687-U687-V687+T687+W687</f>
        <v/>
      </c>
      <c r="Y687" s="18" t="n"/>
      <c r="Z687" s="19">
        <f>O687+1.5</f>
        <v/>
      </c>
      <c r="AA687" s="19" t="n"/>
      <c r="AB687" s="19" t="n"/>
      <c r="AC687" s="18" t="n"/>
      <c r="AD687" s="18" t="n"/>
      <c r="AE687" s="13" t="inlineStr">
        <is>
          <t>NOT_UPLOADED</t>
        </is>
      </c>
    </row>
    <row r="688" ht="16" customHeight="1">
      <c r="A688" s="12" t="n">
        <v>6902395725602</v>
      </c>
      <c r="B688" s="12" t="n">
        <v>3600520772080</v>
      </c>
      <c r="C688" s="13" t="n"/>
      <c r="D688" s="14" t="n"/>
      <c r="E688" s="14" t="inlineStr">
        <is>
          <t>DM-6902395725602</t>
        </is>
      </c>
      <c r="F688" s="12" t="n">
        <v>2269069</v>
      </c>
      <c r="G688" s="14" t="inlineStr">
        <is>
          <t>DM</t>
        </is>
      </c>
      <c r="H688" s="14" t="inlineStr">
        <is>
          <t>Loreal</t>
        </is>
      </c>
      <c r="I688" s="14" t="inlineStr">
        <is>
          <t>L'Oral Paris True Match Foundation - W7 Cinnamon - Poeder</t>
        </is>
      </c>
      <c r="J688" s="14" t="inlineStr">
        <is>
          <t>No</t>
        </is>
      </c>
      <c r="K688" s="14" t="inlineStr">
        <is>
          <t>https://www.amazon.de/-/en/LOral-Paris-True-Match-Foundation/dp/B008PDLHGA/ref=sr_1_3?crid=29UCUALOWORTB&amp;dib=eyJ2IjoiMSJ9.Yjvkf-X79cqIh_aCxrsjUjyPkMeJA7ny3x7ZAzffyNPGjHj071QN20LucGBJIEps.MeS1w0nYIGF4eK7CAfsqWRgqe9oRGMpsjUQk_ycABzw&amp;dib_tag=se&amp;keywords=3600520772080&amp;qid=1768072783&amp;s=beauty&amp;sprefix=3600520772080%2Cbeauty%2C223&amp;sr=1-3</t>
        </is>
      </c>
      <c r="L688" s="14" t="inlineStr">
        <is>
          <t>B008PDLHGA</t>
        </is>
      </c>
      <c r="M688" s="15" t="n"/>
      <c r="N688" s="15" t="n"/>
      <c r="O688" s="15" t="n">
        <v>14.7</v>
      </c>
      <c r="P688" s="15">
        <f>O688/1.19</f>
        <v/>
      </c>
      <c r="Q688" s="15">
        <f>O688-P688</f>
        <v/>
      </c>
      <c r="R688" s="15">
        <f>O688*0.15</f>
        <v/>
      </c>
      <c r="S688" s="15" t="n">
        <v>6.74</v>
      </c>
      <c r="T688" s="15">
        <f>S688*0.2</f>
        <v/>
      </c>
      <c r="U688" s="15" t="n">
        <v>0.400000000000002</v>
      </c>
      <c r="V688" s="15" t="n">
        <v>2.5</v>
      </c>
      <c r="W688" s="15">
        <f>V688*0.2</f>
        <v/>
      </c>
      <c r="X688" s="21">
        <f>O688-Q688-R688-S688-U688-V688+T688+W688</f>
        <v/>
      </c>
      <c r="Y688" s="14" t="n"/>
      <c r="Z688" s="15">
        <f>O688+1.5</f>
        <v/>
      </c>
      <c r="AA688" s="15" t="n"/>
      <c r="AB688" s="15" t="n"/>
      <c r="AC688" s="14" t="n"/>
      <c r="AD688" s="14" t="n"/>
      <c r="AE688" s="13" t="inlineStr">
        <is>
          <t>NOT_UPLOADED</t>
        </is>
      </c>
    </row>
    <row r="689" ht="16" customHeight="1">
      <c r="A689" s="17" t="n">
        <v>3600523990177</v>
      </c>
      <c r="B689" s="17" t="n">
        <v>3600523989904</v>
      </c>
      <c r="C689" s="13" t="n"/>
      <c r="D689" s="18" t="n"/>
      <c r="E689" s="18" t="inlineStr">
        <is>
          <t>DM-3600523990177</t>
        </is>
      </c>
      <c r="F689" s="17" t="n">
        <v>2126521</v>
      </c>
      <c r="G689" s="18" t="inlineStr">
        <is>
          <t>DM</t>
        </is>
      </c>
      <c r="H689" s="18" t="inlineStr">
        <is>
          <t>Loreal</t>
        </is>
      </c>
      <c r="I689" s="18" t="inlineStr">
        <is>
          <t>L'Oréal Paris Tinted Serum Nourishing Liquid Foundation with Hyaluronic Acid Perfect Match Tinted Serum No.2-3 Light 1 x 30 ml</t>
        </is>
      </c>
      <c r="J689" s="18" t="inlineStr">
        <is>
          <t>No</t>
        </is>
      </c>
      <c r="K689" s="18" t="inlineStr">
        <is>
          <t>https://www.amazon.de/-/en/LOr%C3%A9al-Nourishing-Foundation-Hyaluronic-Perfect/dp/B09C234326/ref=sr_1_1?crid=3GGAZSSNO91E5&amp;dib=eyJ2IjoiMSJ9.QL-usXJiuc4NpvIwFc3ynw.-5O-TOVbZ9-Mw7Gvi2MC7F2gErGqb7GtQH72mioHxYk&amp;dib_tag=se&amp;keywords=B09C234326&amp;qid=1768073801&amp;s=beauty&amp;sprefix=b09c234326%2Cbeauty%2C152&amp;sr=1-1&amp;th=1</t>
        </is>
      </c>
      <c r="L689" s="18" t="inlineStr">
        <is>
          <t>B09C234326</t>
        </is>
      </c>
      <c r="M689" s="19" t="n"/>
      <c r="N689" s="19" t="n"/>
      <c r="O689" s="19" t="n">
        <v>24.7</v>
      </c>
      <c r="P689" s="19">
        <f>O689/1.19</f>
        <v/>
      </c>
      <c r="Q689" s="19">
        <f>O689-P689</f>
        <v/>
      </c>
      <c r="R689" s="19">
        <f>O689*0.15</f>
        <v/>
      </c>
      <c r="S689" s="19" t="n">
        <v>13.6</v>
      </c>
      <c r="T689" s="19">
        <f>S689*0.2</f>
        <v/>
      </c>
      <c r="U689" s="19" t="n">
        <v>0.400000000000002</v>
      </c>
      <c r="V689" s="19" t="n">
        <v>2.5</v>
      </c>
      <c r="W689" s="19">
        <f>V689*0.2</f>
        <v/>
      </c>
      <c r="X689" s="21">
        <f>O689-Q689-R689-S689-U689-V689+T689+W689</f>
        <v/>
      </c>
      <c r="Y689" s="18" t="n"/>
      <c r="Z689" s="19">
        <f>O689+1.5</f>
        <v/>
      </c>
      <c r="AA689" s="19" t="n"/>
      <c r="AB689" s="19" t="n"/>
      <c r="AC689" s="18" t="n"/>
      <c r="AD689" s="18" t="n"/>
      <c r="AE689" s="13" t="inlineStr">
        <is>
          <t>NOT_UPLOADED</t>
        </is>
      </c>
    </row>
    <row r="690" ht="16" customHeight="1">
      <c r="A690" s="12" t="n">
        <v>3600523990191</v>
      </c>
      <c r="B690" s="12" t="n">
        <v>3600523989928</v>
      </c>
      <c r="C690" s="13" t="n"/>
      <c r="D690" s="14" t="n"/>
      <c r="E690" s="14" t="inlineStr">
        <is>
          <t>DM-3600523990191</t>
        </is>
      </c>
      <c r="F690" s="12" t="n">
        <v>2126520</v>
      </c>
      <c r="G690" s="14" t="inlineStr">
        <is>
          <t>DM</t>
        </is>
      </c>
      <c r="H690" s="14" t="inlineStr">
        <is>
          <t>Loreal</t>
        </is>
      </c>
      <c r="I690" s="14" t="inlineStr">
        <is>
          <t>L'Oréal Paris Tinted Serum Nourishing Liquid Foundation with Hyaluronic Acid Perfect Match Tinted Serum No.4-5 Medium 1 x 30 ml</t>
        </is>
      </c>
      <c r="J690" s="14" t="inlineStr">
        <is>
          <t>No</t>
        </is>
      </c>
      <c r="K690" s="14" t="inlineStr">
        <is>
          <t>https://www.amazon.de/-/en/LOr%C3%A9al-Nourishing-Foundation-Hyaluronic-Perfect/dp/B09C22R4S5/ref=sr_1_1?crid=3GGAZSSNO91E5&amp;dib=eyJ2IjoiMSJ9.QL-usXJiuc4NpvIwFc3ynw.-5O-TOVbZ9-Mw7Gvi2MC7F2gErGqb7GtQH72mioHxYk&amp;dib_tag=se&amp;keywords=B09C234326&amp;qid=1768073801&amp;s=beauty&amp;sprefix=b09c234326%2Cbeauty%2C152&amp;sr=1-1&amp;th=1</t>
        </is>
      </c>
      <c r="L690" s="14" t="inlineStr">
        <is>
          <t>B09C22R4S5</t>
        </is>
      </c>
      <c r="M690" s="15" t="n"/>
      <c r="N690" s="15" t="n"/>
      <c r="O690" s="15" t="n">
        <v>24.7</v>
      </c>
      <c r="P690" s="15">
        <f>O690/1.19</f>
        <v/>
      </c>
      <c r="Q690" s="15">
        <f>O690-P690</f>
        <v/>
      </c>
      <c r="R690" s="15">
        <f>O690*0.15</f>
        <v/>
      </c>
      <c r="S690" s="15" t="n">
        <v>13.6</v>
      </c>
      <c r="T690" s="15">
        <f>S690*0.2</f>
        <v/>
      </c>
      <c r="U690" s="15" t="n">
        <v>0.400000000000002</v>
      </c>
      <c r="V690" s="15" t="n">
        <v>2.5</v>
      </c>
      <c r="W690" s="15">
        <f>V690*0.2</f>
        <v/>
      </c>
      <c r="X690" s="21">
        <f>O690-Q690-R690-S690-U690-V690+T690+W690</f>
        <v/>
      </c>
      <c r="Y690" s="14" t="n"/>
      <c r="Z690" s="15">
        <f>O690+1.5</f>
        <v/>
      </c>
      <c r="AA690" s="15" t="n"/>
      <c r="AB690" s="15" t="n"/>
      <c r="AC690" s="14" t="n"/>
      <c r="AD690" s="14" t="n"/>
      <c r="AE690" s="13" t="inlineStr">
        <is>
          <t>NOT_UPLOADED</t>
        </is>
      </c>
    </row>
    <row r="691" ht="16" customHeight="1">
      <c r="A691" s="17" t="n">
        <v>3600524101404</v>
      </c>
      <c r="B691" s="17" t="n">
        <v>3600524101404</v>
      </c>
      <c r="C691" s="13" t="n"/>
      <c r="D691" s="18" t="n"/>
      <c r="E691" s="18" t="inlineStr">
        <is>
          <t>DM-3600524101404</t>
        </is>
      </c>
      <c r="F691" s="17" t="n">
        <v>2029952</v>
      </c>
      <c r="G691" s="18" t="inlineStr">
        <is>
          <t>DM</t>
        </is>
      </c>
      <c r="H691" s="18" t="inlineStr">
        <is>
          <t>Loreal</t>
        </is>
      </c>
      <c r="I691" s="18" t="inlineStr">
        <is>
          <t>L'Oréal Paris Tinted Serum, Nourishing Liquid Foundation with Hyaluronic Acid, True Match Tinted Serum, No. 1-2 Very Light to Light, 1 x 30 ml</t>
        </is>
      </c>
      <c r="J691" s="18" t="inlineStr">
        <is>
          <t>No</t>
        </is>
      </c>
      <c r="K691" s="18" t="inlineStr">
        <is>
          <t>https://www.amazon.de/-/en/LOr%C3%A9al-Tinted-Nourishing-Foundation-Hyaluronic/dp/B0CHBDH6J5/ref=sr_1_1?crid=2IZ1GZORSAHMJ&amp;dib=eyJ2IjoiMSJ9.i7c4GTsCUyQk9wLh8Lup7A.1U4jVM-s1ZGMaSGXaDDfV3rGC_9qolG3TL4cfsQwnQI&amp;dib_tag=se&amp;keywords=B0CHBDH6J5&amp;qid=1768231244&amp;s=beauty&amp;sprefix=b0chbdh6j5%2Cbeauty%2C119&amp;sr=1-1&amp;th=1</t>
        </is>
      </c>
      <c r="L691" s="18" t="inlineStr">
        <is>
          <t>B0CHBDH6J5</t>
        </is>
      </c>
      <c r="M691" s="19" t="n"/>
      <c r="N691" s="19" t="n"/>
      <c r="O691" s="19" t="n"/>
      <c r="P691" s="19" t="n"/>
      <c r="Q691" s="19" t="n"/>
      <c r="R691" s="19" t="n"/>
      <c r="S691" s="19" t="n">
        <v>13.6</v>
      </c>
      <c r="T691" s="19">
        <f>S691*0.2</f>
        <v/>
      </c>
      <c r="U691" s="19" t="n">
        <v>0.400000000000002</v>
      </c>
      <c r="V691" s="19" t="n">
        <v>2.5</v>
      </c>
      <c r="W691" s="19">
        <f>V691*0.2</f>
        <v/>
      </c>
      <c r="X691" s="22" t="n"/>
      <c r="Y691" s="18" t="n"/>
      <c r="Z691" s="19" t="n"/>
      <c r="AA691" s="19" t="n"/>
      <c r="AB691" s="19" t="n"/>
      <c r="AC691" s="18" t="n"/>
      <c r="AD691" s="18" t="n"/>
      <c r="AE691" s="13" t="inlineStr">
        <is>
          <t>NOT_UPLOADED</t>
        </is>
      </c>
    </row>
    <row r="692" ht="16" customHeight="1">
      <c r="A692" s="12" t="n">
        <v>3600551181646</v>
      </c>
      <c r="B692" s="12" t="n">
        <v>3600551181660</v>
      </c>
      <c r="C692" s="13" t="n"/>
      <c r="D692" s="14" t="n"/>
      <c r="E692" s="14" t="inlineStr">
        <is>
          <t>FOR-3600551181646</t>
        </is>
      </c>
      <c r="F692" s="12" t="inlineStr">
        <is>
          <t>MX4001</t>
        </is>
      </c>
      <c r="G692" s="14" t="inlineStr">
        <is>
          <t>Fortuna</t>
        </is>
      </c>
      <c r="H692" s="14" t="inlineStr">
        <is>
          <t>MIXA</t>
        </is>
      </c>
      <c r="I692" s="14" t="inlineStr">
        <is>
          <t>Mixa Concentrated Anti-Pimple Paste, Reduces Impurities in 8H, No Drying Out, Strengthens the Skin Protection Barrier, 15 ml</t>
        </is>
      </c>
      <c r="J692" s="14" t="inlineStr">
        <is>
          <t>No</t>
        </is>
      </c>
      <c r="K692" s="14" t="inlineStr">
        <is>
          <t>https://www.amazon.de/-/en/Concentrated-Anti-Pimple-Impurities-Strengthens-Protection/dp/B0FDWP8WGC/ref=sr_1_1?crid=28JPMSZT4RTEK&amp;dib=eyJ2IjoiMSJ9.WgBca6hJzovUp4z2MASFBA.MFCZXF5Psy8SG34FHK7ljV2DAPZ7gcrsPlE-gK_eSos&amp;dib_tag=se&amp;keywords=B0FDWP8WGC&amp;qid=1768227745&amp;sprefix=b0fdwp8wgc%2Caps%2C111&amp;sr=8-1</t>
        </is>
      </c>
      <c r="L692" s="14" t="inlineStr">
        <is>
          <t>B0FDWP8WGC</t>
        </is>
      </c>
      <c r="M692" s="15" t="n"/>
      <c r="N692" s="15" t="n"/>
      <c r="O692" s="15" t="n">
        <v>12.99</v>
      </c>
      <c r="P692" s="15">
        <f>O692/1.19</f>
        <v/>
      </c>
      <c r="Q692" s="15">
        <f>O692-P692</f>
        <v/>
      </c>
      <c r="R692" s="15">
        <f>O692*0.15</f>
        <v/>
      </c>
      <c r="S692" s="15" t="n">
        <v>5.88</v>
      </c>
      <c r="T692" s="15">
        <f>S692*0.2</f>
        <v/>
      </c>
      <c r="U692" s="15" t="n">
        <v>0.400000000000002</v>
      </c>
      <c r="V692" s="15" t="n">
        <v>2</v>
      </c>
      <c r="W692" s="15">
        <f>V692*0.2</f>
        <v/>
      </c>
      <c r="X692" s="21">
        <f>O692-Q692-R692-S692-U692-V692+T692+W692</f>
        <v/>
      </c>
      <c r="Y692" s="14" t="n"/>
      <c r="Z692" s="15">
        <f>O692+1.5</f>
        <v/>
      </c>
      <c r="AA692" s="15" t="n"/>
      <c r="AB692" s="15" t="n"/>
      <c r="AC692" s="14" t="n"/>
      <c r="AD692" s="14" t="n"/>
      <c r="AE692" s="13" t="inlineStr">
        <is>
          <t>NOT_UPLOADED</t>
        </is>
      </c>
    </row>
    <row r="693" ht="16" customHeight="1">
      <c r="A693" s="17" t="n">
        <v>3600551181677</v>
      </c>
      <c r="B693" s="17" t="n">
        <v>3600551181707</v>
      </c>
      <c r="C693" s="13" t="n"/>
      <c r="D693" s="18" t="n"/>
      <c r="E693" s="18" t="inlineStr">
        <is>
          <t>FOR-3600551181677</t>
        </is>
      </c>
      <c r="F693" s="17" t="inlineStr">
        <is>
          <t>MX4029</t>
        </is>
      </c>
      <c r="G693" s="18" t="inlineStr">
        <is>
          <t>Fortuna</t>
        </is>
      </c>
      <c r="H693" s="18" t="inlineStr">
        <is>
          <t>MIXA</t>
        </is>
      </c>
      <c r="I693" s="18" t="inlineStr">
        <is>
          <t>Mixa Daily UV Fluid SPF50+ Anti-Impurities, High Protection Against UV Radiation, Reduces Impurities by up to 66%, 40 ml</t>
        </is>
      </c>
      <c r="J693" s="18" t="inlineStr">
        <is>
          <t>No</t>
        </is>
      </c>
      <c r="K693" s="18" t="inlineStr">
        <is>
          <t>https://www.amazon.de/-/en/Anti-Impurities-Protection-Against-Radiation-Impurities/dp/B0FDWSS3Y8?ref_=dp_pba_bcd_vb_exp_hgt_t1</t>
        </is>
      </c>
      <c r="L693" s="18" t="inlineStr">
        <is>
          <t>B0FDWSS3Y8</t>
        </is>
      </c>
      <c r="M693" s="19" t="n"/>
      <c r="N693" s="19" t="n"/>
      <c r="O693" s="19" t="n">
        <v>15.85</v>
      </c>
      <c r="P693" s="19">
        <f>O693/1.19</f>
        <v/>
      </c>
      <c r="Q693" s="19">
        <f>O693-P693</f>
        <v/>
      </c>
      <c r="R693" s="19">
        <f>O693*0.15</f>
        <v/>
      </c>
      <c r="S693" s="19" t="n">
        <v>7.79</v>
      </c>
      <c r="T693" s="19">
        <f>S693*0.2</f>
        <v/>
      </c>
      <c r="U693" s="19" t="n">
        <v>0.400000000000002</v>
      </c>
      <c r="V693" s="19" t="n">
        <v>2.2</v>
      </c>
      <c r="W693" s="19">
        <f>V693*0.2</f>
        <v/>
      </c>
      <c r="X693" s="21">
        <f>O693-Q693-R693-S693-U693-V693+T693+W693</f>
        <v/>
      </c>
      <c r="Y693" s="18" t="n"/>
      <c r="Z693" s="19">
        <f>O693+1.5</f>
        <v/>
      </c>
      <c r="AA693" s="19" t="n"/>
      <c r="AB693" s="19" t="n"/>
      <c r="AC693" s="18" t="n"/>
      <c r="AD693" s="18" t="n"/>
      <c r="AE693" s="13" t="inlineStr">
        <is>
          <t>NOT_UPLOADED</t>
        </is>
      </c>
    </row>
    <row r="694" ht="16" customHeight="1">
      <c r="A694" s="12" t="n">
        <v>3600551147307</v>
      </c>
      <c r="B694" s="12" t="n">
        <v>3600551188331</v>
      </c>
      <c r="C694" s="13" t="n"/>
      <c r="D694" s="14" t="n"/>
      <c r="E694" s="14" t="inlineStr">
        <is>
          <t>FOR-3600551147307</t>
        </is>
      </c>
      <c r="F694" s="12" t="inlineStr">
        <is>
          <t>MX5010</t>
        </is>
      </c>
      <c r="G694" s="14" t="inlineStr">
        <is>
          <t>Fortuna</t>
        </is>
      </c>
      <c r="H694" s="14" t="inlineStr">
        <is>
          <t>MIXA</t>
        </is>
      </c>
      <c r="I694" s="14" t="inlineStr">
        <is>
          <t>Mixa Urea Balm with 40% Glycerin, Urea and Allatoin, Repairing, Moisturising, for Very Dry, Cracked Skin on Elbows, Knees, Feet &amp; Hands, 10 in 1 Urea Cica Repair+, 150 ml</t>
        </is>
      </c>
      <c r="J694" s="14" t="inlineStr">
        <is>
          <t>No</t>
        </is>
      </c>
      <c r="K694" s="14" t="inlineStr">
        <is>
          <t>https://www.amazon.de/-/en/Glycerin-Allatoin-Repairing-Moisturising-Cracked/dp/B0CPTBBQJR/ref=sr_1_1?crid=PXDIQEYH9N3A&amp;dib=eyJ2IjoiMSJ9.QHlzoZ3XJESpqH_TWVDGJOQS0ieIx53AGNQeiwbi19VCA9ncM_mAocjmfIRcye7aMidrpGEx4NFAQ1hYUj1TJNMSfcpNy12RRxDjhFO1nYtojBPMW8YxaouhcrOqVNcG7MmVscS6lRfp1CvRFHV-Pd080aAVLwtiEYPq2EyOHdOl8pT9pA92uxhMhJVp3w51dHxXElXpe89BaHCkoVv6TyzBSz8yFYQO3G9XkE5pqDU8zBS9K7W5KHrXlzPeEy3FsTZGPorhqiP49t5Lw2kTJqrlFCgEkXxSTk7Zm8XFYi4.5PJ2XUzrwzE0P9GJdFesUZM6sax4km1JNSubUpPPoro&amp;dib_tag=se&amp;keywords=mixa+10+in+1&amp;qid=1768233390&amp;rdc=1&amp;sprefix=mixa+10+%2Caps%2C111&amp;sr=8-1</t>
        </is>
      </c>
      <c r="L694" s="14" t="inlineStr">
        <is>
          <t>B0CPTBBQJR</t>
        </is>
      </c>
      <c r="M694" s="15" t="n"/>
      <c r="N694" s="15" t="n"/>
      <c r="O694" s="15" t="n">
        <v>14.35</v>
      </c>
      <c r="P694" s="15">
        <f>O694/1.19</f>
        <v/>
      </c>
      <c r="Q694" s="15">
        <f>O694-P694</f>
        <v/>
      </c>
      <c r="R694" s="15">
        <f>O694*0.15</f>
        <v/>
      </c>
      <c r="S694" s="15" t="n">
        <v>6.02</v>
      </c>
      <c r="T694" s="15">
        <f>S694*0.2</f>
        <v/>
      </c>
      <c r="U694" s="15" t="n">
        <v>0.400000000000002</v>
      </c>
      <c r="V694" s="15" t="n">
        <v>3.8</v>
      </c>
      <c r="W694" s="15">
        <f>V694*0.2</f>
        <v/>
      </c>
      <c r="X694" s="16">
        <f>O694-Q694-R694-S694-U694-V694+T694+W694</f>
        <v/>
      </c>
      <c r="Y694" s="14" t="n"/>
      <c r="Z694" s="15">
        <f>O694+1.5</f>
        <v/>
      </c>
      <c r="AA694" s="15" t="n"/>
      <c r="AB694" s="15" t="n"/>
      <c r="AC694" s="14" t="n"/>
      <c r="AD694" s="14" t="n"/>
      <c r="AE694" s="13" t="inlineStr">
        <is>
          <t>NOT_UPLOADED</t>
        </is>
      </c>
    </row>
    <row r="695" ht="16" customHeight="1">
      <c r="A695" s="17" t="n">
        <v>3600524244439</v>
      </c>
      <c r="B695" s="17" t="n">
        <v>3600524244415</v>
      </c>
      <c r="C695" s="13" t="n"/>
      <c r="D695" s="18" t="inlineStr">
        <is>
          <t>NEW PRODUCT</t>
        </is>
      </c>
      <c r="E695" s="18" t="inlineStr">
        <is>
          <t>FOR-3600524244439</t>
        </is>
      </c>
      <c r="F695" s="17" t="inlineStr">
        <is>
          <t>L4066</t>
        </is>
      </c>
      <c r="G695" s="18" t="inlineStr">
        <is>
          <t>Fortuna</t>
        </is>
      </c>
      <c r="H695" s="18" t="inlineStr">
        <is>
          <t>Loreal</t>
        </is>
      </c>
      <c r="I695" s="18" t="inlineStr">
        <is>
          <t>L'Oréal Paris Glass Skin Moisturising Fluid, for Plumped &amp; Glowy Skin, with Hyaluronic Acid + 5% [Vitamin B3 + Pro B5 + C], Smoothing Anti-Ageing Face Fluid, Revitalift Filler, 50 ml</t>
        </is>
      </c>
      <c r="J695" s="18" t="inlineStr">
        <is>
          <t>No</t>
        </is>
      </c>
      <c r="K695" s="18" t="inlineStr">
        <is>
          <t>https://www.amazon.de/-/en/dp/B0GHSGGQ47/ref=sr_1_1?crid=3E6PP0DUHIPLY&amp;dib=eyJ2IjoiMSJ9.avGcVCWixtl3SwxxMwnaXA.IZc4tXDy6rVb--jymWW7r0P6dT3U3FEs4wp-7V-ZOyE&amp;dib_tag=se&amp;keywords=B0GHSGGQ47&amp;qid=1769295733&amp;sprefix=b0ghsggq47%2Caps%2C109&amp;sr=8-1</t>
        </is>
      </c>
      <c r="L695" s="18" t="inlineStr">
        <is>
          <t>B0GHSGGQ47</t>
        </is>
      </c>
      <c r="M695" s="19" t="n"/>
      <c r="N695" s="19" t="n"/>
      <c r="O695" s="19" t="n">
        <v>24.95</v>
      </c>
      <c r="P695" s="19">
        <f>O695/1.19</f>
        <v/>
      </c>
      <c r="Q695" s="19">
        <f>O695-P695</f>
        <v/>
      </c>
      <c r="R695" s="19">
        <f>O695*0.15</f>
        <v/>
      </c>
      <c r="S695" s="19" t="n">
        <v>12.6</v>
      </c>
      <c r="T695" s="19">
        <f>S695*0.2</f>
        <v/>
      </c>
      <c r="U695" s="19" t="n">
        <v>0.400000000000002</v>
      </c>
      <c r="V695" s="19" t="n">
        <v>2.5</v>
      </c>
      <c r="W695" s="19">
        <f>V695*0.2</f>
        <v/>
      </c>
      <c r="X695" s="21">
        <f>O695-Q695-R695-S695-U695-V695+T695+W695</f>
        <v/>
      </c>
      <c r="Y695" s="18" t="n"/>
      <c r="Z695" s="19">
        <f>O695+1.5</f>
        <v/>
      </c>
      <c r="AA695" s="19" t="n"/>
      <c r="AB695" s="19" t="n"/>
      <c r="AC695" s="18" t="n"/>
      <c r="AD695" s="18" t="n"/>
      <c r="AE695" s="13" t="inlineStr">
        <is>
          <t>NOT_UPLOADED</t>
        </is>
      </c>
    </row>
    <row r="696" ht="16" customHeight="1">
      <c r="A696" s="12" t="n">
        <v>3600524229092</v>
      </c>
      <c r="B696" s="12" t="n">
        <v>3600524229092</v>
      </c>
      <c r="C696" s="13" t="n"/>
      <c r="D696" s="14" t="inlineStr">
        <is>
          <t>NEW PRODUCT</t>
        </is>
      </c>
      <c r="E696" s="14" t="inlineStr">
        <is>
          <t>FOR-3600524229092</t>
        </is>
      </c>
      <c r="F696" s="12" t="inlineStr">
        <is>
          <t>L2722</t>
        </is>
      </c>
      <c r="G696" s="14" t="inlineStr">
        <is>
          <t>Fortuna</t>
        </is>
      </c>
      <c r="H696" s="14" t="inlineStr">
        <is>
          <t>Loreal</t>
        </is>
      </c>
      <c r="I696" s="14" t="inlineStr">
        <is>
          <t>L'Oréal Paris False Lash Telescopic Extensionist Mascara</t>
        </is>
      </c>
      <c r="J696" s="14" t="inlineStr">
        <is>
          <t>No</t>
        </is>
      </c>
      <c r="K696" s="14" t="inlineStr">
        <is>
          <t>https://www.amazon.de/-/en/LOreal-Paris/dp/B0FPX87BRC/ref=sr_1_1?crid=3828ZE23DNYAM&amp;dib=eyJ2IjoiMSJ9.eOpGRJ6n7UPDXqURKN29oXtKNq3b-kkeY1k9MJ70zDx5eLDfNk7lk2sNkSHL22gUk_ZSRQTYXMl3RKOuP8n_-Zy4xe-pfvG6VvjfXr8sigRrcwxYVzwEd4XRVElfo_hNTKHbQ5dBrEyXe4egIodB2ptOG4G9nYkbTrOrIvHW1DXNIFOM3yhjt81DcDxl5E8WYdJdJQIlq9PE_NMDKf0qsbaagCKzqq-BPx5tf_7aHoH3UFpmsBhHe0FuKnkt_tW1rG696CS75NxqxratGATrZh0O6CmesWMJfskZcbitVks.OLXEVd8awW8EVVR4xbk8xbEAZeM0VZmU9_5DxmgOCFo&amp;dib_tag=se&amp;keywords=loreal+telescopic+extensionist+mascara&amp;qid=1769296031&amp;sprefix=LOREAL+TELE%2Caps%2C169&amp;sr=8-1</t>
        </is>
      </c>
      <c r="L696" s="14" t="inlineStr">
        <is>
          <t>B0FPX87BRC</t>
        </is>
      </c>
      <c r="M696" s="15" t="n"/>
      <c r="N696" s="15" t="n"/>
      <c r="O696" s="15" t="n">
        <v>15.95</v>
      </c>
      <c r="P696" s="15">
        <f>O696/1.19</f>
        <v/>
      </c>
      <c r="Q696" s="15">
        <f>O696-P696</f>
        <v/>
      </c>
      <c r="R696" s="15">
        <f>O696*0.15</f>
        <v/>
      </c>
      <c r="S696" s="15" t="n">
        <v>8.57</v>
      </c>
      <c r="T696" s="15">
        <f>S696*0.2</f>
        <v/>
      </c>
      <c r="U696" s="15" t="n">
        <v>0.400000000000002</v>
      </c>
      <c r="V696" s="15" t="n">
        <v>2</v>
      </c>
      <c r="W696" s="15">
        <f>V696*0.2</f>
        <v/>
      </c>
      <c r="X696" s="21">
        <f>O696-Q696-R696-S696-U696-V696+T696+W696</f>
        <v/>
      </c>
      <c r="Y696" s="14" t="n"/>
      <c r="Z696" s="15">
        <f>O696+1.5</f>
        <v/>
      </c>
      <c r="AA696" s="15" t="n"/>
      <c r="AB696" s="15" t="n"/>
      <c r="AC696" s="14" t="n"/>
      <c r="AD696" s="14" t="n"/>
      <c r="AE696" s="13" t="inlineStr">
        <is>
          <t>NOT_UPLOADED</t>
        </is>
      </c>
    </row>
    <row r="697" ht="16" customHeight="1">
      <c r="A697" s="17" t="n">
        <v>3600524259679</v>
      </c>
      <c r="B697" s="17" t="n">
        <v>3600524259686</v>
      </c>
      <c r="C697" s="13" t="n"/>
      <c r="D697" s="18" t="n"/>
      <c r="E697" s="18" t="inlineStr">
        <is>
          <t>FOR-3600524259679</t>
        </is>
      </c>
      <c r="F697" s="17" t="inlineStr">
        <is>
          <t>L4235</t>
        </is>
      </c>
      <c r="G697" s="18" t="inlineStr">
        <is>
          <t>Fortuna</t>
        </is>
      </c>
      <c r="H697" s="18" t="inlineStr">
        <is>
          <t>Loreal</t>
        </is>
      </c>
      <c r="I697" s="18" t="inlineStr">
        <is>
          <t>L'Oréal Paris Glass Skin Hydrogel Mask, for Plumped &amp; Glowy Skin, Moisturising &amp; Smoothing, [with Hyaluronic Acid, Glycerine and Centella Asiatica], Revitalift Filler, Single Mask 25 g</t>
        </is>
      </c>
      <c r="J697" s="18" t="inlineStr">
        <is>
          <t>No</t>
        </is>
      </c>
      <c r="K697" s="18" t="inlineStr">
        <is>
          <t>https://www.amazon.de/-/en/Moisturising-Smoothing-Hyaluronic-Glycerine-Revitalift/dp/B0G4D3TNBF/ref=sr_1_3?crid=1AFCIZFTBT3S7&amp;dib=eyJ2IjoiMSJ9.KsBKxV_0y0LquyvRd9rNlPNML4PB8llu95yYVCOmsjCf_JqyrVW6uJ_bij-GZW1W9Iaa1j0LjGuEmvAtQuZt6Uy6QGoKXlLcXp5XM7CSMNkyv7WmZnx3Fn3u9Tnb22RXSrw9bIqyv9423VmzCpj3KA.a-prI_iChV3rpoygCPyjLHm9CLs0Fam7QtFcBcLhaeM&amp;dib_tag=se&amp;keywords=LOREAL+REVITALIFT+FILLER+GLASS&amp;qid=1769548340&amp;s=beauty&amp;sprefix=loreal+revitalift+filler+glass%2Cbeauty%2C102&amp;sr=1-3</t>
        </is>
      </c>
      <c r="L697" s="18" t="inlineStr">
        <is>
          <t>B0G4D3TNBF</t>
        </is>
      </c>
      <c r="M697" s="19" t="n"/>
      <c r="N697" s="19" t="n"/>
      <c r="O697" s="19" t="n">
        <v>10.95</v>
      </c>
      <c r="P697" s="19">
        <f>O697/1.19</f>
        <v/>
      </c>
      <c r="Q697" s="19">
        <f>O697-P697</f>
        <v/>
      </c>
      <c r="R697" s="19">
        <f>O697*0.15</f>
        <v/>
      </c>
      <c r="S697" s="19" t="n">
        <v>4.11</v>
      </c>
      <c r="T697" s="19">
        <f>S697*0.2</f>
        <v/>
      </c>
      <c r="U697" s="19" t="n">
        <v>0.400000000000002</v>
      </c>
      <c r="V697" s="19" t="n">
        <v>2.85</v>
      </c>
      <c r="W697" s="19">
        <f>V697*0.2</f>
        <v/>
      </c>
      <c r="X697" s="16">
        <f>O697-Q697-R697-S697-U697-V697+T697+W697</f>
        <v/>
      </c>
      <c r="Y697" s="18" t="n"/>
      <c r="Z697" s="19">
        <f>O697+1.5</f>
        <v/>
      </c>
      <c r="AA697" s="19" t="n"/>
      <c r="AB697" s="19" t="n"/>
      <c r="AC697" s="18" t="n"/>
      <c r="AD697" s="18" t="n"/>
      <c r="AE697" s="13" t="inlineStr">
        <is>
          <t>NOT_UPLOADED</t>
        </is>
      </c>
    </row>
    <row r="698" ht="16" customHeight="1">
      <c r="A698" s="12" t="n">
        <v>3600524259662</v>
      </c>
      <c r="B698" s="12" t="n">
        <v>3600524259686</v>
      </c>
      <c r="C698" s="20" t="inlineStr">
        <is>
          <t>PACK X 4</t>
        </is>
      </c>
      <c r="D698" s="14" t="n"/>
      <c r="E698" s="14" t="inlineStr">
        <is>
          <t>FOR-3600524259662</t>
        </is>
      </c>
      <c r="F698" s="12" t="inlineStr">
        <is>
          <t>L4235</t>
        </is>
      </c>
      <c r="G698" s="14" t="inlineStr">
        <is>
          <t>Fortuna</t>
        </is>
      </c>
      <c r="H698" s="14" t="inlineStr">
        <is>
          <t>Loreal</t>
        </is>
      </c>
      <c r="I698" s="14" t="inlineStr">
        <is>
          <t>L'Oréal Paris Glass Skin Hydrogel Mask Box for Padded &amp; Glowy Skin, Moisturising &amp; Smoothing, with Hyaluronic Acid, Revitalift Filler, Value Set, 100 g</t>
        </is>
      </c>
      <c r="J698" s="14" t="inlineStr">
        <is>
          <t>No</t>
        </is>
      </c>
      <c r="K698" s="14" t="inlineStr">
        <is>
          <t>https://www.amazon.de/-/en/Hydrogel-Moisturising-Smoothing-Hyaluronic-Revitalift/dp/B0FXLX85D7/ref=sr_1_1?crid=1AFCIZFTBT3S7&amp;dib=eyJ2IjoiMSJ9.KsBKxV_0y0LquyvRd9rNlPNML4PB8llu95yYVCOmsjCf_JqyrVW6uJ_bij-GZW1W9Iaa1j0LjGuEmvAtQuZt6Uy6QGoKXlLcXp5XM7CSMNkyv7WmZnx3Fn3u9Tnb22RXSrw9bIqyv9423VmzCpj3KA.a-prI_iChV3rpoygCPyjLHm9CLs0Fam7QtFcBcLhaeM&amp;dib_tag=se&amp;keywords=LOREAL+REVITALIFT+FILLER+GLASS&amp;qid=1769548340&amp;s=beauty&amp;sprefix=loreal+revitalift+filler+glass%2Cbeauty%2C102&amp;sr=1-1</t>
        </is>
      </c>
      <c r="L698" s="14" t="inlineStr">
        <is>
          <t>B0FXLX85D7</t>
        </is>
      </c>
      <c r="M698" s="15" t="n"/>
      <c r="N698" s="15" t="n"/>
      <c r="O698" s="15" t="n">
        <v>29.95</v>
      </c>
      <c r="P698" s="15">
        <f>O698/1.19</f>
        <v/>
      </c>
      <c r="Q698" s="15">
        <f>O698-P698</f>
        <v/>
      </c>
      <c r="R698" s="15">
        <f>O698*0.15</f>
        <v/>
      </c>
      <c r="S698" s="15" t="n">
        <v>16.44</v>
      </c>
      <c r="T698" s="15">
        <f>S698*0.2</f>
        <v/>
      </c>
      <c r="U698" s="15" t="n">
        <v>0.400000000000002</v>
      </c>
      <c r="V698" s="15" t="n">
        <v>2.4</v>
      </c>
      <c r="W698" s="15">
        <f>V698*0.2</f>
        <v/>
      </c>
      <c r="X698" s="21">
        <f>O698-Q698-R698-S698-U698-V698+T698+W698</f>
        <v/>
      </c>
      <c r="Y698" s="14" t="n"/>
      <c r="Z698" s="15">
        <f>O698+1.5</f>
        <v/>
      </c>
      <c r="AA698" s="15" t="n"/>
      <c r="AB698" s="15" t="n"/>
      <c r="AC698" s="14" t="n"/>
      <c r="AD698" s="14" t="n"/>
      <c r="AE698" s="13" t="inlineStr">
        <is>
          <t>NOT_UPLOADED</t>
        </is>
      </c>
    </row>
    <row r="699" ht="16" customHeight="1">
      <c r="A699" s="17" t="n"/>
      <c r="B699" s="17" t="n">
        <v>3600524244415</v>
      </c>
      <c r="C699" s="13" t="n"/>
      <c r="D699" s="18" t="inlineStr">
        <is>
          <t>ONLY UK</t>
        </is>
      </c>
      <c r="E699" s="18" t="inlineStr">
        <is>
          <t>NEED APPROVAL</t>
        </is>
      </c>
      <c r="F699" s="17" t="inlineStr">
        <is>
          <t>L4066</t>
        </is>
      </c>
      <c r="G699" s="18" t="inlineStr">
        <is>
          <t>Fortuna</t>
        </is>
      </c>
      <c r="H699" s="18" t="inlineStr">
        <is>
          <t>Loreal</t>
        </is>
      </c>
      <c r="I699" s="18" t="inlineStr">
        <is>
          <t>L'Oreal Paris Revitalift Filler Glass Skin Liquid Cream, Hybrid Milky Serum + Moisturiser, Korean-Skincare Inspired, For Glass Skin Glow, 100 hours Hydration, Replump Skin [Hyaluronic Acid], 50ml</t>
        </is>
      </c>
      <c r="J699" s="18" t="inlineStr">
        <is>
          <t>No</t>
        </is>
      </c>
      <c r="K699" s="18" t="inlineStr">
        <is>
          <t>https://www.amazon.co.uk/dp/B0FXLXZ7WH?th=1</t>
        </is>
      </c>
      <c r="L699" s="18" t="inlineStr">
        <is>
          <t>B0FXLXZ7WH</t>
        </is>
      </c>
      <c r="M699" s="19" t="n"/>
      <c r="N699" s="19" t="n"/>
      <c r="O699" s="19" t="n"/>
      <c r="P699" s="19" t="n"/>
      <c r="Q699" s="19" t="n"/>
      <c r="R699" s="19" t="n"/>
      <c r="S699" s="19" t="n">
        <v>12.6</v>
      </c>
      <c r="T699" s="19">
        <f>S699*0.2</f>
        <v/>
      </c>
      <c r="U699" s="19" t="n">
        <v>0.400000000000002</v>
      </c>
      <c r="V699" s="19" t="n">
        <v>2.5</v>
      </c>
      <c r="W699" s="19">
        <f>V699*0.2</f>
        <v/>
      </c>
      <c r="X699" s="22" t="n"/>
      <c r="Y699" s="18" t="n"/>
      <c r="Z699" s="19" t="n"/>
      <c r="AA699" s="19" t="n"/>
      <c r="AB699" s="19" t="n"/>
      <c r="AC699" s="18" t="n"/>
      <c r="AD699" s="18" t="n"/>
      <c r="AE699" s="13" t="inlineStr">
        <is>
          <t>NOT_UPLOADED</t>
        </is>
      </c>
    </row>
    <row r="700" ht="16" customHeight="1">
      <c r="A700" s="12" t="n">
        <v>3600542659550</v>
      </c>
      <c r="B700" s="12" t="n">
        <v>3600542659598</v>
      </c>
      <c r="C700" s="13" t="n"/>
      <c r="D700" s="14" t="n"/>
      <c r="E700" s="14" t="inlineStr">
        <is>
          <t>FOR-3600542659550</t>
        </is>
      </c>
      <c r="F700" s="12" t="inlineStr">
        <is>
          <t>G2428</t>
        </is>
      </c>
      <c r="G700" s="14" t="inlineStr">
        <is>
          <t>Fortuna</t>
        </is>
      </c>
      <c r="H700" s="14" t="inlineStr">
        <is>
          <t>GARNIER</t>
        </is>
      </c>
      <c r="I700" s="14" t="inlineStr">
        <is>
          <t>Garnier Fructis Refreshing Kiwi Menthol Hair Food, Multi-Use Hair Mask with Kiwi Water and Menthol for Moisture and Freshness, 400 ml</t>
        </is>
      </c>
      <c r="J700" s="14" t="inlineStr">
        <is>
          <t>No</t>
        </is>
      </c>
      <c r="K700" s="14" t="inlineStr">
        <is>
          <t>https://www.amazon.de/dp/B0GHPG4HK2</t>
        </is>
      </c>
      <c r="L700" s="14" t="inlineStr">
        <is>
          <t>B0GHPG4HK2</t>
        </is>
      </c>
      <c r="M700" s="15" t="n"/>
      <c r="N700" s="15" t="n"/>
      <c r="O700" s="15" t="n">
        <v>17.75</v>
      </c>
      <c r="P700" s="15">
        <f>O700/1.19</f>
        <v/>
      </c>
      <c r="Q700" s="15">
        <f>O700-P700</f>
        <v/>
      </c>
      <c r="R700" s="15">
        <f>O700*0.15</f>
        <v/>
      </c>
      <c r="S700" s="15" t="n">
        <v>5.55</v>
      </c>
      <c r="T700" s="15">
        <f>S700*0.2</f>
        <v/>
      </c>
      <c r="U700" s="15" t="n">
        <v>0.400000000000002</v>
      </c>
      <c r="V700" s="15" t="n">
        <v>5</v>
      </c>
      <c r="W700" s="15">
        <f>V700*0.2</f>
        <v/>
      </c>
      <c r="X700" s="21">
        <f>O700-Q700-R700-S700-U700-V700+T700+W700</f>
        <v/>
      </c>
      <c r="Y700" s="14" t="n"/>
      <c r="Z700" s="15">
        <f>O700+1.5</f>
        <v/>
      </c>
      <c r="AA700" s="15" t="n"/>
      <c r="AB700" s="15" t="n"/>
      <c r="AC700" s="14" t="n"/>
      <c r="AD700" s="14" t="n"/>
      <c r="AE700" s="13" t="inlineStr">
        <is>
          <t>NOT_UPLOADED</t>
        </is>
      </c>
    </row>
    <row r="701" ht="16" customHeight="1">
      <c r="A701" s="17" t="n">
        <v>3600542658102</v>
      </c>
      <c r="B701" s="17" t="n">
        <v>3600542658157</v>
      </c>
      <c r="C701" s="13" t="n"/>
      <c r="D701" s="18" t="n"/>
      <c r="E701" s="18" t="inlineStr">
        <is>
          <t>FOR-3600542658102</t>
        </is>
      </c>
      <c r="F701" s="17" t="inlineStr">
        <is>
          <t>G4022</t>
        </is>
      </c>
      <c r="G701" s="18" t="inlineStr">
        <is>
          <t>Fortuna</t>
        </is>
      </c>
      <c r="H701" s="18" t="inlineStr">
        <is>
          <t>GARNIER</t>
        </is>
      </c>
      <c r="I701" s="18" t="inlineStr">
        <is>
          <t>Garnier Skin Clear Salicylic 7-Day Clinical Anti-Impurities Serum</t>
        </is>
      </c>
      <c r="J701" s="18" t="inlineStr">
        <is>
          <t>No</t>
        </is>
      </c>
      <c r="K701" s="18" t="inlineStr">
        <is>
          <t>https://www.amazon.de/-/en/Garnier-Clear-Salicylic-Clinical-Anti-Impurities/dp/B0FY67YNMM/ref=sr_1_1?crid=2UID5VCHB46TL&amp;dib=eyJ2IjoiMSJ9.qC2tzpjLU7Mzy9-VGdGu0A.O_f0tO7RcnYGNnhN9xVpX95bot1Ry5mQVue9mkxP-gM&amp;dib_tag=se&amp;keywords=B0FY67YNMM&amp;qid=1769631160&amp;s=beauty&amp;sprefix=b0fy67ynmm%2Caps%2C160&amp;sr=1-1</t>
        </is>
      </c>
      <c r="L701" s="18" t="inlineStr">
        <is>
          <t>B0FY67YNMM</t>
        </is>
      </c>
      <c r="M701" s="19" t="n"/>
      <c r="N701" s="19" t="n"/>
      <c r="O701" s="19" t="n">
        <v>17.99</v>
      </c>
      <c r="P701" s="19">
        <f>O701/1.19</f>
        <v/>
      </c>
      <c r="Q701" s="19">
        <f>O701-P701</f>
        <v/>
      </c>
      <c r="R701" s="19">
        <f>O701*0.15</f>
        <v/>
      </c>
      <c r="S701" s="19" t="n">
        <v>8.5</v>
      </c>
      <c r="T701" s="19">
        <f>S701*0.2</f>
        <v/>
      </c>
      <c r="U701" s="19" t="n">
        <v>0.400000000000002</v>
      </c>
      <c r="V701" s="19" t="n">
        <v>2.5</v>
      </c>
      <c r="W701" s="19">
        <f>V701*0.2</f>
        <v/>
      </c>
      <c r="X701" s="21">
        <f>O701-Q701-R701-S701-U701-V701+T701+W701</f>
        <v/>
      </c>
      <c r="Y701" s="18" t="n"/>
      <c r="Z701" s="19">
        <f>O701+1.5</f>
        <v/>
      </c>
      <c r="AA701" s="19" t="n"/>
      <c r="AB701" s="19" t="n"/>
      <c r="AC701" s="18" t="n"/>
      <c r="AD701" s="18" t="n"/>
      <c r="AE701" s="13" t="inlineStr">
        <is>
          <t>NOT_UPLOADED</t>
        </is>
      </c>
    </row>
    <row r="702" ht="16" customHeight="1">
      <c r="A702" s="12" t="n">
        <v>3600524128456</v>
      </c>
      <c r="B702" s="12" t="n">
        <v>3600524265083</v>
      </c>
      <c r="C702" s="13" t="n"/>
      <c r="D702" s="14" t="n"/>
      <c r="E702" s="14" t="inlineStr">
        <is>
          <t>FOR-03600524128456</t>
        </is>
      </c>
      <c r="F702" s="12" t="inlineStr">
        <is>
          <t>L2211</t>
        </is>
      </c>
      <c r="G702" s="14" t="inlineStr">
        <is>
          <t>Fortuna</t>
        </is>
      </c>
      <c r="H702" s="14" t="inlineStr">
        <is>
          <t>Loreal</t>
        </is>
      </c>
      <c r="I702" s="14" t="inlineStr">
        <is>
          <t>L'Oréal Paris - Lamination Care 5 Minutes - Hair Mask for Dark Hair - Lack of Shine - Glycolic Acid - Hair Care Protocol - Elseve Glycolic Gloss - 200 ml</t>
        </is>
      </c>
      <c r="J702" s="14" t="inlineStr">
        <is>
          <t>No</t>
        </is>
      </c>
      <c r="K702" s="14" t="inlineStr">
        <is>
          <t>https://www.amazon.de/-/en/LOr%C3%A9al-Paris-Lamination-Glycolic-Protocol/dp/B0CK8M32J5/ref=sr_1_1?crid=17GH65MW3S3DN&amp;dib=eyJ2IjoiMSJ9.wBQTp3wKb5DysTh9EBQWAw.Yp_WsIRl5tZXEMM1bU8nRFJGls21KXL1plHzBGdF5Tc&amp;dib_tag=se&amp;keywords=B0CK8M32J5&amp;qid=1769631677&amp;s=beauty&amp;sprefix=b0ck8m32j5%2Caps%2C131&amp;sr=1-1&amp;th=1</t>
        </is>
      </c>
      <c r="L702" s="14" t="inlineStr">
        <is>
          <t>B0CK8M32J5</t>
        </is>
      </c>
      <c r="M702" s="15" t="n"/>
      <c r="N702" s="15" t="n"/>
      <c r="O702" s="15" t="n">
        <v>11.45</v>
      </c>
      <c r="P702" s="15">
        <f>O702/1.19</f>
        <v/>
      </c>
      <c r="Q702" s="15">
        <f>O702-P702</f>
        <v/>
      </c>
      <c r="R702" s="15">
        <f>O702*0.15</f>
        <v/>
      </c>
      <c r="S702" s="15" t="n">
        <v>3.4</v>
      </c>
      <c r="T702" s="15">
        <f>S702*0.2</f>
        <v/>
      </c>
      <c r="U702" s="15" t="n">
        <v>0.400000000000002</v>
      </c>
      <c r="V702" s="15" t="n">
        <v>3</v>
      </c>
      <c r="W702" s="15">
        <f>V702*0.2</f>
        <v/>
      </c>
      <c r="X702" s="21">
        <f>O702-Q702-R702-S702-U702-V702+T702+W702</f>
        <v/>
      </c>
      <c r="Y702" s="14" t="n"/>
      <c r="Z702" s="15">
        <f>O702+1.5</f>
        <v/>
      </c>
      <c r="AA702" s="15" t="n"/>
      <c r="AB702" s="15" t="n"/>
      <c r="AC702" s="14" t="n"/>
      <c r="AD702" s="14" t="n"/>
      <c r="AE702" s="13" t="inlineStr">
        <is>
          <t>NOT_UPLOADED</t>
        </is>
      </c>
    </row>
    <row r="703" ht="16" customHeight="1">
      <c r="A703" s="17" t="n"/>
      <c r="B703" s="17" t="n">
        <v>3600524265083</v>
      </c>
      <c r="C703" s="20" t="inlineStr">
        <is>
          <t>PACK X 2</t>
        </is>
      </c>
      <c r="D703" s="18" t="n"/>
      <c r="E703" s="18" t="n"/>
      <c r="F703" s="17" t="inlineStr">
        <is>
          <t>L2211</t>
        </is>
      </c>
      <c r="G703" s="18" t="inlineStr">
        <is>
          <t>Fortuna</t>
        </is>
      </c>
      <c r="H703" s="18" t="inlineStr">
        <is>
          <t>Loreal</t>
        </is>
      </c>
      <c r="I703" s="18" t="n"/>
      <c r="J703" s="18" t="inlineStr">
        <is>
          <t>No</t>
        </is>
      </c>
      <c r="K703" s="18" t="n"/>
      <c r="L703" s="18" t="inlineStr">
        <is>
          <t>B0FF5794QM</t>
        </is>
      </c>
      <c r="M703" s="19" t="n"/>
      <c r="N703" s="19" t="n"/>
      <c r="O703" s="19" t="n">
        <v>22.95</v>
      </c>
      <c r="P703" s="19">
        <f>O703/1.19</f>
        <v/>
      </c>
      <c r="Q703" s="19">
        <f>O703-P703</f>
        <v/>
      </c>
      <c r="R703" s="19">
        <f>O703*0.15</f>
        <v/>
      </c>
      <c r="S703" s="19" t="n">
        <v>6.8</v>
      </c>
      <c r="T703" s="19">
        <f>S703*0.2</f>
        <v/>
      </c>
      <c r="U703" s="19" t="n">
        <v>0.400000000000002</v>
      </c>
      <c r="V703" s="19" t="n">
        <v>6.5</v>
      </c>
      <c r="W703" s="19">
        <f>V703*0.2</f>
        <v/>
      </c>
      <c r="X703" s="21">
        <f>O703-Q703-R703-S703-U703-V703+T703+W703</f>
        <v/>
      </c>
      <c r="Y703" s="18" t="n"/>
      <c r="Z703" s="19">
        <f>O703+1.5</f>
        <v/>
      </c>
      <c r="AA703" s="19" t="n"/>
      <c r="AB703" s="19" t="n"/>
      <c r="AC703" s="18" t="n"/>
      <c r="AD703" s="18" t="n"/>
      <c r="AE703" s="13" t="inlineStr">
        <is>
          <t>NOT_UPLOADED</t>
        </is>
      </c>
    </row>
    <row r="704" ht="16" customHeight="1">
      <c r="A704" s="12" t="n">
        <v>3600524228910</v>
      </c>
      <c r="B704" s="12" t="n">
        <v>3600524229009</v>
      </c>
      <c r="C704" s="13" t="n"/>
      <c r="D704" s="14" t="n"/>
      <c r="E704" s="14" t="inlineStr">
        <is>
          <t>FOR-3600524228910</t>
        </is>
      </c>
      <c r="F704" s="12" t="inlineStr">
        <is>
          <t>L2435</t>
        </is>
      </c>
      <c r="G704" s="14" t="inlineStr">
        <is>
          <t>Fortuna</t>
        </is>
      </c>
      <c r="H704" s="14" t="inlineStr">
        <is>
          <t>Loreal</t>
        </is>
      </c>
      <c r="I704" s="14" t="inlineStr">
        <is>
          <t>L'Oréal Paris Elvital Glycolic Gloss Hair Care Serum - Gloss Treatment with Glycolic Acid for Healthy Hair, 150 ml</t>
        </is>
      </c>
      <c r="J704" s="14" t="inlineStr">
        <is>
          <t>No</t>
        </is>
      </c>
      <c r="K704" s="14" t="inlineStr">
        <is>
          <t>https://www.amazon.de/-/en/LOr%C3%A9al-Paris-Elvital-Glycolic-Gloss/dp/B0FDWWQF4Y/ref=sr_1_1?crid=3SZ9QBMTNIRTM&amp;dib=eyJ2IjoiMSJ9.9__tDJQSE6-ImQ2OETUiow.ajf-6ISu7hu-4I44_XICbj2N7swv9RDjBFTxBUyHo_E&amp;dib_tag=se&amp;keywords=B0FDWWQF4Y&amp;qid=1769633322&amp;s=beauty&amp;sprefix=b0fdwwqf4y%2Caps%2C172&amp;sr=1-1</t>
        </is>
      </c>
      <c r="L704" s="14" t="inlineStr">
        <is>
          <t>B0FDWWQF4Y</t>
        </is>
      </c>
      <c r="M704" s="15" t="n"/>
      <c r="N704" s="15" t="n"/>
      <c r="O704" s="15" t="n">
        <v>13.25</v>
      </c>
      <c r="P704" s="15">
        <f>O704/1.19</f>
        <v/>
      </c>
      <c r="Q704" s="15">
        <f>O704-P704</f>
        <v/>
      </c>
      <c r="R704" s="15">
        <f>O704*0.15</f>
        <v/>
      </c>
      <c r="S704" s="15" t="n">
        <v>5.78</v>
      </c>
      <c r="T704" s="15">
        <f>S704*0.2</f>
        <v/>
      </c>
      <c r="U704" s="15" t="n">
        <v>0.400000000000002</v>
      </c>
      <c r="V704" s="15" t="n">
        <v>2.5</v>
      </c>
      <c r="W704" s="15">
        <f>V704*0.2</f>
        <v/>
      </c>
      <c r="X704" s="21">
        <f>O704-Q704-R704-S704-U704-V704+T704+W704</f>
        <v/>
      </c>
      <c r="Y704" s="14" t="n"/>
      <c r="Z704" s="15">
        <f>O704+1.5</f>
        <v/>
      </c>
      <c r="AA704" s="15" t="n"/>
      <c r="AB704" s="15" t="n"/>
      <c r="AC704" s="14" t="n"/>
      <c r="AD704" s="14" t="n"/>
      <c r="AE704" s="13" t="inlineStr">
        <is>
          <t>NOT_UPLOADED</t>
        </is>
      </c>
    </row>
    <row r="705" ht="16" customHeight="1">
      <c r="A705" s="17" t="n">
        <v>3600551187679</v>
      </c>
      <c r="B705" s="17" t="n">
        <v>3600551187662</v>
      </c>
      <c r="C705" s="13" t="n"/>
      <c r="D705" s="18" t="n"/>
      <c r="E705" s="18" t="inlineStr">
        <is>
          <t>FOR-3600551187679</t>
        </is>
      </c>
      <c r="F705" s="17" t="inlineStr">
        <is>
          <t>MX4200</t>
        </is>
      </c>
      <c r="G705" s="18" t="inlineStr">
        <is>
          <t>Fortuna</t>
        </is>
      </c>
      <c r="H705" s="18" t="inlineStr">
        <is>
          <t>MIXA</t>
        </is>
      </c>
      <c r="I705" s="18" t="inlineStr">
        <is>
          <t>Mixa Anti-Skin Stress Non-Foaming Comfort Cleanser, Facial Cleanser with Panthenol and Probiotic Extract for Stressed Skin, 150 ml</t>
        </is>
      </c>
      <c r="J705" s="18" t="inlineStr">
        <is>
          <t>No</t>
        </is>
      </c>
      <c r="K705" s="18" t="inlineStr">
        <is>
          <t>https://www.amazon.de/-/en/Mixa-Anti-Skin-Non-Foaming-Panthenol-Probiotic/dp/B0FY68Q36Z/ref=sr_1_1?crid=23BZDMWY4LID8&amp;dib=eyJ2IjoiMSJ9.8c04duC9gO_9KNcOkODXGQ.R-eDlps09Vwv7Qg9d6l0dJUO9A5foGI-Ymbg_yQyLtg&amp;dib_tag=se&amp;keywords=B0FY68Q36Z&amp;qid=1769633949&amp;s=beauty&amp;sprefix=b0fy68q36z%2Caps%2C125&amp;sr=1-1</t>
        </is>
      </c>
      <c r="L705" s="18" t="inlineStr">
        <is>
          <t>B0FY68Q36Z</t>
        </is>
      </c>
      <c r="M705" s="19" t="n"/>
      <c r="N705" s="19" t="n"/>
      <c r="O705" s="19" t="n">
        <v>11.49</v>
      </c>
      <c r="P705" s="19">
        <f>O705/1.19</f>
        <v/>
      </c>
      <c r="Q705" s="19">
        <f>O705-P705</f>
        <v/>
      </c>
      <c r="R705" s="19">
        <f>O705*0.15</f>
        <v/>
      </c>
      <c r="S705" s="19" t="n">
        <v>4.07</v>
      </c>
      <c r="T705" s="19">
        <f>S705*0.2</f>
        <v/>
      </c>
      <c r="U705" s="19" t="n">
        <v>0.400000000000002</v>
      </c>
      <c r="V705" s="19" t="n">
        <v>2.5</v>
      </c>
      <c r="W705" s="19">
        <f>V705*0.2</f>
        <v/>
      </c>
      <c r="X705" s="21">
        <f>O705-Q705-R705-S705-U705-V705+T705+W705</f>
        <v/>
      </c>
      <c r="Y705" s="18" t="n"/>
      <c r="Z705" s="19">
        <f>O705+1.5</f>
        <v/>
      </c>
      <c r="AA705" s="19" t="n"/>
      <c r="AB705" s="19" t="n"/>
      <c r="AC705" s="18" t="n"/>
      <c r="AD705" s="18" t="n"/>
      <c r="AE705" s="13" t="inlineStr">
        <is>
          <t>NOT_UPLOADED</t>
        </is>
      </c>
    </row>
    <row r="706" ht="16" customHeight="1">
      <c r="A706" s="12" t="n">
        <v>3600551043210</v>
      </c>
      <c r="B706" s="12" t="n">
        <v>3600551164236</v>
      </c>
      <c r="C706" s="13" t="n"/>
      <c r="D706" s="14" t="n"/>
      <c r="E706" s="14" t="inlineStr">
        <is>
          <t>FOR-3600551043210</t>
        </is>
      </c>
      <c r="F706" s="12" t="inlineStr">
        <is>
          <t>MX5203</t>
        </is>
      </c>
      <c r="G706" s="14" t="inlineStr">
        <is>
          <t>Fortuna</t>
        </is>
      </c>
      <c r="H706" s="14" t="inlineStr">
        <is>
          <t>MIXA</t>
        </is>
      </c>
      <c r="I706" s="14" t="inlineStr">
        <is>
          <t>Mixa Cica Repair Hand Balm Moisturising and Intensive Repair Hand Cream 50 ml</t>
        </is>
      </c>
      <c r="J706" s="14" t="inlineStr">
        <is>
          <t>No</t>
        </is>
      </c>
      <c r="K706" s="14" t="inlineStr">
        <is>
          <t>https://www.amazon.de/-/en/Mixa-Repair-Moisturising-Intensive-Cream/dp/B08M1H7BK6/ref=sr_1_1?crid=AL7ZRJZM8B00&amp;dib=eyJ2IjoiMSJ9.azx75AqPbD0F_9p-dFQvJA.3mANbxZMIw0b3ILUlKrYNwj5IPkbvXMLeld1pU0cm08&amp;dib_tag=se&amp;keywords=B08M1H7BK6&amp;qid=1769634479&amp;s=beauty&amp;sprefix=b08m1h7bk6%2Caps%2C122&amp;sr=1-1&amp;th=1</t>
        </is>
      </c>
      <c r="L706" s="14" t="inlineStr">
        <is>
          <t>B08M1H7BK6</t>
        </is>
      </c>
      <c r="M706" s="15" t="n"/>
      <c r="N706" s="15" t="n"/>
      <c r="O706" s="15" t="n">
        <v>8.75</v>
      </c>
      <c r="P706" s="15">
        <f>O706/1.19</f>
        <v/>
      </c>
      <c r="Q706" s="15">
        <f>O706-P706</f>
        <v/>
      </c>
      <c r="R706" s="15">
        <f>O706*0.15</f>
        <v/>
      </c>
      <c r="S706" s="15" t="n">
        <v>2.48</v>
      </c>
      <c r="T706" s="15">
        <f>S706*0.2</f>
        <v/>
      </c>
      <c r="U706" s="15" t="n">
        <v>0.400000000000002</v>
      </c>
      <c r="V706" s="15" t="n">
        <v>2.4</v>
      </c>
      <c r="W706" s="15">
        <f>V706*0.2</f>
        <v/>
      </c>
      <c r="X706" s="16">
        <f>O706-Q706-R706-S706-U706-V706+T706+W706</f>
        <v/>
      </c>
      <c r="Y706" s="14" t="n"/>
      <c r="Z706" s="15">
        <f>O706+1.5</f>
        <v/>
      </c>
      <c r="AA706" s="15" t="n"/>
      <c r="AB706" s="15" t="n"/>
      <c r="AC706" s="14" t="n"/>
      <c r="AD706" s="14" t="n"/>
      <c r="AE706" s="13" t="inlineStr">
        <is>
          <t>NOT_UPLOADED</t>
        </is>
      </c>
    </row>
    <row r="707" ht="16" customHeight="1">
      <c r="A707" s="17" t="n">
        <v>3600523337699</v>
      </c>
      <c r="B707" s="17" t="n">
        <v>3600523337415</v>
      </c>
      <c r="C707" s="13" t="n"/>
      <c r="D707" s="18" t="n"/>
      <c r="E707" s="18" t="inlineStr">
        <is>
          <t>FOR-3600523337699</t>
        </is>
      </c>
      <c r="F707" s="17" t="inlineStr">
        <is>
          <t>L1015</t>
        </is>
      </c>
      <c r="G707" s="18" t="inlineStr">
        <is>
          <t>Fortuna</t>
        </is>
      </c>
      <c r="H707" s="18" t="inlineStr">
        <is>
          <t>Loreal</t>
        </is>
      </c>
      <c r="I707" s="18" t="inlineStr">
        <is>
          <t>L'Oréal Paris Magic Retouch Ansatzspray, Mahagoni-Braun, 75 ml</t>
        </is>
      </c>
      <c r="J707" s="18" t="inlineStr">
        <is>
          <t>No</t>
        </is>
      </c>
      <c r="K707" s="18" t="inlineStr">
        <is>
          <t>https://www.amazon.de/LOr%C3%A9al-Paris-Retouch-Ansatzspray-Mahagoni-Braun/dp/B08PL631R2/ref=sr_1_2?crid=28GN75MCA5BS6&amp;dib=eyJ2IjoiMSJ9.rmiQSuBw7lJls3FN7pgxkxiDd-uqBOuS9UCZfEa6e88y3FdbDvUnJSVybL6vbsG20U-x8DZ_biRpYatEimG2dA9ixyOmltP6ZdRTsQDkjpOVuoaiGmCtgnPcqSdfr-bjvKrfDIJatWdViDcl1gxKb8ikRfxL2RjwIJeBcJ5ebtukYQ5fbRGpYosSCWnusFrjMYYjHvR6A3jIoSSfIh5ZYc1eCJ5Hxndw-hUG84OFOR4kD5wwYByrUl0Xog6mYxJfMfob-6XhaZEKUTyMeIulnDoznyFeOjPZs2oHE2Ab26c.wcWGWQ9SlkEGO1vLDJ0vO4qCbXGdhcgXdQIcpPrJ1l8&amp;dib_tag=se&amp;keywords=loreal+magic+retouch+mahagoni&amp;qid=1770496062&amp;sprefix=loreal+magic+retouch+MA%2Caps%2C101&amp;sr=8-2</t>
        </is>
      </c>
      <c r="L707" s="18" t="inlineStr">
        <is>
          <t>B08PL631R2</t>
        </is>
      </c>
      <c r="M707" s="19" t="n"/>
      <c r="N707" s="19" t="n"/>
      <c r="O707" s="19" t="n">
        <v>9.699999999999999</v>
      </c>
      <c r="P707" s="19">
        <f>O707/1.19</f>
        <v/>
      </c>
      <c r="Q707" s="19">
        <f>O707-P707</f>
        <v/>
      </c>
      <c r="R707" s="19">
        <f>O707*0.15</f>
        <v/>
      </c>
      <c r="S707" s="19" t="n">
        <v>4.11</v>
      </c>
      <c r="T707" s="19">
        <f>S707*0.2</f>
        <v/>
      </c>
      <c r="U707" s="19" t="n">
        <v>0.400000000000002</v>
      </c>
      <c r="V707" s="19" t="n">
        <v>2.2</v>
      </c>
      <c r="W707" s="19">
        <f>V707*0.2</f>
        <v/>
      </c>
      <c r="X707" s="16">
        <f>O707-Q707-R707-S707-U707-V707+T707+W707</f>
        <v/>
      </c>
      <c r="Y707" s="18" t="n"/>
      <c r="Z707" s="19">
        <f>O707+1.5</f>
        <v/>
      </c>
      <c r="AA707" s="19" t="n"/>
      <c r="AB707" s="19" t="n"/>
      <c r="AC707" s="18" t="n"/>
      <c r="AD707" s="18" t="n"/>
      <c r="AE707" s="13" t="inlineStr">
        <is>
          <t>NOT_UPLOADED</t>
        </is>
      </c>
    </row>
    <row r="708" ht="16" customHeight="1">
      <c r="A708" s="12" t="n">
        <v>3600523337439</v>
      </c>
      <c r="B708" s="12" t="n">
        <v>3600523337415</v>
      </c>
      <c r="C708" s="13" t="n"/>
      <c r="D708" s="14" t="n"/>
      <c r="E708" s="14" t="inlineStr">
        <is>
          <t>AMP-3600523337439</t>
        </is>
      </c>
      <c r="F708" s="12" t="inlineStr">
        <is>
          <t>L1015</t>
        </is>
      </c>
      <c r="G708" s="14" t="inlineStr">
        <is>
          <t>Fortuna</t>
        </is>
      </c>
      <c r="H708" s="14" t="inlineStr">
        <is>
          <t>Loreal</t>
        </is>
      </c>
      <c r="I708" s="14" t="inlineStr">
        <is>
          <t>Loreal Magic Retouch Mahagonie Spray, 75 ml</t>
        </is>
      </c>
      <c r="J708" s="14" t="inlineStr">
        <is>
          <t>No</t>
        </is>
      </c>
      <c r="K708" s="14" t="inlineStr">
        <is>
          <t>https://www.amazon.de/Loreal-Magic-retouch-mahonie-spray/dp/B01MSILNC1/ref=sr_1_3?crid=28GN75MCA5BS6&amp;dib=eyJ2IjoiMSJ9.rmiQSuBw7lJls3FN7pgxkxiDd-uqBOuS9UCZfEa6e8-zxZ2y4Zdfi5wed5pSMy6Y6LCs0_k6vcUHmlu1FLp-An4cE9R13HB5hoc5MUsAPuOVuoaiGmCtgnPcqSdfr-bjvKrfDIJatWdViDcl1gxKb8ikRfxL2RjwIJeBcJ5ebtsGNXkAYiNI0NNJCSXtniJschA0TAieOwFLN0rd1e2lbFALJ-VtaRK2fL9IE47VqCzMMK2nzejVGLReevQstlg1xhoHJR_hufr4Y8ibVdDWRjoznyFeOjPZs2oHE2Ab26c.vG_C_o_by9P6cJtkDOwPkLOBZeP8PCgNpe1LBBzbKaA&amp;dib_tag=se&amp;keywords=loreal%2Bmagic%2Bretouch%2Bmahagoni&amp;qid=1770496255&amp;sprefix=loreal%2Bmagic%2Bretouch%2BMA%2Caps%2C101&amp;sr=8-3&amp;th=1</t>
        </is>
      </c>
      <c r="L708" s="14" t="inlineStr">
        <is>
          <t>B01MSILNC1</t>
        </is>
      </c>
      <c r="M708" s="15" t="n"/>
      <c r="N708" s="15" t="n"/>
      <c r="O708" s="15" t="n">
        <v>12.35</v>
      </c>
      <c r="P708" s="15">
        <f>O708/1.19</f>
        <v/>
      </c>
      <c r="Q708" s="15">
        <f>O708-P708</f>
        <v/>
      </c>
      <c r="R708" s="15">
        <f>O708*0.15</f>
        <v/>
      </c>
      <c r="S708" s="15" t="n">
        <v>4.11</v>
      </c>
      <c r="T708" s="15">
        <f>S708*0.2</f>
        <v/>
      </c>
      <c r="U708" s="15" t="n">
        <v>0.400000000000002</v>
      </c>
      <c r="V708" s="15" t="n">
        <v>2.2</v>
      </c>
      <c r="W708" s="15">
        <f>V708*0.2</f>
        <v/>
      </c>
      <c r="X708" s="21">
        <f>O708-Q708-R708-S708-U708-V708+T708+W708</f>
        <v/>
      </c>
      <c r="Y708" s="14" t="n"/>
      <c r="Z708" s="15">
        <f>O708+1.5</f>
        <v/>
      </c>
      <c r="AA708" s="15" t="n"/>
      <c r="AB708" s="15" t="n"/>
      <c r="AC708" s="14" t="n"/>
      <c r="AD708" s="14" t="n"/>
      <c r="AE708" s="13" t="inlineStr">
        <is>
          <t>NOT_UPLOADED</t>
        </is>
      </c>
    </row>
    <row r="709" ht="16" customHeight="1">
      <c r="A709" s="17" t="n">
        <v>3600523192700</v>
      </c>
      <c r="B709" s="17" t="n">
        <v>3600523192830</v>
      </c>
      <c r="C709" s="13" t="n"/>
      <c r="D709" s="18" t="n"/>
      <c r="E709" s="18" t="inlineStr">
        <is>
          <t>FOR-3600523192700</t>
        </is>
      </c>
      <c r="F709" s="17" t="inlineStr">
        <is>
          <t>L1012</t>
        </is>
      </c>
      <c r="G709" s="18" t="inlineStr">
        <is>
          <t>Fortuna</t>
        </is>
      </c>
      <c r="H709" s="18" t="inlineStr">
        <is>
          <t>Loreal</t>
        </is>
      </c>
      <c r="I709" s="18" t="inlineStr">
        <is>
          <t>L'Oreal Magic Retouch, Spray zur sofortigen Ansatzkaschierung</t>
        </is>
      </c>
      <c r="J709" s="18" t="inlineStr">
        <is>
          <t>No</t>
        </is>
      </c>
      <c r="K709" s="18" t="inlineStr">
        <is>
          <t>https://www.amazon.de/Loreal-Magic-Retouch-Chatain-75ml/dp/B019W17SXO/ref=sr_1_7?__mk_de_DE=%C3%85M%C3%85%C5%BD%C3%95%C3%91&amp;crid=17C2TOP3YMVE5&amp;dib=eyJ2IjoiMSJ9.gGJNBaXaaabTbnCnVY0ylMmlt92V3bJD69XchrdFGfF9dmX2paONfINFS58fsuMDwYfOWYHTMCNzkvKuAaFDST3SuXnsPPSGORqr9f9SvqADs3OGVyI9oQKGmv_yOQ-iEHFMnKP3xdFO2-78WBQmPok4ocC6TAvkgisvxf4O1-wuGhknypJiObk_zX-vZkodO2kImvWt7ExAzVtxU6I70dm3DB8DJ0-J_fwbiBWIm5gkXz9NGduyrJK0raNkh0ptKDvNftTR2r_gqsWDJICVmAdeeZjO18GtpDFNCBotZJs.ZAbDT1YZ-DF8pmqgUE_na0FLd75ZyamrlecDjSOdBTY&amp;dib_tag=se&amp;keywords=loreal+magic+retouch+brown&amp;qid=1770496624&amp;sprefix=loreal+magic+retouc+brown%2Caps%2C122&amp;sr=8-7</t>
        </is>
      </c>
      <c r="L709" s="18" t="inlineStr">
        <is>
          <t>B019W17SXO</t>
        </is>
      </c>
      <c r="M709" s="19" t="n"/>
      <c r="N709" s="19" t="n"/>
      <c r="O709" s="19" t="n">
        <v>10.45</v>
      </c>
      <c r="P709" s="19">
        <f>O709/1.19</f>
        <v/>
      </c>
      <c r="Q709" s="19">
        <f>O709-P709</f>
        <v/>
      </c>
      <c r="R709" s="19">
        <f>O709*0.15</f>
        <v/>
      </c>
      <c r="S709" s="19" t="n">
        <v>4.11</v>
      </c>
      <c r="T709" s="19">
        <f>S709*0.2</f>
        <v/>
      </c>
      <c r="U709" s="19" t="n">
        <v>0.400000000000002</v>
      </c>
      <c r="V709" s="19" t="n">
        <v>2.2</v>
      </c>
      <c r="W709" s="19">
        <f>V709*0.2</f>
        <v/>
      </c>
      <c r="X709" s="16">
        <f>O709-Q709-R709-S709-U709-V709+T709+W709</f>
        <v/>
      </c>
      <c r="Y709" s="18" t="n"/>
      <c r="Z709" s="19">
        <f>O709+1.5</f>
        <v/>
      </c>
      <c r="AA709" s="19" t="n"/>
      <c r="AB709" s="19" t="n"/>
      <c r="AC709" s="18" t="n"/>
      <c r="AD709" s="18" t="n"/>
      <c r="AE709" s="13" t="inlineStr">
        <is>
          <t>NOT_UPLOADED</t>
        </is>
      </c>
    </row>
    <row r="710" ht="16" customHeight="1">
      <c r="A710" s="12" t="n">
        <v>3600523387939</v>
      </c>
      <c r="B710" s="12" t="n">
        <v>3600523192854</v>
      </c>
      <c r="C710" s="13" t="n"/>
      <c r="D710" s="14" t="n"/>
      <c r="E710" s="14" t="inlineStr">
        <is>
          <t>FOR-3600523387939</t>
        </is>
      </c>
      <c r="F710" s="12" t="inlineStr">
        <is>
          <t>L1014</t>
        </is>
      </c>
      <c r="G710" s="14" t="inlineStr">
        <is>
          <t>Fortuna</t>
        </is>
      </c>
      <c r="H710" s="14" t="inlineStr">
        <is>
          <t>Loreal</t>
        </is>
      </c>
      <c r="I710" s="14" t="inlineStr">
        <is>
          <t>L'Oréal Paris Ansatz-Kaschierspray für stufenlose und natürliche Übergänge, Kaschiert Ansätze bis zur nächsten Haarwäsche, Magic Retouch, Hellblond, 1 x 75 ml</t>
        </is>
      </c>
      <c r="J710" s="14" t="inlineStr">
        <is>
          <t>No</t>
        </is>
      </c>
      <c r="K710" s="14" t="inlineStr">
        <is>
          <t>https://www.amazon.de/LOr%C3%A9al-Paris-Retouch-Ansatz-Kaschierspray-Hellblond/dp/B082VNJQSG/ref=sr_1_5?crid=Y4ZOAF896H8Y&amp;dib=eyJ2IjoiMSJ9.2SRTy0_3J75nSvVN-dFvr7blqQKAmqCStfgwfYOpP_g9o7HbRKgDAdJPPR4XCiuMiL4fBPaSAcH149xwWkMlFh60QQ-vhlJFlQhEfzEk1KvCZjuRyv7Wn7MZz2GG4FAL12T2AwyWplb39pBB4vFMQKnIUGGk2xEdM1BG898MAnJ5ZuDh-zZnz4uZYKqv2kupxFC7NM5rNpEQ5VJq7p93iuzbIhaI83dPvkdzf45-rQiG4sCsoC2yCZEvTWcXgIvLOTuUYbBbGWjFQuPGJ_TwrGTm8AqgdLK7E9fScdbIRic.0speK6fnzW9tTD-FQ7noegwMecogN_y3_TGk6a4LuNU&amp;dib_tag=se&amp;keywords=loreal%2Bmagic%2Bretouch%2Bblond&amp;qid=1770497215&amp;sprefix=loreal%2Bmagic%2Bretouch%2Bb%2Caps%2C171&amp;sr=8-5&amp;th=1</t>
        </is>
      </c>
      <c r="L710" s="14" t="inlineStr">
        <is>
          <t>B082VNJQSG</t>
        </is>
      </c>
      <c r="M710" s="15" t="n"/>
      <c r="N710" s="15" t="n"/>
      <c r="O710" s="15" t="n">
        <v>10.65</v>
      </c>
      <c r="P710" s="15">
        <f>O710/1.19</f>
        <v/>
      </c>
      <c r="Q710" s="15">
        <f>O710-P710</f>
        <v/>
      </c>
      <c r="R710" s="15">
        <f>O710*0.15</f>
        <v/>
      </c>
      <c r="S710" s="15" t="n">
        <v>4.11</v>
      </c>
      <c r="T710" s="15">
        <f>S710*0.2</f>
        <v/>
      </c>
      <c r="U710" s="15" t="n">
        <v>0.400000000000002</v>
      </c>
      <c r="V710" s="15" t="n">
        <v>2.2</v>
      </c>
      <c r="W710" s="15">
        <f>V710*0.2</f>
        <v/>
      </c>
      <c r="X710" s="16">
        <f>O710-Q710-R710-S710-U710-V710+T710+W710</f>
        <v/>
      </c>
      <c r="Y710" s="14" t="n"/>
      <c r="Z710" s="15">
        <f>O710+1.5</f>
        <v/>
      </c>
      <c r="AA710" s="15" t="n"/>
      <c r="AB710" s="15" t="n"/>
      <c r="AC710" s="14" t="n"/>
      <c r="AD710" s="14" t="n"/>
      <c r="AE710" s="13" t="inlineStr">
        <is>
          <t>NOT_UPLOADED</t>
        </is>
      </c>
    </row>
    <row r="711" ht="16" customHeight="1">
      <c r="A711" s="17" t="n">
        <v>3600542415095</v>
      </c>
      <c r="B711" s="17" t="n">
        <v>3600542416405</v>
      </c>
      <c r="C711" s="13" t="n"/>
      <c r="D711" s="18" t="n"/>
      <c r="E711" s="18" t="inlineStr">
        <is>
          <t>FOR-3600542415095</t>
        </is>
      </c>
      <c r="F711" s="17" t="inlineStr">
        <is>
          <t>G4011</t>
        </is>
      </c>
      <c r="G711" s="18" t="inlineStr">
        <is>
          <t>Fortuna</t>
        </is>
      </c>
      <c r="H711" s="18" t="inlineStr">
        <is>
          <t>GARNIER</t>
        </is>
      </c>
      <c r="I711" s="18" t="inlineStr">
        <is>
          <t>Miracle Skin Perfector BB Cream Matt Effect Light</t>
        </is>
      </c>
      <c r="J711" s="18" t="inlineStr">
        <is>
          <t>No</t>
        </is>
      </c>
      <c r="K711" s="18" t="inlineStr">
        <is>
          <t>https://www.amazon.de/-/en/Miracle-Perfector-Cream-Effect-Light/dp/B09XV4J21H/ref=sr_1_7?crid=1BECQIUOINEOL&amp;dib=eyJ2IjoiMSJ9.98-L_Mk7gAnKTy3wKjqdF6PXyMMFTzS6Z9TVq7fi1mwLj5MVCK2IBgoYiFPUmnxmphHCbixpbuTdMQfBKOGkG7kB2mKfIEAdOxs3_fzAeBwHGx9oUldwMCAB93Vrmx2KGaeuLzZCRNcGTJC8wqXf1Bqz_ALzKNTyx94UcdN-teUMJQ5WzkY_GbWTWzwtDgFrJDFM9iIpS45gP9cQ2LLh8H-YrFMsX4fgC-wuQCYNnWxmdLp96B50ypNaj4SaucvIjqEN_-C98r1iEMzAMQFuHYqNP6KfR62xluMRJHT7h04.udwSilmJRKrL8UVfYpTDZV0R6zfOAkhlKH5Q6h9WGN8&amp;dib_tag=se&amp;keywords=GARNIER%2BBB%2BCLASSIC&amp;qid=1770820679&amp;sprefix=garnier%2Bbb%2Bclassic%2Caps%2C292&amp;sr=8-7&amp;th=1</t>
        </is>
      </c>
      <c r="L711" s="18" t="inlineStr">
        <is>
          <t>B09XV4J21H</t>
        </is>
      </c>
      <c r="M711" s="19" t="n"/>
      <c r="N711" s="19" t="n"/>
      <c r="O711" s="19" t="n">
        <v>10.55</v>
      </c>
      <c r="P711" s="19">
        <f>O711/1.19</f>
        <v/>
      </c>
      <c r="Q711" s="19">
        <f>O711-P711</f>
        <v/>
      </c>
      <c r="R711" s="19">
        <f>O711*0.15</f>
        <v/>
      </c>
      <c r="S711" s="19" t="n">
        <v>4.88</v>
      </c>
      <c r="T711" s="19">
        <f>S711*0.2</f>
        <v/>
      </c>
      <c r="U711" s="19" t="n">
        <v>0.400000000000002</v>
      </c>
      <c r="V711" s="19" t="n">
        <v>2.5</v>
      </c>
      <c r="W711" s="19">
        <f>V711*0.2</f>
        <v/>
      </c>
      <c r="X711" s="22">
        <f>O711-Q711-R711-S711-U711-V711+T711+W711</f>
        <v/>
      </c>
      <c r="Y711" s="18" t="n"/>
      <c r="Z711" s="19">
        <f>O711+1.5</f>
        <v/>
      </c>
      <c r="AA711" s="19" t="n"/>
      <c r="AB711" s="19" t="n"/>
      <c r="AC711" s="18" t="n"/>
      <c r="AD711" s="18" t="n"/>
      <c r="AE711" s="13" t="inlineStr">
        <is>
          <t>NOT_UPLOADED</t>
        </is>
      </c>
    </row>
    <row r="712" ht="16" customHeight="1">
      <c r="A712" s="12" t="n"/>
      <c r="B712" s="12" t="n">
        <v>3600523801749</v>
      </c>
      <c r="C712" s="13" t="n"/>
      <c r="D712" s="14" t="n"/>
      <c r="E712" s="14" t="n"/>
      <c r="F712" s="12" t="inlineStr">
        <is>
          <t>L5100</t>
        </is>
      </c>
      <c r="G712" s="14" t="inlineStr">
        <is>
          <t>Fortuna</t>
        </is>
      </c>
      <c r="H712" s="14" t="inlineStr">
        <is>
          <t>Loreal</t>
        </is>
      </c>
      <c r="I712" s="14" t="inlineStr">
        <is>
          <t>Color Rich Satin Lipstick #129-Montmarte 4.8 g</t>
        </is>
      </c>
      <c r="J712" s="14" t="inlineStr">
        <is>
          <t>No</t>
        </is>
      </c>
      <c r="K712" s="14" t="inlineStr">
        <is>
          <t>https://www.amazon.de/-/en/Color-Rich-Satin-Lipstick-129-Montmarte/dp/B08TJ976ZY/ref=sr_1_1?crid=1LQ4TDJ4S9AN6&amp;dib=eyJ2IjoiMSJ9.ZlRUHjKwzSETcRHkb_IRsp3bJ0obLvSMRYvZFr1WEjH0FoKBOL24r4dZDtpv9-aC1UPJipRclCIePuAiWkNbegAx5p_op9mNXEvVWTpAhDtagbGly4OImKtyZAs__oH_VozRiwgb-17882e-yGHc2d65uIjM9CkLtDF1dnIPumRYW_7UzL8crduWjZSkOzK8vPiLjFLp1TG9s_W6X1dhgKZx5E3bLBBRtg2nmMUm9PDOUVzi1zsLiiJDwtTC6xHpsdhR6_A3Flf3QBfTf8-MEEX2kIoVSMNCkJcTuZxvCKc.0Oy0ly00ibhblFmpO9pY_vg9Ngj39B39QmoomiVZ8Q4&amp;dib_tag=se&amp;keywords=loreal%2Bcolor%2Briche%2B129&amp;qid=1773065018&amp;sprefix=loreal%2Bcolor%2Briche%2B129%2Caps%2C176&amp;sr=8-1&amp;th=1</t>
        </is>
      </c>
      <c r="L712" s="14" t="inlineStr">
        <is>
          <t>B08TJ976ZY</t>
        </is>
      </c>
      <c r="M712" s="15" t="n"/>
      <c r="N712" s="15" t="n"/>
      <c r="O712" s="15" t="n"/>
      <c r="P712" s="15" t="n"/>
      <c r="Q712" s="15" t="n"/>
      <c r="R712" s="15" t="n"/>
      <c r="S712" s="15" t="n">
        <v>8.25</v>
      </c>
      <c r="T712" s="15">
        <f>S712*0.2</f>
        <v/>
      </c>
      <c r="U712" s="15" t="n">
        <v>0.400000000000002</v>
      </c>
      <c r="V712" s="15" t="n">
        <v>2</v>
      </c>
      <c r="W712" s="15">
        <f>V712*0.2</f>
        <v/>
      </c>
      <c r="X712" s="22" t="n"/>
      <c r="Y712" s="14" t="inlineStr">
        <is>
          <t>6.43 DEAL</t>
        </is>
      </c>
      <c r="Z712" s="15" t="n"/>
      <c r="AA712" s="15" t="n"/>
      <c r="AB712" s="15" t="n"/>
      <c r="AC712" s="14" t="n"/>
      <c r="AD712" s="14" t="n"/>
      <c r="AE712" s="13" t="inlineStr">
        <is>
          <t>NOT_UPLOADED</t>
        </is>
      </c>
    </row>
    <row r="713" ht="16" customHeight="1">
      <c r="A713" s="17" t="n"/>
      <c r="B713" s="17" t="n">
        <v>3600523801749</v>
      </c>
      <c r="C713" s="13" t="n"/>
      <c r="D713" s="18" t="n"/>
      <c r="E713" s="18" t="n"/>
      <c r="F713" s="17" t="inlineStr">
        <is>
          <t>L5100</t>
        </is>
      </c>
      <c r="G713" s="18" t="inlineStr">
        <is>
          <t>Fortuna</t>
        </is>
      </c>
      <c r="H713" s="18" t="inlineStr">
        <is>
          <t>Loreal</t>
        </is>
      </c>
      <c r="I713" s="18" t="inlineStr">
        <is>
          <t>L'Oreal Paris Colour Riche Original Satin Lipstick 129 Montmarte</t>
        </is>
      </c>
      <c r="J713" s="18" t="inlineStr">
        <is>
          <t>No</t>
        </is>
      </c>
      <c r="K713" s="18" t="inlineStr">
        <is>
          <t>https://www.amazon.de/-/en/LOreal-Paris-Original-Lipstick-Montmarte/dp/B085JCZWZ5/ref=sr_1_5?crid=1LQ4TDJ4S9AN6&amp;dib=eyJ2IjoiMSJ9.ZlRUHjKwzSETcRHkb_IRsp3bJ0obLvSMRYvZFr1WEjH0FoKBOL24r4dZDtpv9-aC1UPJipRclCIePuAiWkNbegAx5p_op9mNXEvVWTpAhDtagbGly4OImKtyZAs__oH_VozRiwgb-17882e-yGHc2d65uIjM9CkLtDF1dnIPumRYW_7UzL8crduWjZSkOzK8vPiLjFLp1TG9s_W6X1dhgKZx5E3bLBBRtg2nmMUm9PDOUVzi1zsLiiJDwtTC6xHpsdhR6_A3Flf3QBfTf8-MEEX2kIoVSMNCkJcTuZxvCKc.0Oy0ly00ibhblFmpO9pY_vg9Ngj39B39QmoomiVZ8Q4&amp;dib_tag=se&amp;keywords=loreal+color+riche+129&amp;qid=1773065559&amp;sprefix=loreal+color+riche+129%2Caps%2C176&amp;sr=8-5</t>
        </is>
      </c>
      <c r="L713" s="18" t="inlineStr">
        <is>
          <t>B085JCZWZ5</t>
        </is>
      </c>
      <c r="M713" s="19" t="n"/>
      <c r="N713" s="19" t="n"/>
      <c r="O713" s="19" t="n"/>
      <c r="P713" s="19" t="n"/>
      <c r="Q713" s="19" t="n"/>
      <c r="R713" s="19" t="n"/>
      <c r="S713" s="19" t="n">
        <v>8.25</v>
      </c>
      <c r="T713" s="19">
        <f>S713*0.2</f>
        <v/>
      </c>
      <c r="U713" s="19" t="n">
        <v>0.400000000000002</v>
      </c>
      <c r="V713" s="19" t="n">
        <v>2</v>
      </c>
      <c r="W713" s="19">
        <f>V713*0.2</f>
        <v/>
      </c>
      <c r="X713" s="22" t="n"/>
      <c r="Y713" s="18" t="inlineStr">
        <is>
          <t>6.43 DEAL</t>
        </is>
      </c>
      <c r="Z713" s="19" t="n"/>
      <c r="AA713" s="19" t="n"/>
      <c r="AB713" s="19" t="n"/>
      <c r="AC713" s="18" t="n"/>
      <c r="AD713" s="18" t="n"/>
      <c r="AE713" s="13" t="inlineStr">
        <is>
          <t>NOT_UPLOADED</t>
        </is>
      </c>
    </row>
    <row r="714" ht="16" customHeight="1">
      <c r="A714" s="12" t="n"/>
      <c r="B714" s="12" t="n">
        <v>30147089</v>
      </c>
      <c r="C714" s="13" t="n"/>
      <c r="D714" s="14" t="n"/>
      <c r="E714" s="14" t="n"/>
      <c r="F714" s="12" t="inlineStr">
        <is>
          <t>L5121</t>
        </is>
      </c>
      <c r="G714" s="14" t="inlineStr">
        <is>
          <t>Fortuna</t>
        </is>
      </c>
      <c r="H714" s="14" t="inlineStr">
        <is>
          <t>Loreal</t>
        </is>
      </c>
      <c r="I714" s="14" t="inlineStr">
        <is>
          <t>L'Oréal Paris Color Rich, Blurred Matte Lipstick, Silky Matte, Soft Focus Finish, Does Not Dry Out, Moisturising Colour, Buildable, 601 Worth It</t>
        </is>
      </c>
      <c r="J714" s="14" t="inlineStr">
        <is>
          <t>No</t>
        </is>
      </c>
      <c r="K714" s="14" t="inlineStr">
        <is>
          <t>https://www.amazon.de/-/en/Paris-Blurred-Lipstick-Moisturising-Buildable/dp/B0FY69TJMV/ref=sr_1_6?crid=1LQ4TDJ4S9AN6&amp;dib=eyJ2IjoiMSJ9.ZlRUHjKwzSETcRHkb_IRsp3bJ0obLvSMRYvZFr1WEjH0FoKBOL24r4dZDtpv9-aC1UPJipRclCIePuAiWkNbegAx5p_op9mNXEvVWTpAhDtagbGly4OImKtyZAs__oH_VozRiwgb-17882e-yGHc2d65uIjM9CkLtDF1dnIPumRYW_7UzL8crduWjZSkOzK8vPiLjFLp1TG9s_W6X1dhgKZx5E3bLBBRtg2nmMUm9PDOUVzi1zsLiiJDwtTC6xHpsdhR6_A3Flf3QBfTf8-MEEX2kIoVSMNCkJcTuZxvCKc.0Oy0ly00ibhblFmpO9pY_vg9Ngj39B39QmoomiVZ8Q4&amp;dib_tag=se&amp;keywords=loreal%2Bcolor%2Briche%2B129&amp;qid=1773065559&amp;sprefix=loreal%2Bcolor%2Briche%2B129%2Caps%2C176&amp;sr=8-6&amp;th=1</t>
        </is>
      </c>
      <c r="L714" s="14" t="inlineStr">
        <is>
          <t>B0FY69TJMV</t>
        </is>
      </c>
      <c r="M714" s="15" t="n"/>
      <c r="N714" s="15" t="n"/>
      <c r="O714" s="15" t="n"/>
      <c r="P714" s="15" t="n"/>
      <c r="Q714" s="15" t="n"/>
      <c r="R714" s="15" t="n"/>
      <c r="S714" s="15" t="n">
        <v>8.25</v>
      </c>
      <c r="T714" s="15">
        <f>S714*0.2</f>
        <v/>
      </c>
      <c r="U714" s="15" t="n">
        <v>0.400000000000002</v>
      </c>
      <c r="V714" s="15" t="n">
        <v>2</v>
      </c>
      <c r="W714" s="15">
        <f>V714*0.2</f>
        <v/>
      </c>
      <c r="X714" s="22" t="n"/>
      <c r="Y714" s="14" t="inlineStr">
        <is>
          <t>6.43 DEAL</t>
        </is>
      </c>
      <c r="Z714" s="15" t="n"/>
      <c r="AA714" s="15" t="n"/>
      <c r="AB714" s="15" t="n"/>
      <c r="AC714" s="14" t="n"/>
      <c r="AD714" s="14" t="n"/>
      <c r="AE714" s="13" t="inlineStr">
        <is>
          <t>NOT_UPLOADED</t>
        </is>
      </c>
    </row>
    <row r="715" ht="16" customHeight="1">
      <c r="A715" s="17" t="n"/>
      <c r="B715" s="17" t="n">
        <v>3600523957453</v>
      </c>
      <c r="C715" s="13" t="n"/>
      <c r="D715" s="18" t="n"/>
      <c r="E715" s="18" t="n"/>
      <c r="F715" s="17" t="inlineStr">
        <is>
          <t>L5101</t>
        </is>
      </c>
      <c r="G715" s="18" t="inlineStr">
        <is>
          <t>Fortuna</t>
        </is>
      </c>
      <c r="H715" s="18" t="inlineStr">
        <is>
          <t>Loreal</t>
        </is>
      </c>
      <c r="I715" s="18" t="inlineStr">
        <is>
          <t>L'Oréal Paris Color Riche Les Nus Lipstick with Velvety Finish in Intense Nude Tone No. 173 Impertine (Nude) 1 x 4g</t>
        </is>
      </c>
      <c r="J715" s="18" t="inlineStr">
        <is>
          <t>No</t>
        </is>
      </c>
      <c r="K715" s="18" t="inlineStr">
        <is>
          <t>https://www.amazon.de/-/en/Paris-Lipstick-Velvety-Intense-Impertine/dp/B08QP75CGZ/ref=sr_1_1?crid=1C3JV0BDVAJOK&amp;dib=eyJ2IjoiMSJ9.1etrn_ELQyN3IIeiOtR6hg.IDbxBEa9LV491APb38sFOEYjTKGXDZC2Dc7G0BGCFVU&amp;dib_tag=se&amp;keywords=3600523957453&amp;qid=1773066395&amp;sprefix=3600523957453%2Caps%2C192&amp;sr=8-1&amp;th=1</t>
        </is>
      </c>
      <c r="L715" s="18" t="inlineStr">
        <is>
          <t>B08QP75CGZ</t>
        </is>
      </c>
      <c r="M715" s="19" t="n"/>
      <c r="N715" s="19" t="n"/>
      <c r="O715" s="19" t="n"/>
      <c r="P715" s="19" t="n"/>
      <c r="Q715" s="19" t="n"/>
      <c r="R715" s="19" t="n"/>
      <c r="S715" s="19" t="n">
        <v>8.25</v>
      </c>
      <c r="T715" s="19">
        <f>S715*0.2</f>
        <v/>
      </c>
      <c r="U715" s="19" t="n">
        <v>0.400000000000002</v>
      </c>
      <c r="V715" s="19" t="n">
        <v>2</v>
      </c>
      <c r="W715" s="19">
        <f>V715*0.2</f>
        <v/>
      </c>
      <c r="X715" s="22" t="n"/>
      <c r="Y715" s="18" t="inlineStr">
        <is>
          <t>6.43 DEAL</t>
        </is>
      </c>
      <c r="Z715" s="19" t="n"/>
      <c r="AA715" s="19" t="n"/>
      <c r="AB715" s="19" t="n"/>
      <c r="AC715" s="18" t="n"/>
      <c r="AD715" s="18" t="n"/>
      <c r="AE715" s="13" t="inlineStr">
        <is>
          <t>NOT_UPLOADED</t>
        </is>
      </c>
    </row>
    <row r="716" ht="16" customHeight="1">
      <c r="A716" s="12" t="n"/>
      <c r="B716" s="12" t="n">
        <v>3600523957408</v>
      </c>
      <c r="C716" s="13" t="n"/>
      <c r="D716" s="14" t="n"/>
      <c r="E716" s="14" t="n"/>
      <c r="F716" s="12" t="n">
        <v>1601935</v>
      </c>
      <c r="G716" s="14" t="inlineStr">
        <is>
          <t>DM</t>
        </is>
      </c>
      <c r="H716" s="14" t="inlineStr">
        <is>
          <t>Loreal</t>
        </is>
      </c>
      <c r="I716" s="14" t="inlineStr">
        <is>
          <t>L'Oréal Paris Lippenstift mit samtigem Finish im intensiven Nude-Ton, Color Riche Les Nus, Nr. 179 Decadent (braun), 1 x 4,5 g</t>
        </is>
      </c>
      <c r="J716" s="14" t="inlineStr">
        <is>
          <t>No</t>
        </is>
      </c>
      <c r="K716" s="14" t="inlineStr">
        <is>
          <t>https://www.amazon.de/-/en/Paris-Lipstick-Velvety-Intense-Impertine/dp/B08QP5Q7ZB/ref=sr_1_1?crid=1C3JV0BDVAJOK&amp;dib=eyJ2IjoiMSJ9.1etrn_ELQyN3IIeiOtR6hg.IDbxBEa9LV491APb38sFOEYjTKGXDZC2Dc7G0BGCFVU&amp;dib_tag=se&amp;keywords=3600523957453&amp;qid=1773066395&amp;sprefix=3600523957453%2Caps%2C192&amp;sr=8-1&amp;th=1</t>
        </is>
      </c>
      <c r="L716" s="14" t="inlineStr">
        <is>
          <t>B08QP5Q7ZB</t>
        </is>
      </c>
      <c r="M716" s="15" t="n"/>
      <c r="N716" s="15" t="n"/>
      <c r="O716" s="15" t="n"/>
      <c r="P716" s="15" t="n"/>
      <c r="Q716" s="15" t="n"/>
      <c r="R716" s="15" t="n"/>
      <c r="S716" s="15" t="n">
        <v>8.25</v>
      </c>
      <c r="T716" s="15">
        <f>S716*0.2</f>
        <v/>
      </c>
      <c r="U716" s="15" t="n">
        <v>0.400000000000002</v>
      </c>
      <c r="V716" s="15" t="n">
        <v>2</v>
      </c>
      <c r="W716" s="15">
        <f>V716*0.2</f>
        <v/>
      </c>
      <c r="X716" s="22" t="n"/>
      <c r="Y716" s="14" t="n"/>
      <c r="Z716" s="15" t="n"/>
      <c r="AA716" s="15" t="n"/>
      <c r="AB716" s="15" t="n"/>
      <c r="AC716" s="14" t="n"/>
      <c r="AD716" s="14" t="n"/>
      <c r="AE716" s="13" t="inlineStr">
        <is>
          <t>NOT_UPLOADED</t>
        </is>
      </c>
    </row>
    <row r="717" ht="16" customHeight="1">
      <c r="A717" s="17" t="n"/>
      <c r="B717" s="17" t="n">
        <v>3600523957392</v>
      </c>
      <c r="C717" s="13" t="n"/>
      <c r="D717" s="18" t="n"/>
      <c r="E717" s="18" t="n"/>
      <c r="F717" s="17" t="n">
        <v>1601931</v>
      </c>
      <c r="G717" s="18" t="inlineStr">
        <is>
          <t>DM</t>
        </is>
      </c>
      <c r="H717" s="18" t="inlineStr">
        <is>
          <t>Loreal</t>
        </is>
      </c>
      <c r="I717" s="18" t="inlineStr">
        <is>
          <t>L'Oréal Paris Lippenstift mit samtigem Finish im intensiven Nude-Ton, Color Riche Les Nus, Nr. 181 Intense (nude), 1 x 4,5 g</t>
        </is>
      </c>
      <c r="J717" s="18" t="inlineStr">
        <is>
          <t>No</t>
        </is>
      </c>
      <c r="K717" s="18" t="inlineStr">
        <is>
          <t>https://www.amazon.de/-/en/Paris-Lipstick-Velvety-Intense-Impertine/dp/B08QP78N6B/ref=sr_1_1?crid=1C3JV0BDVAJOK&amp;dib=eyJ2IjoiMSJ9.1etrn_ELQyN3IIeiOtR6hg.IDbxBEa9LV491APb38sFOEYjTKGXDZC2Dc7G0BGCFVU&amp;dib_tag=se&amp;keywords=3600523957453&amp;qid=1773066395&amp;sprefix=3600523957453%2Caps%2C192&amp;sr=8-1&amp;th=1</t>
        </is>
      </c>
      <c r="L717" s="18" t="inlineStr">
        <is>
          <t>B08QP78N6B</t>
        </is>
      </c>
      <c r="M717" s="19" t="n"/>
      <c r="N717" s="19" t="n"/>
      <c r="O717" s="19" t="n"/>
      <c r="P717" s="19" t="n"/>
      <c r="Q717" s="19" t="n"/>
      <c r="R717" s="19" t="n"/>
      <c r="S717" s="19" t="n">
        <v>8.25</v>
      </c>
      <c r="T717" s="19">
        <f>S717*0.2</f>
        <v/>
      </c>
      <c r="U717" s="19" t="n">
        <v>0.400000000000002</v>
      </c>
      <c r="V717" s="19" t="n">
        <v>2</v>
      </c>
      <c r="W717" s="19">
        <f>V717*0.2</f>
        <v/>
      </c>
      <c r="X717" s="22" t="n"/>
      <c r="Y717" s="18" t="n"/>
      <c r="Z717" s="19" t="n"/>
      <c r="AA717" s="19" t="n"/>
      <c r="AB717" s="19" t="n"/>
      <c r="AC717" s="18" t="n"/>
      <c r="AD717" s="18" t="n"/>
      <c r="AE717" s="13" t="inlineStr">
        <is>
          <t>NOT_UPLOADED</t>
        </is>
      </c>
    </row>
    <row r="718" ht="16" customHeight="1">
      <c r="A718" s="12" t="n"/>
      <c r="B718" s="12" t="n">
        <v>3600522851110</v>
      </c>
      <c r="C718" s="13" t="n"/>
      <c r="D718" s="14" t="n"/>
      <c r="E718" s="14" t="n"/>
      <c r="F718" s="12" t="inlineStr">
        <is>
          <t>L5102</t>
        </is>
      </c>
      <c r="G718" s="14" t="inlineStr">
        <is>
          <t>Fortuna</t>
        </is>
      </c>
      <c r="H718" s="14" t="inlineStr">
        <is>
          <t>Loreal</t>
        </is>
      </c>
      <c r="I718" s="14" t="inlineStr">
        <is>
          <t>L'Oréal Paris Nourishing Lipstick with Satin Finish, Argan Oil and Vitamin E, Colour Riche Satin, No. 230 Coral Showroom, 1 x 4.3 g</t>
        </is>
      </c>
      <c r="J718" s="14" t="inlineStr">
        <is>
          <t>No</t>
        </is>
      </c>
      <c r="K718" s="14" t="inlineStr">
        <is>
          <t>https://www.amazon.de/-/en/Paris-Nourishing-Lipstick-Vitamin-Showroom/dp/B00EJDBKNU/ref=sr_1_1?crid=2PU6HINCWY2D&amp;dib=eyJ2IjoiMSJ9.jWFpxYeO3h27YQokrdhgqw.w2ClGPd-V6-oPqVToLzs7aY6VlnTDDYyRPIEw0EaULs&amp;dib_tag=se&amp;keywords=3600522851110&amp;qid=1773067153&amp;sprefix=3600522851110%2Caps%2C180&amp;sr=8-1</t>
        </is>
      </c>
      <c r="L718" s="14" t="inlineStr">
        <is>
          <t>B00EJDBKNU</t>
        </is>
      </c>
      <c r="M718" s="15" t="n"/>
      <c r="N718" s="15" t="n"/>
      <c r="O718" s="15" t="n"/>
      <c r="P718" s="15" t="n"/>
      <c r="Q718" s="15" t="n"/>
      <c r="R718" s="15" t="n"/>
      <c r="S718" s="15" t="n">
        <v>8.25</v>
      </c>
      <c r="T718" s="15">
        <f>S718*0.2</f>
        <v/>
      </c>
      <c r="U718" s="15" t="n">
        <v>0.400000000000002</v>
      </c>
      <c r="V718" s="15" t="n">
        <v>2</v>
      </c>
      <c r="W718" s="15">
        <f>V718*0.2</f>
        <v/>
      </c>
      <c r="X718" s="22" t="n"/>
      <c r="Y718" s="14" t="inlineStr">
        <is>
          <t>6.43 DEAL</t>
        </is>
      </c>
      <c r="Z718" s="15" t="n"/>
      <c r="AA718" s="15" t="n"/>
      <c r="AB718" s="15" t="n"/>
      <c r="AC718" s="14" t="n"/>
      <c r="AD718" s="14" t="n"/>
      <c r="AE718" s="13" t="inlineStr">
        <is>
          <t>NOT_UPLOADED</t>
        </is>
      </c>
    </row>
    <row r="719" ht="16" customHeight="1">
      <c r="A719" s="17" t="n"/>
      <c r="B719" s="17" t="n">
        <v>3600521114629</v>
      </c>
      <c r="C719" s="13" t="n"/>
      <c r="D719" s="18" t="n"/>
      <c r="E719" s="18" t="n"/>
      <c r="F719" s="17" t="inlineStr">
        <is>
          <t>L5103</t>
        </is>
      </c>
      <c r="G719" s="18" t="inlineStr">
        <is>
          <t>Fortuna</t>
        </is>
      </c>
      <c r="H719" s="18" t="inlineStr">
        <is>
          <t>Loreal</t>
        </is>
      </c>
      <c r="I719" s="18" t="inlineStr">
        <is>
          <t>L'Oréal Paris Colour Riche Lipstick - 235 Nude</t>
        </is>
      </c>
      <c r="J719" s="18" t="inlineStr">
        <is>
          <t>No</t>
        </is>
      </c>
      <c r="K719" s="18" t="inlineStr">
        <is>
          <t>https://www.amazon.de/-/en/LOr%C3%A9al-Paris-Colour-Riche-Lipstick/dp/B0047X8MOW/ref=sr_1_19?crid=2O13E04875NOZ&amp;dib=eyJ2IjoiMSJ9.SzX5g-hgkI5ILebsbGvmedWv2mqJN_SBx5XSnsCpBBskaVfW0Pi-VPog0aTd6qNv7PjPaBfqHrY8yAt19vc6KZ4RWtPR1pPaTkBlaeX7ms3p2bBXJ68liVUZf5WuEtOv5jIHwZ3XGmZB9oUpn4VG8YG7jb89869-jq6-UD3AG5OsYtLBQ-Blnn2f-mWjn86mBE52g-2hMgbRuw3Cf35TVTkLqCCs7KxV0W4On2wAK7RfMmFZ47unEwG98nPF5Mv4SYAI3_praG3Cpiz_2v8OC_5DFxyEi1u6-sbHYuu9KjE.7ziPI_ZBRw6-E7_XfjTKmCRbhgiAwkgZLn7oFonuogk&amp;dib_tag=se&amp;keywords=loreal%2Bcolor%2Briche%2B230&amp;qid=1773067684&amp;sprefix=loreal%2Bcolor%2Briche%2B230%2Caps%2C171&amp;sr=8-19&amp;th=1</t>
        </is>
      </c>
      <c r="L719" s="18" t="inlineStr">
        <is>
          <t>B0047X8MOW</t>
        </is>
      </c>
      <c r="M719" s="19" t="n"/>
      <c r="N719" s="19" t="n"/>
      <c r="O719" s="19" t="n"/>
      <c r="P719" s="19" t="n"/>
      <c r="Q719" s="19" t="n"/>
      <c r="R719" s="19" t="n"/>
      <c r="S719" s="19" t="n">
        <v>8.25</v>
      </c>
      <c r="T719" s="19">
        <f>S719*0.2</f>
        <v/>
      </c>
      <c r="U719" s="19" t="n">
        <v>0.400000000000002</v>
      </c>
      <c r="V719" s="19" t="n">
        <v>2</v>
      </c>
      <c r="W719" s="19">
        <f>V719*0.2</f>
        <v/>
      </c>
      <c r="X719" s="22" t="n"/>
      <c r="Y719" s="18" t="inlineStr">
        <is>
          <t>6.43 DEAL</t>
        </is>
      </c>
      <c r="Z719" s="19" t="n"/>
      <c r="AA719" s="19" t="n"/>
      <c r="AB719" s="19" t="n"/>
      <c r="AC719" s="18" t="n"/>
      <c r="AD719" s="18" t="n"/>
      <c r="AE719" s="13" t="inlineStr">
        <is>
          <t>NOT_UPLOADED</t>
        </is>
      </c>
    </row>
    <row r="720" ht="16" customHeight="1">
      <c r="A720" s="12" t="n"/>
      <c r="B720" s="12" t="n">
        <v>3600521114629</v>
      </c>
      <c r="C720" s="13" t="n"/>
      <c r="D720" s="14" t="n"/>
      <c r="E720" s="14" t="n"/>
      <c r="F720" s="12" t="inlineStr">
        <is>
          <t>L5103</t>
        </is>
      </c>
      <c r="G720" s="14" t="inlineStr">
        <is>
          <t>Fortuna</t>
        </is>
      </c>
      <c r="H720" s="14" t="inlineStr">
        <is>
          <t>Loreal</t>
        </is>
      </c>
      <c r="I720" s="14" t="inlineStr">
        <is>
          <t>C.Riche Lipstick Made for Me 235</t>
        </is>
      </c>
      <c r="J720" s="14" t="inlineStr">
        <is>
          <t>No</t>
        </is>
      </c>
      <c r="K720" s="14" t="inlineStr">
        <is>
          <t>https://www.amazon.de/-/en/C-Riche-Lipstick-Made-Me-235/dp/B07CGYQC4W/ref=sr_1_3?crid=1TR4IMUE6DHQU&amp;dib=eyJ2IjoiMSJ9.7fWzoWkKtEHgns0oA0wZTetlwic_kGqkczXpy1_jHKrIgWJuK98-PCW-CzE103p4Bu1daOI5EflNhI1HOVHcOQ.x3bA6_m8v2msfh5kZLx8h8sTdaVd-tIZTchjVfQWknA&amp;dib_tag=se&amp;keywords=3600521114629&amp;qid=1773067978&amp;sprefix=3600521114629%2Caps%2C151&amp;sr=8-3</t>
        </is>
      </c>
      <c r="L720" s="14" t="inlineStr">
        <is>
          <t>B07CGYQC4W</t>
        </is>
      </c>
      <c r="M720" s="15" t="n"/>
      <c r="N720" s="15" t="n"/>
      <c r="O720" s="15" t="n"/>
      <c r="P720" s="15" t="n"/>
      <c r="Q720" s="15" t="n"/>
      <c r="R720" s="15" t="n"/>
      <c r="S720" s="15" t="n">
        <v>8.25</v>
      </c>
      <c r="T720" s="15">
        <f>S720*0.2</f>
        <v/>
      </c>
      <c r="U720" s="15" t="n">
        <v>0.400000000000002</v>
      </c>
      <c r="V720" s="15" t="n">
        <v>2</v>
      </c>
      <c r="W720" s="15">
        <f>V720*0.2</f>
        <v/>
      </c>
      <c r="X720" s="22" t="n"/>
      <c r="Y720" s="14" t="inlineStr">
        <is>
          <t>6.43 DEAL</t>
        </is>
      </c>
      <c r="Z720" s="15" t="n"/>
      <c r="AA720" s="15" t="n"/>
      <c r="AB720" s="15" t="n"/>
      <c r="AC720" s="14" t="n"/>
      <c r="AD720" s="14" t="n"/>
      <c r="AE720" s="13" t="inlineStr">
        <is>
          <t>NOT_UPLOADED</t>
        </is>
      </c>
    </row>
    <row r="721" ht="16" customHeight="1">
      <c r="A721" s="17" t="n"/>
      <c r="B721" s="17" t="n">
        <v>3600521114629</v>
      </c>
      <c r="C721" s="13" t="n"/>
      <c r="D721" s="18" t="n"/>
      <c r="E721" s="18" t="n"/>
      <c r="F721" s="17" t="inlineStr">
        <is>
          <t>L5103</t>
        </is>
      </c>
      <c r="G721" s="18" t="inlineStr">
        <is>
          <t>Fortuna</t>
        </is>
      </c>
      <c r="H721" s="18" t="inlineStr">
        <is>
          <t>Loreal</t>
        </is>
      </c>
      <c r="I721" s="18" t="inlineStr">
        <is>
          <t>L'Oréal Paris Color Riche Satin 1</t>
        </is>
      </c>
      <c r="J721" s="18" t="inlineStr">
        <is>
          <t>No</t>
        </is>
      </c>
      <c r="K721" s="18" t="inlineStr">
        <is>
          <t>https://www.amazon.de/-/en/LOr%C3%A9al-Paris-Color-Riche-Satin/dp/B000OVVYTQ/ref=sr_1_5?crid=1TR4IMUE6DHQU&amp;dib=eyJ2IjoiMSJ9.7fWzoWkKtEHgns0oA0wZTetlwic_kGqkczXpy1_jHKrIgWJuK98-PCW-CzE103p4Bu1daOI5EflNhI1HOVHcOQ.x3bA6_m8v2msfh5kZLx8h8sTdaVd-tIZTchjVfQWknA&amp;dib_tag=se&amp;keywords=3600521114629&amp;qid=1773068208&amp;sprefix=3600521114629%2Caps%2C151&amp;sr=8-5</t>
        </is>
      </c>
      <c r="L721" s="18" t="inlineStr">
        <is>
          <t>B000OVVYTQ</t>
        </is>
      </c>
      <c r="M721" s="19" t="n"/>
      <c r="N721" s="19" t="n"/>
      <c r="O721" s="19" t="n"/>
      <c r="P721" s="19" t="n"/>
      <c r="Q721" s="19" t="n"/>
      <c r="R721" s="19" t="n"/>
      <c r="S721" s="19" t="n">
        <v>8.25</v>
      </c>
      <c r="T721" s="19">
        <f>S721*0.2</f>
        <v/>
      </c>
      <c r="U721" s="19" t="n">
        <v>0.400000000000002</v>
      </c>
      <c r="V721" s="19" t="n">
        <v>2</v>
      </c>
      <c r="W721" s="19">
        <f>V721*0.2</f>
        <v/>
      </c>
      <c r="X721" s="22" t="n"/>
      <c r="Y721" s="18" t="inlineStr">
        <is>
          <t>6.43 DEAL</t>
        </is>
      </c>
      <c r="Z721" s="19" t="n"/>
      <c r="AA721" s="19" t="n"/>
      <c r="AB721" s="19" t="n"/>
      <c r="AC721" s="18" t="n"/>
      <c r="AD721" s="18" t="n"/>
      <c r="AE721" s="13" t="inlineStr">
        <is>
          <t>NOT_UPLOADED</t>
        </is>
      </c>
    </row>
    <row r="722" ht="16" customHeight="1">
      <c r="A722" s="12" t="n"/>
      <c r="B722" s="12" t="n">
        <v>3600524105150</v>
      </c>
      <c r="C722" s="13" t="n"/>
      <c r="D722" s="14" t="n"/>
      <c r="E722" s="14" t="n"/>
      <c r="F722" s="12" t="n">
        <v>1330359</v>
      </c>
      <c r="G722" s="14" t="inlineStr">
        <is>
          <t>DM</t>
        </is>
      </c>
      <c r="H722" s="14" t="inlineStr">
        <is>
          <t>Loreal</t>
        </is>
      </c>
      <c r="I722" s="14" t="inlineStr">
        <is>
          <t>L'Oréal Paris Lipstick for a Silky Finish and 12 Hours of Moisture, 75% Nourishing Ingredients, Color Riche Satin Nude, 505 Nu Resilient, 4 g</t>
        </is>
      </c>
      <c r="J722" s="14" t="inlineStr">
        <is>
          <t>No</t>
        </is>
      </c>
      <c r="K722" s="14" t="inlineStr">
        <is>
          <t>https://www.amazon.de/-/en/Paris-Lipstick-Moisture-Nourishing-Ingredients/dp/B0CJ5F44LH/ref=sr_1_12?crid=23YZ9UE6FELUW&amp;dib=eyJ2IjoiMSJ9.GFV8C8fyanZNYfYY6F0TU4E9OWq8LJ2FrojbOcMknYBOx6FOZL1f31mM9ngO74nJviB9y9eklxjdWUWdEnpnQvGvfABEQumcYA06fvkxMUONZNtnQsmXezdEkCFOZmQFsilPnK5DDq5svS_VcRCEgXviiKG0agrFpqP326T2QNp7-nYXj4NabYNny5Uk_cMIikSzo9uzLfHoAOfE1DUgwhQxh97BhKEZrmNhOGPT6nhiBwQ8MDhUgZhjTubd_vWKj_DFyapHdZ6VGl392WtZ7MMbl6insvyYxaFqPAw_isU.e7f-hrTkrZosTUi27R90h4Y_CXTExnQuvklTYMgI9YM&amp;dib_tag=se&amp;keywords=loreal%2Bcolor%2Briche%2B500&amp;qid=1773068479&amp;rdc=1&amp;sprefix=loreal%2Bcolor%2Briche%2B500%2Caps%2C309&amp;sr=8-12&amp;th=1</t>
        </is>
      </c>
      <c r="L722" s="14" t="inlineStr">
        <is>
          <t>B0CJ5F44LH</t>
        </is>
      </c>
      <c r="M722" s="15" t="n"/>
      <c r="N722" s="15" t="n"/>
      <c r="O722" s="15" t="n"/>
      <c r="P722" s="15" t="n"/>
      <c r="Q722" s="15" t="n"/>
      <c r="R722" s="15" t="n"/>
      <c r="S722" s="15" t="n">
        <v>8.25</v>
      </c>
      <c r="T722" s="15">
        <f>S722*0.2</f>
        <v/>
      </c>
      <c r="U722" s="15" t="n">
        <v>0.400000000000002</v>
      </c>
      <c r="V722" s="15" t="n">
        <v>2</v>
      </c>
      <c r="W722" s="15">
        <f>V722*0.2</f>
        <v/>
      </c>
      <c r="X722" s="22" t="n"/>
      <c r="Y722" s="14" t="n"/>
      <c r="Z722" s="15" t="n"/>
      <c r="AA722" s="15" t="n"/>
      <c r="AB722" s="15" t="n"/>
      <c r="AC722" s="14" t="n"/>
      <c r="AD722" s="14" t="n"/>
      <c r="AE722" s="13" t="inlineStr">
        <is>
          <t>NOT_UPLOADED</t>
        </is>
      </c>
    </row>
    <row r="723" ht="16" customHeight="1">
      <c r="A723" s="17" t="n"/>
      <c r="B723" s="17" t="n">
        <v>3600524105167</v>
      </c>
      <c r="C723" s="13" t="n"/>
      <c r="D723" s="18" t="n"/>
      <c r="E723" s="18" t="n"/>
      <c r="F723" s="17" t="n">
        <v>1330367</v>
      </c>
      <c r="G723" s="18" t="inlineStr">
        <is>
          <t>DM</t>
        </is>
      </c>
      <c r="H723" s="18" t="inlineStr">
        <is>
          <t>Loreal</t>
        </is>
      </c>
      <c r="I723" s="18" t="inlineStr">
        <is>
          <t>L'Oréal Paris Lipstick for a Silky Finish and 12 Hours of Moisture, 75% Nourishing Ingredients, Color Riche Satin Nude, Colour: 520 Nu Defiant, 4 g</t>
        </is>
      </c>
      <c r="J723" s="18" t="inlineStr">
        <is>
          <t>No</t>
        </is>
      </c>
      <c r="K723" s="18" t="inlineStr">
        <is>
          <t>https://www.amazon.de/-/en/Paris-Lipstick-Moisture-Nourishing-Ingredients/dp/B0CJ5FB617/ref=sr_1_12?crid=23YZ9UE6FELUW&amp;dib=eyJ2IjoiMSJ9.GFV8C8fyanZNYfYY6F0TU4E9OWq8LJ2FrojbOcMknYBOx6FOZL1f31mM9ngO74nJviB9y9eklxjdWUWdEnpnQvGvfABEQumcYA06fvkxMUONZNtnQsmXezdEkCFOZmQFsilPnK5DDq5svS_VcRCEgXviiKG0agrFpqP326T2QNp7-nYXj4NabYNny5Uk_cMIikSzo9uzLfHoAOfE1DUgwhQxh97BhKEZrmNhOGPT6nhiBwQ8MDhUgZhjTubd_vWKj_DFyapHdZ6VGl392WtZ7MMbl6insvyYxaFqPAw_isU.e7f-hrTkrZosTUi27R90h4Y_CXTExnQuvklTYMgI9YM&amp;dib_tag=se&amp;keywords=loreal%2Bcolor%2Briche%2B500&amp;qid=1773068479&amp;rdc=1&amp;sprefix=loreal%2Bcolor%2Briche%2B500%2Caps%2C309&amp;sr=8-12&amp;th=1</t>
        </is>
      </c>
      <c r="L723" s="18" t="inlineStr">
        <is>
          <t>B0CJ5FB617</t>
        </is>
      </c>
      <c r="M723" s="19" t="n"/>
      <c r="N723" s="19" t="n"/>
      <c r="O723" s="19" t="n"/>
      <c r="P723" s="19" t="n"/>
      <c r="Q723" s="19" t="n"/>
      <c r="R723" s="19" t="n"/>
      <c r="S723" s="19" t="n">
        <v>8.25</v>
      </c>
      <c r="T723" s="19">
        <f>S723*0.2</f>
        <v/>
      </c>
      <c r="U723" s="19" t="n">
        <v>0.400000000000002</v>
      </c>
      <c r="V723" s="19" t="n">
        <v>2</v>
      </c>
      <c r="W723" s="19">
        <f>V723*0.2</f>
        <v/>
      </c>
      <c r="X723" s="22" t="n"/>
      <c r="Y723" s="18" t="n"/>
      <c r="Z723" s="19" t="n"/>
      <c r="AA723" s="19" t="n"/>
      <c r="AB723" s="19" t="n"/>
      <c r="AC723" s="18" t="n"/>
      <c r="AD723" s="18" t="n"/>
      <c r="AE723" s="13" t="inlineStr">
        <is>
          <t>NOT_UPLOADED</t>
        </is>
      </c>
    </row>
    <row r="724" ht="16" customHeight="1">
      <c r="A724" s="12" t="n"/>
      <c r="B724" s="12" t="n">
        <v>30153059</v>
      </c>
      <c r="C724" s="13" t="n"/>
      <c r="D724" s="14" t="n"/>
      <c r="E724" s="14" t="n"/>
      <c r="F724" s="12" t="inlineStr">
        <is>
          <t>L5122</t>
        </is>
      </c>
      <c r="G724" s="14" t="inlineStr">
        <is>
          <t>Fortuna</t>
        </is>
      </c>
      <c r="H724" s="14" t="inlineStr">
        <is>
          <t>Loreal</t>
        </is>
      </c>
      <c r="I724" s="14" t="inlineStr">
        <is>
          <t>L'Oréal Paris L'Oreal Paris Color Riche Intense Volume Matte 633 Rosy Confident, für ein bis zu 16h intensives pudrig-mattes Finish</t>
        </is>
      </c>
      <c r="J724" s="14" t="inlineStr">
        <is>
          <t>No</t>
        </is>
      </c>
      <c r="K724" s="14" t="inlineStr">
        <is>
          <t>https://www.amazon.de/-/en/Paris-LOreal-Confident-intensives-pudrig-mattes/dp/B09L1YB8TV/ref=sr_1_3?crid=1OEKK67C6EO38&amp;dib=eyJ2IjoiMSJ9.DanPIQ8XLteb1bugBFxYGnMRBliX1Wl3syS-t6OWrf2EhQYe6tcTkfeyduC1dgm4dBjdzBoa71eiGQ8aYeX9FPMs7mWeOgbLFE_MbkqsggD8Pa8sIecpAGtVbjG4Hewu1qVgWyYZRe6KfHFcow_Anm3i2MIJpWei6h-L6EmOQ490WrDNUN8DurtNaggpBXBxrfyYZCvni4ODbYfrG6q3UofDqzC39sGh6Hag7RAAP8VTw62mE586IJ4_ZEQoJ7HrwlaKJOkjYk88wPFFdWAXjytFR-wm1L6wiCIOcVD5E6A.HXtaFPrjqmA4J-IA99jmbix3KE79C8HBCJsPxwX61N8&amp;dib_tag=se&amp;keywords=Color%2BRiche%2BMatte%2B633%2BRosy%2BConfident&amp;qid=1773073554&amp;sprefix=color%2Briche%2Bmatte%2B633%2Brosy%2Bconfident%2B%2Caps%2C138&amp;sr=8-3&amp;th=1</t>
        </is>
      </c>
      <c r="L724" s="14" t="inlineStr">
        <is>
          <t>B09L1YB8TV</t>
        </is>
      </c>
      <c r="M724" s="15" t="n"/>
      <c r="N724" s="15" t="n"/>
      <c r="O724" s="15" t="n"/>
      <c r="P724" s="15" t="n"/>
      <c r="Q724" s="15" t="n"/>
      <c r="R724" s="15" t="n"/>
      <c r="S724" s="15" t="n">
        <v>8.25</v>
      </c>
      <c r="T724" s="15">
        <f>S724*0.2</f>
        <v/>
      </c>
      <c r="U724" s="15" t="n">
        <v>0.400000000000002</v>
      </c>
      <c r="V724" s="15" t="n">
        <v>2</v>
      </c>
      <c r="W724" s="15">
        <f>V724*0.2</f>
        <v/>
      </c>
      <c r="X724" s="22" t="n"/>
      <c r="Y724" s="14" t="inlineStr">
        <is>
          <t>6.43 DEAL</t>
        </is>
      </c>
      <c r="Z724" s="15" t="n"/>
      <c r="AA724" s="15" t="n"/>
      <c r="AB724" s="15" t="n"/>
      <c r="AC724" s="14" t="n"/>
      <c r="AD724" s="14" t="n"/>
      <c r="AE724" s="13" t="inlineStr">
        <is>
          <t>NOT_UPLOADED</t>
        </is>
      </c>
    </row>
    <row r="725" ht="16" customHeight="1">
      <c r="A725" s="17" t="n"/>
      <c r="B725" s="17" t="n">
        <v>30145405</v>
      </c>
      <c r="C725" s="13" t="n"/>
      <c r="D725" s="18" t="n"/>
      <c r="E725" s="18" t="n"/>
      <c r="F725" s="17" t="n">
        <v>1623661</v>
      </c>
      <c r="G725" s="18" t="inlineStr">
        <is>
          <t>DM</t>
        </is>
      </c>
      <c r="H725" s="18" t="inlineStr">
        <is>
          <t>Loreal</t>
        </is>
      </c>
      <c r="I725" s="18" t="inlineStr">
        <is>
          <t>L'Oréal Paris L'Oreal Paris Color Riche Intense Volume Matte 188 Le Rose Activist, für ein bis zu 16h intensives pudrig-mattes Finish</t>
        </is>
      </c>
      <c r="J725" s="18" t="inlineStr">
        <is>
          <t>No</t>
        </is>
      </c>
      <c r="K725" s="18" t="inlineStr">
        <is>
          <t>https://www.amazon.de/-/en/Paris-LOreal-Confident-intensives-pudrig-mattes/dp/B09L1XQG5M/ref=sr_1_3?crid=1OEKK67C6EO38&amp;dib=eyJ2IjoiMSJ9.DanPIQ8XLteb1bugBFxYGnMRBliX1Wl3syS-t6OWrf2EhQYe6tcTkfeyduC1dgm4dBjdzBoa71eiGQ8aYeX9FPMs7mWeOgbLFE_MbkqsggD8Pa8sIecpAGtVbjG4Hewu1qVgWyYZRe6KfHFcow_Anm3i2MIJpWei6h-L6EmOQ490WrDNUN8DurtNaggpBXBxrfyYZCvni4ODbYfrG6q3UofDqzC39sGh6Hag7RAAP8VTw62mE586IJ4_ZEQoJ7HrwlaKJOkjYk88wPFFdWAXjytFR-wm1L6wiCIOcVD5E6A.HXtaFPrjqmA4J-IA99jmbix3KE79C8HBCJsPxwX61N8&amp;dib_tag=se&amp;keywords=Color%2BRiche%2BMatte%2B633%2BRosy%2BConfident&amp;qid=1773073554&amp;sprefix=color%2Briche%2Bmatte%2B633%2Brosy%2Bconfident%2B%2Caps%2C138&amp;sr=8-3&amp;th=1</t>
        </is>
      </c>
      <c r="L725" s="18" t="inlineStr">
        <is>
          <t>B09L1XQG5M</t>
        </is>
      </c>
      <c r="M725" s="19" t="n"/>
      <c r="N725" s="19" t="n"/>
      <c r="O725" s="19" t="n"/>
      <c r="P725" s="19" t="n"/>
      <c r="Q725" s="19" t="n"/>
      <c r="R725" s="19" t="n"/>
      <c r="S725" s="19" t="n">
        <v>8.25</v>
      </c>
      <c r="T725" s="19">
        <f>S725*0.2</f>
        <v/>
      </c>
      <c r="U725" s="19" t="n">
        <v>0.400000000000002</v>
      </c>
      <c r="V725" s="19" t="n">
        <v>2</v>
      </c>
      <c r="W725" s="19">
        <f>V725*0.2</f>
        <v/>
      </c>
      <c r="X725" s="22" t="n"/>
      <c r="Y725" s="18" t="n"/>
      <c r="Z725" s="19" t="n"/>
      <c r="AA725" s="19" t="n"/>
      <c r="AB725" s="19" t="n"/>
      <c r="AC725" s="18" t="n"/>
      <c r="AD725" s="18" t="n"/>
      <c r="AE725" s="13" t="inlineStr">
        <is>
          <t>NOT_UPLOADED</t>
        </is>
      </c>
    </row>
    <row r="726" ht="16" customHeight="1">
      <c r="A726" s="12" t="n"/>
      <c r="B726" s="12" t="n">
        <v>30147942</v>
      </c>
      <c r="C726" s="13" t="n"/>
      <c r="D726" s="14" t="n"/>
      <c r="E726" s="14" t="n"/>
      <c r="F726" s="12" t="n">
        <v>1623664</v>
      </c>
      <c r="G726" s="14" t="inlineStr">
        <is>
          <t>DM</t>
        </is>
      </c>
      <c r="H726" s="14" t="inlineStr">
        <is>
          <t>Loreal</t>
        </is>
      </c>
      <c r="I726" s="14" t="inlineStr">
        <is>
          <t>L'Oréal Paris Lipstick for a Powdery Matte Finish and 16 Hour Hold, Color Riche Intense Volume Matte, Colour: 640 Le Nude Independant, 1.8 g</t>
        </is>
      </c>
      <c r="J726" s="14" t="inlineStr">
        <is>
          <t>No</t>
        </is>
      </c>
      <c r="K726" s="14" t="inlineStr">
        <is>
          <t>https://www.amazon.de/-/en/Paris-LOreal-Confident-intensives-pudrig-mattes/dp/B01A3IJCV6/ref=sr_1_3?crid=1OEKK67C6EO38&amp;dib=eyJ2IjoiMSJ9.DanPIQ8XLteb1bugBFxYGnMRBliX1Wl3syS-t6OWrf2EhQYe6tcTkfeyduC1dgm4dBjdzBoa71eiGQ8aYeX9FPMs7mWeOgbLFE_MbkqsggD8Pa8sIecpAGtVbjG4Hewu1qVgWyYZRe6KfHFcow_Anm3i2MIJpWei6h-L6EmOQ490WrDNUN8DurtNaggpBXBxrfyYZCvni4ODbYfrG6q3UofDqzC39sGh6Hag7RAAP8VTw62mE586IJ4_ZEQoJ7HrwlaKJOkjYk88wPFFdWAXjytFR-wm1L6wiCIOcVD5E6A.HXtaFPrjqmA4J-IA99jmbix3KE79C8HBCJsPxwX61N8&amp;dib_tag=se&amp;keywords=Color%2BRiche%2BMatte%2B633%2BRosy%2BConfident&amp;qid=1773073554&amp;sprefix=color%2Briche%2Bmatte%2B633%2Brosy%2Bconfident%2B%2Caps%2C138&amp;sr=8-3&amp;th=1</t>
        </is>
      </c>
      <c r="L726" s="14" t="inlineStr">
        <is>
          <t>B01A3IJCV6</t>
        </is>
      </c>
      <c r="M726" s="15" t="n"/>
      <c r="N726" s="15" t="n"/>
      <c r="O726" s="15" t="n"/>
      <c r="P726" s="15" t="n"/>
      <c r="Q726" s="15" t="n"/>
      <c r="R726" s="15" t="n"/>
      <c r="S726" s="15" t="n">
        <v>8.25</v>
      </c>
      <c r="T726" s="15">
        <f>S726*0.2</f>
        <v/>
      </c>
      <c r="U726" s="15" t="n">
        <v>0.400000000000002</v>
      </c>
      <c r="V726" s="15" t="n">
        <v>2</v>
      </c>
      <c r="W726" s="15">
        <f>V726*0.2</f>
        <v/>
      </c>
      <c r="X726" s="22" t="n"/>
      <c r="Y726" s="14" t="n"/>
      <c r="Z726" s="15" t="n"/>
      <c r="AA726" s="15" t="n"/>
      <c r="AB726" s="15" t="n"/>
      <c r="AC726" s="14" t="n"/>
      <c r="AD726" s="14" t="n"/>
      <c r="AE726" s="13" t="inlineStr">
        <is>
          <t>NOT_UPLOADED</t>
        </is>
      </c>
    </row>
    <row r="727" ht="16" customHeight="1">
      <c r="A727" s="17" t="n"/>
      <c r="B727" s="17" t="n">
        <v>30147973</v>
      </c>
      <c r="C727" s="13" t="n"/>
      <c r="D727" s="18" t="n"/>
      <c r="E727" s="18" t="n"/>
      <c r="F727" s="17" t="n">
        <v>1623665</v>
      </c>
      <c r="G727" s="18" t="inlineStr">
        <is>
          <t>DM</t>
        </is>
      </c>
      <c r="H727" s="18" t="inlineStr">
        <is>
          <t>Loreal</t>
        </is>
      </c>
      <c r="I727" s="18" t="inlineStr">
        <is>
          <t>L'Oréal Paris Lipstick for a Powdery Matte Finish and 16 Hour Hold, Color Riche Intense Volume Matte, Colour: 336 Le Rouge Avant-Garde, 1.8 g</t>
        </is>
      </c>
      <c r="J727" s="18" t="inlineStr">
        <is>
          <t>No</t>
        </is>
      </c>
      <c r="K727" s="18" t="inlineStr">
        <is>
          <t>https://www.amazon.de/-/en/Paris-LOreal-Confident-intensives-pudrig-mattes/dp/B08P5DHQL9/ref=sr_1_3?crid=1OEKK67C6EO38&amp;dib=eyJ2IjoiMSJ9.DanPIQ8XLteb1bugBFxYGnMRBliX1Wl3syS-t6OWrf2EhQYe6tcTkfeyduC1dgm4dBjdzBoa71eiGQ8aYeX9FPMs7mWeOgbLFE_MbkqsggD8Pa8sIecpAGtVbjG4Hewu1qVgWyYZRe6KfHFcow_Anm3i2MIJpWei6h-L6EmOQ490WrDNUN8DurtNaggpBXBxrfyYZCvni4ODbYfrG6q3UofDqzC39sGh6Hag7RAAP8VTw62mE586IJ4_ZEQoJ7HrwlaKJOkjYk88wPFFdWAXjytFR-wm1L6wiCIOcVD5E6A.HXtaFPrjqmA4J-IA99jmbix3KE79C8HBCJsPxwX61N8&amp;dib_tag=se&amp;keywords=Color%2BRiche%2BMatte%2B633%2BRosy%2BConfident&amp;qid=1773073554&amp;sprefix=color%2Briche%2Bmatte%2B633%2Brosy%2Bconfident%2B%2Caps%2C138&amp;sr=8-3&amp;th=1</t>
        </is>
      </c>
      <c r="L727" s="18" t="inlineStr">
        <is>
          <t>B08P5DHQL9</t>
        </is>
      </c>
      <c r="M727" s="19" t="n"/>
      <c r="N727" s="19" t="n"/>
      <c r="O727" s="19" t="n"/>
      <c r="P727" s="19" t="n"/>
      <c r="Q727" s="19" t="n"/>
      <c r="R727" s="19" t="n"/>
      <c r="S727" s="19" t="n">
        <v>8.25</v>
      </c>
      <c r="T727" s="19">
        <f>S727*0.2</f>
        <v/>
      </c>
      <c r="U727" s="19" t="n">
        <v>0.400000000000002</v>
      </c>
      <c r="V727" s="19" t="n">
        <v>2</v>
      </c>
      <c r="W727" s="19">
        <f>V727*0.2</f>
        <v/>
      </c>
      <c r="X727" s="22" t="n"/>
      <c r="Y727" s="18" t="n"/>
      <c r="Z727" s="19" t="n"/>
      <c r="AA727" s="19" t="n"/>
      <c r="AB727" s="19" t="n"/>
      <c r="AC727" s="18" t="n"/>
      <c r="AD727" s="18" t="n"/>
      <c r="AE727" s="13" t="inlineStr">
        <is>
          <t>NOT_UPLOADED</t>
        </is>
      </c>
    </row>
    <row r="728" ht="16" customHeight="1">
      <c r="A728" s="12" t="n"/>
      <c r="B728" s="12" t="n">
        <v>30147942</v>
      </c>
      <c r="C728" s="13" t="n"/>
      <c r="D728" s="14" t="n"/>
      <c r="E728" s="14" t="n"/>
      <c r="F728" s="12" t="inlineStr">
        <is>
          <t>L5123</t>
        </is>
      </c>
      <c r="G728" s="14" t="inlineStr">
        <is>
          <t>Fortuna</t>
        </is>
      </c>
      <c r="H728" s="14" t="inlineStr">
        <is>
          <t>Loreal</t>
        </is>
      </c>
      <c r="I728" s="14" t="inlineStr">
        <is>
          <t>L'Oréal Paris Lipstick for a Powdery Matte Finish and 16 Hour Hold, Color Riche Intense Volume Matte, Colour: 640 Le Nude Independant, 1.8 g</t>
        </is>
      </c>
      <c r="J728" s="14" t="inlineStr">
        <is>
          <t>No</t>
        </is>
      </c>
      <c r="K728" s="14" t="inlineStr">
        <is>
          <t>https://www.amazon.de/-/en/LOr%C3%A9al-Paris-Lipstick-Powdery-Intense/dp/B01A3IJCV6/ref=sr_1_1?crid=8HCKCRGFSKKF&amp;dib=eyJ2IjoiMSJ9.TmnW1aIjCaVnMDs8c-y2sHfxIzOpqmblfhTxqdougddnx9ETkTf6Izb92B2J60387OEUosPSSoCShJ3e73Jrb8-l6adGkdsYjS7JHolLHuaXekB945j9TQyMvckZ4aG1w3tZuLZ16OyiqJOnbfSk9N1gO1Vqa2B-x2irQ-o3LZAfqr2ZeUbohj2tOgIzXceuZYi9qXyrlryFA7Tww6cXkFQx9A6-DFumZuHfawUC9CcwGNzfm5g5fp7_jVh4Wj0RLJO1_7WRhs0yH1jWD2XuWjs2JlTBs4s9yy5HxYxdukA.b_FSJpoJOQ56QqgfjId0Gu-wEc3BXLs7D01MvTLcE_k&amp;dib_tag=se&amp;keywords=color%2Briche%2Bmatte%2B640%2Bnude%2Bindependent&amp;qid=1773074130&amp;sprefix=color%2Briche%2Bmatte%2B640%2Bnude%2Bindependen%2Caps%2C176&amp;sr=8-1&amp;th=1</t>
        </is>
      </c>
      <c r="L728" s="14" t="inlineStr">
        <is>
          <t>B01A3IJCV6</t>
        </is>
      </c>
      <c r="M728" s="15" t="n"/>
      <c r="N728" s="15" t="n"/>
      <c r="O728" s="15" t="n"/>
      <c r="P728" s="15" t="n"/>
      <c r="Q728" s="15" t="n"/>
      <c r="R728" s="15" t="n"/>
      <c r="S728" s="15" t="n">
        <v>8.25</v>
      </c>
      <c r="T728" s="15">
        <f>S728*0.2</f>
        <v/>
      </c>
      <c r="U728" s="15" t="n">
        <v>0.400000000000002</v>
      </c>
      <c r="V728" s="15" t="n">
        <v>2</v>
      </c>
      <c r="W728" s="15">
        <f>V728*0.2</f>
        <v/>
      </c>
      <c r="X728" s="22" t="n"/>
      <c r="Y728" s="14" t="inlineStr">
        <is>
          <t>6.43 DEAL</t>
        </is>
      </c>
      <c r="Z728" s="15" t="n"/>
      <c r="AA728" s="15" t="n"/>
      <c r="AB728" s="15" t="n"/>
      <c r="AC728" s="14" t="n"/>
      <c r="AD728" s="14" t="n"/>
      <c r="AE728" s="13" t="inlineStr">
        <is>
          <t>NOT_UPLOADED</t>
        </is>
      </c>
    </row>
    <row r="729" ht="16" customHeight="1">
      <c r="A729" s="17" t="n"/>
      <c r="B729" s="17" t="n">
        <v>3600523801794</v>
      </c>
      <c r="C729" s="13" t="n"/>
      <c r="D729" s="18" t="n"/>
      <c r="E729" s="18" t="n"/>
      <c r="F729" s="17" t="n">
        <v>1568870</v>
      </c>
      <c r="G729" s="18" t="inlineStr">
        <is>
          <t>DM</t>
        </is>
      </c>
      <c r="H729" s="18" t="inlineStr">
        <is>
          <t>Loreal</t>
        </is>
      </c>
      <c r="I729" s="18" t="inlineStr">
        <is>
          <t>L'Oréal Paris Nourishing Lipstick with Satin Finish, Argan Oil and Vitamin E, Colour Riche Satin, No. 110 Made in Paris, 1 x 4.3 g</t>
        </is>
      </c>
      <c r="J729" s="18" t="inlineStr">
        <is>
          <t>No</t>
        </is>
      </c>
      <c r="K729" s="18" t="inlineStr">
        <is>
          <t>https://www.amazon.de/-/en/LOr%C3%A9al-Paris-Nourishing-Lipstick-Vitamin/dp/B08LZ2G42B/ref=sr_1_1?crid=1S82CIU8CJKKC&amp;dib=eyJ2IjoiMSJ9.GAF-X-bgqApVYEJjAI3gcw.UzkmZvjAjnKzj7ro8zsIhUyVrMUvCuE1AbAs8SG8rNA&amp;dib_tag=se&amp;keywords=3600523801794&amp;qid=1773074895&amp;sprefix=3600523801794%2Caps%2C145&amp;sr=8-1</t>
        </is>
      </c>
      <c r="L729" s="18" t="inlineStr">
        <is>
          <t>B08LZ2G42B</t>
        </is>
      </c>
      <c r="M729" s="19" t="n"/>
      <c r="N729" s="19" t="n"/>
      <c r="O729" s="19" t="n"/>
      <c r="P729" s="19" t="n"/>
      <c r="Q729" s="19" t="n"/>
      <c r="R729" s="19" t="n"/>
      <c r="S729" s="19" t="n">
        <v>8.25</v>
      </c>
      <c r="T729" s="19">
        <f>S729*0.2</f>
        <v/>
      </c>
      <c r="U729" s="19" t="n">
        <v>0.400000000000002</v>
      </c>
      <c r="V729" s="19" t="n">
        <v>2</v>
      </c>
      <c r="W729" s="19">
        <f>V729*0.2</f>
        <v/>
      </c>
      <c r="X729" s="22" t="n"/>
      <c r="Y729" s="18" t="n"/>
      <c r="Z729" s="19" t="n"/>
      <c r="AA729" s="19" t="n"/>
      <c r="AB729" s="19" t="n"/>
      <c r="AC729" s="18" t="n"/>
      <c r="AD729" s="18" t="n"/>
      <c r="AE729" s="13" t="inlineStr">
        <is>
          <t>NOT_UPLOADED</t>
        </is>
      </c>
    </row>
    <row r="730" ht="16" customHeight="1">
      <c r="A730" s="12" t="n"/>
      <c r="B730" s="12" t="n">
        <v>3600522860747</v>
      </c>
      <c r="C730" s="13" t="n"/>
      <c r="D730" s="14" t="n"/>
      <c r="E730" s="14" t="n"/>
      <c r="F730" s="12" t="n">
        <v>1545715</v>
      </c>
      <c r="G730" s="14" t="inlineStr">
        <is>
          <t>DM</t>
        </is>
      </c>
      <c r="H730" s="14" t="inlineStr">
        <is>
          <t>Loreal</t>
        </is>
      </c>
      <c r="I730" s="14" t="inlineStr">
        <is>
          <t>Colour Rich or Lip Liner 302 Cout</t>
        </is>
      </c>
      <c r="J730" s="14" t="inlineStr">
        <is>
          <t>No</t>
        </is>
      </c>
      <c r="K730" s="14" t="inlineStr">
        <is>
          <t>https://www.amazon.de/-/en/Colour-Rich-Lip-Liner-Cout/dp/B00TGV5UB8/ref=sr_1_3?crid=1V7BNQA4Y52FO&amp;dib=eyJ2IjoiMSJ9.7O-PVR0B-76yQS2S4v4IUexZTMlYsxLdxH1tN2ixRCE.bM1UOdtg4P0FvuBGt1llF4ZPybzdtFXd9KdBtn3Sq7Q&amp;dib_tag=se&amp;keywords=3600522860747&amp;qid=1773075031&amp;sprefix=3600522860747%2Caps%2C127&amp;sr=8-3&amp;th=1</t>
        </is>
      </c>
      <c r="L730" s="14" t="inlineStr">
        <is>
          <t>B00TGV5UB8</t>
        </is>
      </c>
      <c r="M730" s="15" t="n"/>
      <c r="N730" s="15" t="n"/>
      <c r="O730" s="15" t="n"/>
      <c r="P730" s="15" t="n"/>
      <c r="Q730" s="15" t="n"/>
      <c r="R730" s="15" t="n"/>
      <c r="S730" s="15" t="n">
        <v>5.54</v>
      </c>
      <c r="T730" s="15">
        <f>S730*0.2</f>
        <v/>
      </c>
      <c r="U730" s="15" t="n">
        <v>0.400000000000002</v>
      </c>
      <c r="V730" s="15" t="n">
        <v>2</v>
      </c>
      <c r="W730" s="15">
        <f>V730*0.2</f>
        <v/>
      </c>
      <c r="X730" s="22" t="n"/>
      <c r="Y730" s="14" t="n"/>
      <c r="Z730" s="15" t="n"/>
      <c r="AA730" s="15" t="n"/>
      <c r="AB730" s="15" t="n"/>
      <c r="AC730" s="14" t="n"/>
      <c r="AD730" s="14" t="n"/>
      <c r="AE730" s="13" t="inlineStr">
        <is>
          <t>NOT_UPLOADED</t>
        </is>
      </c>
    </row>
    <row r="731" ht="16" customHeight="1">
      <c r="A731" s="17" t="n"/>
      <c r="B731" s="17" t="n">
        <v>3600524189624</v>
      </c>
      <c r="C731" s="13" t="n"/>
      <c r="D731" s="18" t="n"/>
      <c r="E731" s="18" t="n"/>
      <c r="F731" s="17" t="n">
        <v>3041599</v>
      </c>
      <c r="G731" s="18" t="inlineStr">
        <is>
          <t>DM</t>
        </is>
      </c>
      <c r="H731" s="18" t="inlineStr">
        <is>
          <t>Loreal</t>
        </is>
      </c>
      <c r="I731" s="18" t="inlineStr">
        <is>
          <t>L'Oréal Paris Color Riche Le Lipliner 570 Worth It Intense Lip Liner with Soft Lead, for Clear Lip Contours, with Nourishing Ingredients</t>
        </is>
      </c>
      <c r="J731" s="18" t="inlineStr">
        <is>
          <t>No</t>
        </is>
      </c>
      <c r="K731" s="18" t="inlineStr">
        <is>
          <t>https://www.amazon.de/-/en/Paris-Color-Riche-Nourishing-Ingredients/dp/B0DGQSX14V/ref=sr_1_1?crid=26C4RIZTY1SBV&amp;dib=eyJ2IjoiMSJ9.XroLXETHUG-tgMikIyuNPQ.shbtG--lzYET-xXq-3NH6_XXeLE5zBvPkIdVqveUZyI&amp;dib_tag=se&amp;keywords=3600524189624&amp;qid=1773075120&amp;sprefix=3600524189624%2Caps%2C160&amp;sr=8-1</t>
        </is>
      </c>
      <c r="L731" s="18" t="inlineStr">
        <is>
          <t>B0DGQSX14V</t>
        </is>
      </c>
      <c r="M731" s="19" t="n"/>
      <c r="N731" s="19" t="n"/>
      <c r="O731" s="19" t="n"/>
      <c r="P731" s="19" t="n"/>
      <c r="Q731" s="19" t="n"/>
      <c r="R731" s="19" t="n"/>
      <c r="S731" s="19" t="n">
        <v>5.54</v>
      </c>
      <c r="T731" s="19">
        <f>S731*0.2</f>
        <v/>
      </c>
      <c r="U731" s="19" t="n">
        <v>0.400000000000002</v>
      </c>
      <c r="V731" s="19" t="n">
        <v>2</v>
      </c>
      <c r="W731" s="19">
        <f>V731*0.2</f>
        <v/>
      </c>
      <c r="X731" s="22" t="n"/>
      <c r="Y731" s="18" t="n"/>
      <c r="Z731" s="19" t="n"/>
      <c r="AA731" s="19" t="n"/>
      <c r="AB731" s="19" t="n"/>
      <c r="AC731" s="18" t="n"/>
      <c r="AD731" s="18" t="n"/>
      <c r="AE731" s="13" t="inlineStr">
        <is>
          <t>NOT_UPLOADED</t>
        </is>
      </c>
    </row>
    <row r="732" ht="16" customHeight="1">
      <c r="A732" s="12" t="n">
        <v>4049639433564</v>
      </c>
      <c r="B732" s="12" t="n"/>
      <c r="C732" s="20" t="inlineStr">
        <is>
          <t>UK</t>
        </is>
      </c>
      <c r="D732" s="14" t="n"/>
      <c r="E732" s="14" t="inlineStr">
        <is>
          <t>ASAM-4049639433564</t>
        </is>
      </c>
      <c r="F732" s="12" t="n"/>
      <c r="G732" s="14" t="inlineStr">
        <is>
          <t>DM</t>
        </is>
      </c>
      <c r="H732" s="14" t="inlineStr">
        <is>
          <t>M ASAM</t>
        </is>
      </c>
      <c r="I732" s="14" t="inlineStr">
        <is>
          <t>M. Asam Magic Finish Make-Up Mousse Classic (1.01 Fl Oz) – 4in1 Primer, Foundation, Concealer &amp; Powder With Buildable Coverage, Hides Redness And Dark Spots, Vegan, For Light To Medium Skin Tones</t>
        </is>
      </c>
      <c r="J732" s="14" t="inlineStr">
        <is>
          <t>No</t>
        </is>
      </c>
      <c r="K732" s="14" t="inlineStr">
        <is>
          <t>https://www.amazon.co.uk/dp/B01N5QC1CL?th=1</t>
        </is>
      </c>
      <c r="L732" s="14" t="inlineStr">
        <is>
          <t>B01N5QC1CL</t>
        </is>
      </c>
      <c r="M732" s="15" t="n"/>
      <c r="N732" s="15" t="n"/>
      <c r="O732" s="15" t="n">
        <v>34</v>
      </c>
      <c r="P732" s="15">
        <f>O732/1.19</f>
        <v/>
      </c>
      <c r="Q732" s="15">
        <f>O732-P732</f>
        <v/>
      </c>
      <c r="R732" s="15">
        <f>O732*0.15</f>
        <v/>
      </c>
      <c r="S732" s="15" t="n">
        <v>17.8</v>
      </c>
      <c r="T732" s="15">
        <f>S732*0.2</f>
        <v/>
      </c>
      <c r="U732" s="15" t="n">
        <v>0.400000000000002</v>
      </c>
      <c r="V732" s="15" t="n">
        <v>5</v>
      </c>
      <c r="W732" s="15">
        <f>V732*0.2</f>
        <v/>
      </c>
      <c r="X732" s="21">
        <f>O732-Q732-R732-S732-U732-V732+T732+W732</f>
        <v/>
      </c>
      <c r="Y732" s="14" t="n"/>
      <c r="Z732" s="15">
        <f>O732+1.5</f>
        <v/>
      </c>
      <c r="AA732" s="15" t="n"/>
      <c r="AB732" s="15" t="n"/>
      <c r="AC732" s="14" t="n"/>
      <c r="AD732" s="14" t="n"/>
      <c r="AE732" s="13" t="inlineStr">
        <is>
          <t>NOT_UPLOADED</t>
        </is>
      </c>
    </row>
    <row r="733" ht="16" customHeight="1">
      <c r="A733" s="17" t="n"/>
      <c r="B733" s="17" t="n">
        <v>3600524254278</v>
      </c>
      <c r="C733" s="13" t="n"/>
      <c r="D733" s="18" t="n"/>
      <c r="E733" s="18" t="n"/>
      <c r="F733" s="17" t="n"/>
      <c r="G733" s="18" t="inlineStr">
        <is>
          <t>Fortuna</t>
        </is>
      </c>
      <c r="H733" s="18" t="inlineStr">
        <is>
          <t>Loreal</t>
        </is>
      </c>
      <c r="I733" s="18" t="inlineStr">
        <is>
          <t>L'Oréal Paris Anti-Age cremiges Serum - Dreifach Laser Pflege für straffere Haut und gegen Falten, Pigmentflecken, mit Melasyl, Vitamin C und Niacinamid, Anti-Aging Serum, Revitalift Laser, 1 x 50ml</t>
        </is>
      </c>
      <c r="J733" s="18" t="inlineStr">
        <is>
          <t>No</t>
        </is>
      </c>
      <c r="K733" s="18" t="inlineStr">
        <is>
          <t>https://www.amazon.de/LOr%C3%A9al-Paris-Anti-Age-cremiges-Serum/dp/B0FY6B19RK/ref=sr_1_3?__mk_de_DE=%C3%85M%C3%85%C5%BD%C3%95%C3%91&amp;crid=30DV94JCPVFX1&amp;dib=eyJ2IjoiMSJ9.nMNf0ZOwOyyFuuvY0dST-llmB10q5emqgYj66fokzc7yw4UQFPfiqYMZHHo-rdzmxp-h0pbylcCjzOa7cpdfJ3a9I-DtqfaA7T09PKeleqbPbseY0zrSFm76deI07O9Ho1cNBAYDrQfFf7_rQm2B2Ld4d9qkyz4RP8tYyQI_RDab2fuMcO2hdMAgialz12BqzbTvRO4fpEdOPAf2S0FkMr5ji0-exrTq2jif6cUF0J559BkV9yflhzHu6dCN6k4TL2UrKGFTEqwzS1kR_X2UWKfGiRSXnjRX_wApD1w0iNA.kBMTmLDcQPsXZ9Qh6_rUSV9JEHCUlgva7P838DO0ry8&amp;dib_tag=se&amp;keywords=revitalift%2Blaser%2Btriple%2Bcream%2Bserum&amp;qid=1773159921&amp;s=beauty&amp;sprefix=revitalift%2Blaser%2Btriple%2Bcream%2Bserum%2Cbeauty%2C115&amp;sr=1-3&amp;th=1</t>
        </is>
      </c>
      <c r="L733" s="18" t="inlineStr">
        <is>
          <t>B0FY6B19RK</t>
        </is>
      </c>
      <c r="M733" s="19" t="n"/>
      <c r="N733" s="19" t="n"/>
      <c r="O733" s="19" t="n"/>
      <c r="P733" s="19" t="n"/>
      <c r="Q733" s="19" t="n"/>
      <c r="R733" s="19" t="n"/>
      <c r="S733" s="19" t="n"/>
      <c r="T733" s="19" t="n"/>
      <c r="U733" s="19" t="n">
        <v>0.400000000000002</v>
      </c>
      <c r="V733" s="19" t="n"/>
      <c r="W733" s="19" t="n"/>
      <c r="X733" s="22" t="n"/>
      <c r="Y733" s="18" t="n"/>
      <c r="Z733" s="19" t="n"/>
      <c r="AA733" s="19" t="n"/>
      <c r="AB733" s="19" t="n"/>
      <c r="AC733" s="18" t="n"/>
      <c r="AD733" s="18" t="n"/>
      <c r="AE733" s="13" t="inlineStr">
        <is>
          <t>NOT_UPLOADED</t>
        </is>
      </c>
    </row>
    <row r="734" ht="16" customHeight="1">
      <c r="A734" s="12" t="n">
        <v>3600524244569</v>
      </c>
      <c r="B734" s="12" t="n">
        <v>3600524244606</v>
      </c>
      <c r="C734" s="13" t="n"/>
      <c r="D734" s="14" t="n"/>
      <c r="E734" s="14" t="inlineStr">
        <is>
          <t>FOR-3600524244569</t>
        </is>
      </c>
      <c r="F734" s="12" t="inlineStr">
        <is>
          <t>L4035</t>
        </is>
      </c>
      <c r="G734" s="14" t="inlineStr">
        <is>
          <t>Fortuna</t>
        </is>
      </c>
      <c r="H734" s="14" t="inlineStr">
        <is>
          <t>Loreal</t>
        </is>
      </c>
      <c r="I734" s="14" t="inlineStr">
        <is>
          <t>L'Oréal Paris Hyaluron Aqua-Fluid LSF 30, aufpolsternd, schützend und 24 Std. Feuchtigkeit, für strahlenden Teint, [mit Hyaluronsäure + Niacinamid], Anti-Aging Tagescreme, Revitalift Filler, 40 ml</t>
        </is>
      </c>
      <c r="J734" s="14" t="inlineStr">
        <is>
          <t>No</t>
        </is>
      </c>
      <c r="K734" s="14" t="inlineStr">
        <is>
          <t>https://www.amazon.de/Paris-aufpolsternd-Feuchtigkeit-strahlenden-Hyalurons%C3%A4ure/dp/B0FY6D4TKW/ref=sr_1_1?__mk_de_DE=%C3%85M%C3%85%C5%BD%C3%95%C3%91&amp;crid=4WFAJBCX92YT&amp;dib=eyJ2IjoiMSJ9.odrZcAIACdsMej7eSNo0dhyMsMriSznuCuk-HBna4KKgmzyzffX-T7Nvyuzw3d5UPPVD-DJf8xYq4YtY95Fv9eSFumX3Wu5HAif0QdCW7grT-9bu0ZtEJlwrJ7HSi6ayIIGMSMqmXF0dON-A63wOoVATLRv_QXBWSfM_0QgqLbbPgqfhcqe1uYT2qmuquP-7kpRGrtYA-yXoivrkL5wEA4pryV_-4UL1Svjp6bSt2loyJ3aWYt5LSm7uXwsjL_Yt.xzRSQjB0U_ZBX5Emco2HHxoV8RNAiyCkw6sVIWScygU&amp;dib_tag=se&amp;keywords=D.RVT%2BFiller%2BHyaluron%2BAqua%2Bfluid%2BSPF30%2C%2B40ml&amp;qid=1773160098&amp;sprefix=d.rvt%2Bfiller%2Bhyaluron%2Baqua%2Bfluid%2Bspf30%2B40ml%2Caps%2C111&amp;sr=8-1&amp;th=1</t>
        </is>
      </c>
      <c r="L734" s="14" t="inlineStr">
        <is>
          <t>B0FY6D4TKW</t>
        </is>
      </c>
      <c r="M734" s="15" t="n"/>
      <c r="N734" s="15" t="n"/>
      <c r="O734" s="15" t="n">
        <v>22</v>
      </c>
      <c r="P734" s="15">
        <f>O734/1.19</f>
        <v/>
      </c>
      <c r="Q734" s="15">
        <f>O734-P734</f>
        <v/>
      </c>
      <c r="R734" s="15">
        <f>O734*0.15</f>
        <v/>
      </c>
      <c r="S734" s="15" t="n">
        <v>12.95</v>
      </c>
      <c r="T734" s="15">
        <f>S734*0.2</f>
        <v/>
      </c>
      <c r="U734" s="15" t="n">
        <v>0.400000000000002</v>
      </c>
      <c r="V734" s="15" t="n">
        <v>2.2</v>
      </c>
      <c r="W734" s="15">
        <f>V734*0.2</f>
        <v/>
      </c>
      <c r="X734" s="21">
        <f>O734-Q734-R734-S734-U734-V734+T734+W734</f>
        <v/>
      </c>
      <c r="Y734" s="14" t="n"/>
      <c r="Z734" s="15">
        <f>O734+1.5</f>
        <v/>
      </c>
      <c r="AA734" s="15" t="n"/>
      <c r="AB734" s="15" t="n"/>
      <c r="AC734" s="14" t="n"/>
      <c r="AD734" s="14" t="n"/>
      <c r="AE734" s="13" t="inlineStr">
        <is>
          <t>NOT_UPLOADED</t>
        </is>
      </c>
    </row>
    <row r="735" ht="16" customHeight="1">
      <c r="A735" s="17" t="n"/>
      <c r="B735" s="17" t="n">
        <v>3600524229290</v>
      </c>
      <c r="C735" s="13" t="n"/>
      <c r="D735" s="18" t="n"/>
      <c r="E735" s="18" t="n"/>
      <c r="F735" s="17" t="inlineStr">
        <is>
          <t>L4019</t>
        </is>
      </c>
      <c r="G735" s="18" t="inlineStr">
        <is>
          <t>Fortuna</t>
        </is>
      </c>
      <c r="H735" s="18" t="inlineStr">
        <is>
          <t>Loreal</t>
        </is>
      </c>
      <c r="I735" s="18" t="inlineStr">
        <is>
          <t>L'Oréal Paris Collagen Expert Feuchtigkeitscreme, 50 ml, feuchtigkeitsspendende Gesichtscreme mit Kollagen, Konzentrat mit 5% Kollagenpeptiden + Peptide für Boost</t>
        </is>
      </c>
      <c r="J735" s="18" t="inlineStr">
        <is>
          <t>No</t>
        </is>
      </c>
      <c r="K735" s="18" t="inlineStr">
        <is>
          <t>https://www.amazon.de/Paris-Feuchtigkeitscreme-feuchtigkeitsspendende-Gesichtscreme-Kollagenpeptiden/dp/B0G6DZ6WF2/ref=sr_1_22?__mk_de_DE=%C3%85M%C3%85%C5%BD%C3%95%C3%91&amp;crid=33P9ZSFKA1FVK&amp;dib=eyJ2IjoiMSJ9.rMhjgFv-_I2QqzUoxtl6eBrv6Cc1ITAoo4FR349xWAhQPeMWxXDAUCjVDUvNSgQQvdx-BaaZoT6QPtazZ3eMDIa10gUDLR2KmKUkP5E6OlYf0JHN0XHtUKr92ZOpcJibPZVj7BPil3SO32dFQJe5rwEqvq2JcuTCNLLJ7Y8MrqZEZSxJBdP7EsxhzTSPwSvrv424DAKyuqw4f8uFhpQ7jDCGUocW8xtPjyjdrTI64Y6Sv-AC3d-kymJe10rpP1hq0-7KOU6nQQamD9n8a2eH1nbl4EYCGZd7O3D9S2awyvs.XN13AziQnAEzkG1ByYRqLE63zhZM0bRScHY4iD2sxMM&amp;dib_tag=se&amp;keywords=D.COLLAGENE+EXPERT+DAY+CREAM+50ML&amp;qid=1773161494&amp;s=beauty&amp;sprefix=d.collagene+expert+day+cream+50ml%2Cbeauty%2C133&amp;sr=1-22</t>
        </is>
      </c>
      <c r="L735" s="18" t="inlineStr">
        <is>
          <t>B0G6DZ6WF2</t>
        </is>
      </c>
      <c r="M735" s="19" t="n"/>
      <c r="N735" s="19" t="n"/>
      <c r="O735" s="19" t="n"/>
      <c r="P735" s="19" t="n"/>
      <c r="Q735" s="19" t="n"/>
      <c r="R735" s="19" t="n"/>
      <c r="S735" s="19" t="n">
        <v>5.6</v>
      </c>
      <c r="T735" s="19">
        <f>S735*0.2</f>
        <v/>
      </c>
      <c r="U735" s="19" t="n">
        <v>0.400000000000002</v>
      </c>
      <c r="V735" s="19" t="n">
        <v>2.5</v>
      </c>
      <c r="W735" s="19">
        <f>V735*0.2</f>
        <v/>
      </c>
      <c r="X735" s="22" t="n"/>
      <c r="Y735" s="18" t="n"/>
      <c r="Z735" s="19" t="n"/>
      <c r="AA735" s="19" t="n"/>
      <c r="AB735" s="19" t="n"/>
      <c r="AC735" s="18" t="n"/>
      <c r="AD735" s="18" t="n"/>
      <c r="AE735" s="13" t="inlineStr">
        <is>
          <t>NOT_UPLOADED</t>
        </is>
      </c>
    </row>
    <row r="736" ht="16" customHeight="1">
      <c r="A736" s="12" t="n"/>
      <c r="B736" s="12" t="n">
        <v>3600551186870</v>
      </c>
      <c r="C736" s="13" t="n"/>
      <c r="D736" s="14" t="n"/>
      <c r="E736" s="14" t="n"/>
      <c r="F736" s="12" t="inlineStr">
        <is>
          <t>MX4010</t>
        </is>
      </c>
      <c r="G736" s="14" t="inlineStr">
        <is>
          <t>Fortuna</t>
        </is>
      </c>
      <c r="H736" s="14" t="inlineStr">
        <is>
          <t>MIXA</t>
        </is>
      </c>
      <c r="I736" s="14" t="inlineStr">
        <is>
          <t>Mixa Anti-Hautstress Beruhigendes milchiges Serum – Gesichtsserum mit Panthenol &amp; Bisabolol gegen Rötungen &amp; Irritationen – Ultra-sanfte Pflege für gestresste Haut – Ohne Parfum &amp; Alkohol – 30ml</t>
        </is>
      </c>
      <c r="J736" s="14" t="inlineStr">
        <is>
          <t>No</t>
        </is>
      </c>
      <c r="K736" s="14" t="inlineStr">
        <is>
          <t>https://www.amazon.de/Mixa-Anti-Hautstress-Beruhigendes-milchiges-Serum/dp/B0FY6C189N/ref=sr_1_4?__mk_de_DE=%C3%85M%C3%85%C5%BD%C3%95%C3%91&amp;crid=1FHFL1RIZMU2U&amp;dib=eyJ2IjoiMSJ9.6TZkQSgUc-hkei2ICVmlhzry1hBEuLT9TsLaPpjPovgXjTzJhZSG6PReS6lvtmswWdCjM5c98VTVh3rkCHaQe31E9Si7Nz-aIvMvRk7Nfq0aA-S7DhuZQ3IPuiwWcc69ZZylrozTwx9MB1mRE6bQBY9ISeDBUJkHQa4ritaYr1v4JgW6ea6YrR7Y0iiIw5-8gHBIMjiq4elqmojYvMsO2jcbPYvDMnCLMWHn8TO2DfD0IJ7jSrhKOQ45NBd6-RCHfyKarWWH2-nMP9IWJCjKA4XRuGM3MLv432xsOVviM4A.A0Rn8fRVeOK9-KNTtZxUzS9bQfWNdDQ5LZOg-xrx_74&amp;dib_tag=se&amp;keywords=Mixa+SERUM+ANTI+REACTION+30ML&amp;qid=1773171702&amp;s=beauty&amp;sprefix=mixa+serum+anti+reaction+30ml%2Cbeauty%2C115&amp;sr=1-4</t>
        </is>
      </c>
      <c r="L736" s="14" t="inlineStr">
        <is>
          <t>B0FY6C189N</t>
        </is>
      </c>
      <c r="M736" s="15" t="n"/>
      <c r="N736" s="15" t="n"/>
      <c r="O736" s="15" t="n"/>
      <c r="P736" s="15" t="n"/>
      <c r="Q736" s="15" t="n"/>
      <c r="R736" s="15" t="n"/>
      <c r="S736" s="15" t="n">
        <v>10.27</v>
      </c>
      <c r="T736" s="15">
        <f>S736*0.2</f>
        <v/>
      </c>
      <c r="U736" s="15" t="n">
        <v>0.400000000000002</v>
      </c>
      <c r="V736" s="15" t="n"/>
      <c r="W736" s="15" t="n"/>
      <c r="X736" s="22" t="n"/>
      <c r="Y736" s="14" t="n"/>
      <c r="Z736" s="15" t="n"/>
      <c r="AA736" s="15" t="n"/>
      <c r="AB736" s="15" t="n"/>
      <c r="AC736" s="14" t="n"/>
      <c r="AD736" s="14" t="n"/>
      <c r="AE736" s="13" t="inlineStr">
        <is>
          <t>NOT_UPLOADED</t>
        </is>
      </c>
    </row>
    <row r="737" ht="16" customHeight="1">
      <c r="A737" s="17" t="n">
        <v>3600551183398</v>
      </c>
      <c r="B737" s="17" t="n">
        <v>3600551183381</v>
      </c>
      <c r="C737" s="13" t="n"/>
      <c r="D737" s="18" t="n"/>
      <c r="E737" s="18" t="inlineStr">
        <is>
          <t>FOR-3600551183398</t>
        </is>
      </c>
      <c r="F737" s="17" t="inlineStr">
        <is>
          <t>MX5000</t>
        </is>
      </c>
      <c r="G737" s="18" t="inlineStr">
        <is>
          <t>Fortuna</t>
        </is>
      </c>
      <c r="H737" s="18" t="inlineStr">
        <is>
          <t>MIXA</t>
        </is>
      </c>
      <c r="I737" s="18" t="inlineStr">
        <is>
          <t>Mixa Balm Cica+ Multi-Use Reparierender Balm – Mit 12% Glycerin, Panthenol &amp; Squalan für Gesicht, Körper &amp; Lippen – Beruhigende Pflege für trockene, irritierte Haut von Babys, Kindern &amp; Erwachsenen</t>
        </is>
      </c>
      <c r="J737" s="18" t="inlineStr">
        <is>
          <t>No</t>
        </is>
      </c>
      <c r="K737" s="18" t="inlineStr">
        <is>
          <t>https://www.amazon.de/Mixa-Balm-Cica-Multi-Use-Reparierender/dp/B0FY6DQBVP/ref=sr_1_2?crid=1OPUOTBGXRTWI&amp;dib=eyJ2IjoiMSJ9.ra8IqwM4a8NY1ING8vGr3n3wS5kQcDCZ2ay58lxjjRh9-C_hPM_6aq0Kh2732C2AJyuBlv6mtJcJYjwWzY00kp3Kf1W6mrxuxhJTxVLgHj3U6VLQWr7y3y_nnnm2bfUqamFmI2p4TWWLmWzYC8P9t8fhjtQcC2p-Oq8FZNx22P1Jz5T46K0xn4UkB8OPU_8Uz0F9mjb_S5Hk-KC3b_vqVHO_UDLIsFOG05nFDRInWFe88J-ObdcEgxbLSlsa--xSVWHcrSCXCYTUy1BYfZw39LJLghhzqiZUdmso4LGESbs.7XsZEuKeYOwRooBUJPpH-wV81sNR2nv3CBnOyjS1gCI&amp;dib_tag=se&amp;keywords=mixa+balm+cica%2B+multi-use+reparierender+balm%2C+50+ml&amp;qid=1773172043&amp;sprefix=Mixa+BALM+CICA%2B+%2Caps%2C235&amp;sr=8-2</t>
        </is>
      </c>
      <c r="L737" s="18" t="inlineStr">
        <is>
          <t>B0FY6DQBVP</t>
        </is>
      </c>
      <c r="M737" s="19" t="n"/>
      <c r="N737" s="19" t="n"/>
      <c r="O737" s="19" t="n">
        <v>11.15</v>
      </c>
      <c r="P737" s="19">
        <f>O737/1.19</f>
        <v/>
      </c>
      <c r="Q737" s="19">
        <f>O737-P737</f>
        <v/>
      </c>
      <c r="R737" s="19">
        <f>O737*0.15</f>
        <v/>
      </c>
      <c r="S737" s="19" t="n">
        <v>4.85</v>
      </c>
      <c r="T737" s="19">
        <f>S737*0.2</f>
        <v/>
      </c>
      <c r="U737" s="19" t="n">
        <v>0.400000000000002</v>
      </c>
      <c r="V737" s="19" t="n">
        <v>2.2</v>
      </c>
      <c r="W737" s="19">
        <f>V737*0.2</f>
        <v/>
      </c>
      <c r="X737" s="16">
        <f>O737-Q737-R737-S737-U737-V737+T737+W737</f>
        <v/>
      </c>
      <c r="Y737" s="18" t="n"/>
      <c r="Z737" s="19">
        <f>O737+1.5</f>
        <v/>
      </c>
      <c r="AA737" s="19" t="n"/>
      <c r="AB737" s="19" t="n"/>
      <c r="AC737" s="18" t="n"/>
      <c r="AD737" s="18" t="n"/>
      <c r="AE737" s="13" t="inlineStr">
        <is>
          <t>NOT_UPLOADED</t>
        </is>
      </c>
    </row>
    <row r="738" ht="16" customHeight="1">
      <c r="A738" s="12" t="n"/>
      <c r="B738" s="12" t="n">
        <v>3600551188294</v>
      </c>
      <c r="C738" s="13" t="n"/>
      <c r="D738" s="14" t="n"/>
      <c r="E738" s="14" t="n"/>
      <c r="F738" s="12" t="n"/>
      <c r="G738" s="14" t="inlineStr">
        <is>
          <t>Fortuna</t>
        </is>
      </c>
      <c r="H738" s="14" t="inlineStr">
        <is>
          <t>MIXA</t>
        </is>
      </c>
      <c r="I738" s="14" t="n"/>
      <c r="J738" s="14" t="inlineStr">
        <is>
          <t>No</t>
        </is>
      </c>
      <c r="K738" s="14" t="n"/>
      <c r="L738" s="14" t="inlineStr">
        <is>
          <t>B0FY5S7JKQ</t>
        </is>
      </c>
      <c r="M738" s="15" t="n"/>
      <c r="N738" s="15" t="n"/>
      <c r="O738" s="15" t="n"/>
      <c r="P738" s="15" t="n"/>
      <c r="Q738" s="15" t="n"/>
      <c r="R738" s="15" t="n"/>
      <c r="S738" s="15" t="n"/>
      <c r="T738" s="15" t="n"/>
      <c r="U738" s="15" t="n">
        <v>0.400000000000002</v>
      </c>
      <c r="V738" s="15" t="n"/>
      <c r="W738" s="15" t="n"/>
      <c r="X738" s="22" t="n"/>
      <c r="Y738" s="14" t="n"/>
      <c r="Z738" s="15" t="n"/>
      <c r="AA738" s="15" t="n"/>
      <c r="AB738" s="15" t="n"/>
      <c r="AC738" s="14" t="n"/>
      <c r="AD738" s="14" t="n"/>
      <c r="AE738" s="13" t="inlineStr">
        <is>
          <t>NOT_UPLOADED</t>
        </is>
      </c>
    </row>
    <row r="739" ht="16" customHeight="1">
      <c r="A739" s="17" t="n"/>
      <c r="B739" s="17" t="n">
        <v>3600551188232</v>
      </c>
      <c r="C739" s="13" t="n"/>
      <c r="D739" s="18" t="n"/>
      <c r="E739" s="18" t="n"/>
      <c r="F739" s="17" t="n"/>
      <c r="G739" s="18" t="n"/>
      <c r="H739" s="18" t="inlineStr">
        <is>
          <t>MIXA</t>
        </is>
      </c>
      <c r="I739" s="18" t="n"/>
      <c r="J739" s="18" t="n"/>
      <c r="K739" s="18" t="n"/>
      <c r="L739" s="18" t="inlineStr">
        <is>
          <t>B0FY6955JN</t>
        </is>
      </c>
      <c r="M739" s="19" t="n"/>
      <c r="N739" s="19" t="n"/>
      <c r="O739" s="19" t="n"/>
      <c r="P739" s="19" t="n"/>
      <c r="Q739" s="19" t="n"/>
      <c r="R739" s="19" t="n"/>
      <c r="S739" s="19" t="n"/>
      <c r="T739" s="19" t="n"/>
      <c r="U739" s="19" t="n">
        <v>0.400000000000002</v>
      </c>
      <c r="V739" s="19" t="n"/>
      <c r="W739" s="19" t="n"/>
      <c r="X739" s="23" t="n"/>
      <c r="Y739" s="18" t="n"/>
      <c r="Z739" s="19" t="n"/>
      <c r="AA739" s="19" t="n"/>
      <c r="AB739" s="19" t="n"/>
      <c r="AC739" s="18" t="n"/>
      <c r="AD739" s="18" t="n"/>
      <c r="AE739" s="13" t="inlineStr">
        <is>
          <t>NOT_UPLOADED</t>
        </is>
      </c>
    </row>
    <row r="740" ht="16" customHeight="1">
      <c r="A740" s="12" t="n"/>
      <c r="B740" s="12" t="n">
        <v>400860401780</v>
      </c>
      <c r="C740" s="20" t="inlineStr">
        <is>
          <t>NA</t>
        </is>
      </c>
      <c r="D740" s="14" t="inlineStr">
        <is>
          <t>Approval required</t>
        </is>
      </c>
      <c r="E740" s="14" t="n"/>
      <c r="F740" s="12" t="n">
        <v>10216293</v>
      </c>
      <c r="G740" s="14" t="inlineStr">
        <is>
          <t>BEBOLINO</t>
        </is>
      </c>
      <c r="H740" s="14" t="inlineStr">
        <is>
          <t>NUK</t>
        </is>
      </c>
      <c r="I740" s="14" t="inlineStr">
        <is>
          <t>NUK First Choice+ Professional Anti-Colic Baby Bottle, 0-6 Months, Temperature Control, 300 ml, BPA-Free, Silicone Teat</t>
        </is>
      </c>
      <c r="J740" s="14" t="inlineStr">
        <is>
          <t>No</t>
        </is>
      </c>
      <c r="K740" s="14" t="inlineStr">
        <is>
          <t>https://www.amazon.de/-/en/Professional-Anti-Colic-Temperature-BPA-Free-Silicone/dp/B09GPPCQSY/ref=sr_1_2?crid=2LD35BW6AIOSA&amp;dib=eyJ2IjoiMSJ9.naL5keVmD2qNsiCF9GyQTgTxRwz1HMim4Pp1gJpzr0rbRjkIgBdJ42EnFrupanuEdyhTiOwXVSyGAdKOsjE0Ciw7YT3i3nyiLYrjMxXT5-r1lffPvwvyhx0phqIzoqGNr-XGb1PZB3Cg4xQ4ezfr3PJXiOyAdwL5dVeXgpjs9QGnnM_Iiu_LGZ-WVo_WTyBcQCUexKUn10WCgVqO52XkJCtTMiCE7Hcqy0Xpt1wHaB7wjS6s6L9iM6N-h4_y5EAFTqOBmemKGlZp96s3kwzD7MaMePTvVA3bQu5wYEkgSmw.ttJiQblSLxzGAf8XAjqXrSlT3WHXzlnCEOvZT6zafXw&amp;dib_tag=se&amp;keywords=nuk%2Bfirst%2Bchoice%2Bthermo%2Bcontrol%2B300ml&amp;qid=1758104081&amp;s=baby&amp;sprefix=nuk%2Bfirst%2Bchoice%2Bthermo%2Bcontrol%2B300ml%2Cbaby%2C142&amp;sr=1-2&amp;th=1</t>
        </is>
      </c>
      <c r="L740" s="14" t="inlineStr">
        <is>
          <t>B09GPPCQSY</t>
        </is>
      </c>
      <c r="M740" s="15" t="n"/>
      <c r="N740" s="15" t="n"/>
      <c r="O740" s="15" t="n">
        <v>14.9</v>
      </c>
      <c r="P740" s="15">
        <f>O740/1.19</f>
        <v/>
      </c>
      <c r="Q740" s="15">
        <f>O740-P740</f>
        <v/>
      </c>
      <c r="R740" s="15">
        <f>O740*0.15</f>
        <v/>
      </c>
      <c r="S740" s="15" t="n">
        <v>5.63</v>
      </c>
      <c r="T740" s="15">
        <f>S740*0.2</f>
        <v/>
      </c>
      <c r="U740" s="15" t="n">
        <v>0.400000000000002</v>
      </c>
      <c r="V740" s="15" t="n">
        <v>2.2</v>
      </c>
      <c r="W740" s="15">
        <f>V740*0.2</f>
        <v/>
      </c>
      <c r="X740" s="21">
        <f>O740-Q740-R740-S740-U740-V740+T740+W740</f>
        <v/>
      </c>
      <c r="Y740" s="14" t="n"/>
      <c r="Z740" s="15">
        <f>O740+1.5</f>
        <v/>
      </c>
      <c r="AA740" s="15" t="n"/>
      <c r="AB740" s="15" t="n"/>
      <c r="AC740" s="14" t="n"/>
      <c r="AD740" s="14" t="n"/>
      <c r="AE740" s="13" t="inlineStr">
        <is>
          <t>NOT_UPLOADED</t>
        </is>
      </c>
    </row>
    <row r="741" ht="16" customHeight="1">
      <c r="A741" s="17" t="n">
        <v>4150091215961</v>
      </c>
      <c r="B741" s="17" t="n">
        <v>4008600169338</v>
      </c>
      <c r="C741" s="13" t="n"/>
      <c r="D741" s="18" t="n"/>
      <c r="E741" s="18" t="inlineStr">
        <is>
          <t>BEB-4150091215961</t>
        </is>
      </c>
      <c r="F741" s="17" t="n">
        <v>10721265</v>
      </c>
      <c r="G741" s="18" t="inlineStr">
        <is>
          <t>BEBOLINO</t>
        </is>
      </c>
      <c r="H741" s="18" t="inlineStr">
        <is>
          <t>NUK</t>
        </is>
      </c>
      <c r="I741" s="18" t="inlineStr">
        <is>
          <t>NUK 10124014 First Choice+ Anti-Colic Drinking Teat Silicone, Orthodontic, Nuk Shape</t>
        </is>
      </c>
      <c r="J741" s="18" t="inlineStr">
        <is>
          <t>No</t>
        </is>
      </c>
      <c r="K741" s="18" t="inlineStr">
        <is>
          <t>https://www.amazon.de/-/en/10124014-Anti-Colic-Drinking-Silicone-Orthodontic/dp/B005MAIZIM/ref=sr_1_42?crid=2A0RDJY60NEO6&amp;dib=eyJ2IjoiMSJ9.m_8kJUS1WxC-67rc6tCu0HXEaClA2-7KuBDqPSeHB2HcroUYjo34-W72BOCDR-V6x1OxFLascf-NZ-XZr43TPxD7MQydJ_OwXK7uwAU7ioS075lYJtlYOULqYskjMeBLvObrNHTETs4pidqfO7ip6hnLuiT908BvrP45ZH8BxqYbMO53Z5MSXIAHDLcB9CBCgowJz-y5ZJvufZx_UWEXLzIdKHnXO_a9y9Z-OXRelozKxP7Eqo8rbP5lCHj9l11x4L1TMgKVjy-p9yRu0nskosw7FBGAij6OdWGzKdgIiEA.A5WjR2yuv1AGLxCuX7EN9gASNKR1n5T77bomW2hvAXo&amp;dib_tag=se&amp;keywords=NUK+First+Choice+0-6&amp;qid=1758101862&amp;s=baby&amp;sprefix=nuk+first+choice+0-6%2Cbaby%2C280&amp;sr=1-42&amp;xpid=Uh8im2CBh67HW</t>
        </is>
      </c>
      <c r="L741" s="18" t="inlineStr">
        <is>
          <t>B005MAIZIM</t>
        </is>
      </c>
      <c r="M741" s="19" t="n"/>
      <c r="N741" s="19" t="n"/>
      <c r="O741" s="19" t="n">
        <v>9.300000000000001</v>
      </c>
      <c r="P741" s="19">
        <f>O741/1.19</f>
        <v/>
      </c>
      <c r="Q741" s="19">
        <f>O741-P741</f>
        <v/>
      </c>
      <c r="R741" s="19">
        <f>O741*0.15</f>
        <v/>
      </c>
      <c r="S741" s="19" t="n">
        <v>3.58</v>
      </c>
      <c r="T741" s="19">
        <f>S741*0.2</f>
        <v/>
      </c>
      <c r="U741" s="19" t="n">
        <v>0.400000000000002</v>
      </c>
      <c r="V741" s="19" t="n">
        <v>2</v>
      </c>
      <c r="W741" s="19">
        <f>V741*0.2</f>
        <v/>
      </c>
      <c r="X741" s="16">
        <f>O741-Q741-R741-S741-U741-V741+T741+W741</f>
        <v/>
      </c>
      <c r="Y741" s="18" t="n"/>
      <c r="Z741" s="19">
        <f>O741+1.5</f>
        <v/>
      </c>
      <c r="AA741" s="19" t="n"/>
      <c r="AB741" s="19" t="n"/>
      <c r="AC741" s="18" t="n"/>
      <c r="AD741" s="18" t="n"/>
      <c r="AE741" s="13" t="inlineStr">
        <is>
          <t>NOT_UPLOADED</t>
        </is>
      </c>
    </row>
    <row r="742" ht="16" customHeight="1">
      <c r="A742" s="12" t="n">
        <v>4008600382201</v>
      </c>
      <c r="B742" s="12" t="n">
        <v>4008600382409</v>
      </c>
      <c r="C742" s="13" t="n"/>
      <c r="D742" s="14" t="n"/>
      <c r="E742" s="14" t="inlineStr">
        <is>
          <t>BEB-4008600382201</t>
        </is>
      </c>
      <c r="F742" s="12" t="n">
        <v>10721329</v>
      </c>
      <c r="G742" s="14" t="inlineStr">
        <is>
          <t>BEBOLINO</t>
        </is>
      </c>
      <c r="H742" s="14" t="inlineStr">
        <is>
          <t>NUK</t>
        </is>
      </c>
      <c r="I742" s="14" t="inlineStr">
        <is>
          <t>NUK First Choice+ Flow Control Baby Bottle Teats | 6-18 Months | Anti-Colic Valve | BPA Free | Pack of 2</t>
        </is>
      </c>
      <c r="J742" s="14" t="inlineStr">
        <is>
          <t>No</t>
        </is>
      </c>
      <c r="K742" s="14" t="inlineStr">
        <is>
          <t>https://www.amazon.de/-/en/Choice-Control-Bottle-Months-Anti-Colic/dp/B08V79VFYJ/ref=sr_1_1?crid=39MU137YTBU8Q&amp;dib=eyJ2IjoiMSJ9.LmN5zfqLRx5KjOP8MImOJN2UiniU51d9cDjsf0WpB3z9rSdncGgn19gBJoeqnYG33mOTzleAL-IT-PWdM9lDnzPkMm9r0pY4G8EulZxxQBoLr7yWfHR3vdx-qp_eVVEZ77rVg658mW-w-gCFFC7zvpRjFkVpHbteCvv85XulcNWb3NYh2z2dOKx-HNqDSc7RpJ8RTHBn8rnhyQNqEFZLa9y_qEdn4piaeGP3rOMQGSskrnC5WywPVwxxSEi1bhX6Jj49RxaXC9roOmYNhQUT-1x-ykmKgCTvt1AXZjAE0xU.jDEG00as6H0tC_iMUXACW9RprTJDmDDa3bysnhl7T-0&amp;dib_tag=se&amp;keywords=NUK%2BFIRST%2BCHOICE%2B6-18%2BFLOW%2BCONTROL&amp;qid=1758103093&amp;sprefix=nuk%2Bfirst%2Bchoice%2B6-18%2Bflow%2Bcontrol%2Caps%2C154&amp;sr=8-1&amp;th=1</t>
        </is>
      </c>
      <c r="L742" s="14" t="inlineStr">
        <is>
          <t>B08V79VFYJ</t>
        </is>
      </c>
      <c r="M742" s="15" t="n"/>
      <c r="N742" s="15" t="n"/>
      <c r="O742" s="15" t="n">
        <v>9.300000000000001</v>
      </c>
      <c r="P742" s="15">
        <f>O742/1.19</f>
        <v/>
      </c>
      <c r="Q742" s="15">
        <f>O742-P742</f>
        <v/>
      </c>
      <c r="R742" s="15">
        <f>O742*0.15</f>
        <v/>
      </c>
      <c r="S742" s="15" t="n">
        <v>3.58</v>
      </c>
      <c r="T742" s="15">
        <f>S742*0.2</f>
        <v/>
      </c>
      <c r="U742" s="15" t="n">
        <v>0.400000000000002</v>
      </c>
      <c r="V742" s="15" t="n">
        <v>2</v>
      </c>
      <c r="W742" s="15">
        <f>V742*0.2</f>
        <v/>
      </c>
      <c r="X742" s="16">
        <f>O742-Q742-R742-S742-U742-V742+T742+W742</f>
        <v/>
      </c>
      <c r="Y742" s="14" t="n"/>
      <c r="Z742" s="15">
        <f>O742+1.5</f>
        <v/>
      </c>
      <c r="AA742" s="15" t="n"/>
      <c r="AB742" s="15" t="n"/>
      <c r="AC742" s="14" t="n"/>
      <c r="AD742" s="14" t="n"/>
      <c r="AE742" s="13" t="inlineStr">
        <is>
          <t>NOT_UPLOADED</t>
        </is>
      </c>
    </row>
    <row r="743" ht="16" customHeight="1">
      <c r="A743" s="17" t="n"/>
      <c r="B743" s="17" t="n">
        <v>4008600169574</v>
      </c>
      <c r="C743" s="20" t="inlineStr">
        <is>
          <t>PACK X 2</t>
        </is>
      </c>
      <c r="D743" s="18" t="n"/>
      <c r="E743" s="18" t="inlineStr">
        <is>
          <t>BEB-4008600169574</t>
        </is>
      </c>
      <c r="F743" s="17" t="n">
        <v>10709245</v>
      </c>
      <c r="G743" s="18" t="inlineStr">
        <is>
          <t>BEBOLINO</t>
        </is>
      </c>
      <c r="H743" s="18" t="inlineStr">
        <is>
          <t>NUK</t>
        </is>
      </c>
      <c r="I743" s="18" t="inlineStr">
        <is>
          <t>Nuk First Choice+ 10124015 Silicone Teats Size 1 (0-6 Months) M, Pack of 2 (2 x Blisters)</t>
        </is>
      </c>
      <c r="J743" s="18" t="inlineStr">
        <is>
          <t>No</t>
        </is>
      </c>
      <c r="K743" s="18" t="inlineStr">
        <is>
          <t>https://www.amazon.de/-/en/Choice-10124015-Silicone-Months-Blisters/dp/B00WQND7YK/ref=sr_1_43?crid=2A0RDJY60NEO6&amp;dib=eyJ2IjoiMSJ9.m_8kJUS1WxC-67rc6tCu0HXEaClA2-7KuBDqPSeHB2HcroUYjo34-W72BOCDR-V6x1OxFLascf-NZ-XZr43TPxD7MQydJ_OwXK7uwAU7ioS075lYJtlYOULqYskjMeBLvObrNHTETs4pidqfO7ip6hnLuiT908BvrP45ZH8BxqYbMO53Z5MSXIAHDLcB9CBCgowJz-y5ZJvufZx_UWEXLzIdKHnXO_a9y9Z-OXRelozKxP7Eqo8rbP5lCHj9l11x4L1TMgKVjy-p9yRu0nskosw7FBGAij6OdWGzKdgIiEA.A5WjR2yuv1AGLxCuX7EN9gASNKR1n5T77bomW2hvAXo&amp;dib_tag=se&amp;keywords=NUK+First+Choice+0-6&amp;qid=1758101862&amp;s=baby&amp;sprefix=nuk+first+choice+0-6%2Cbaby%2C280&amp;sr=1-43&amp;xpid=Uh8im2CBh67HW</t>
        </is>
      </c>
      <c r="L743" s="18" t="inlineStr">
        <is>
          <t>B00WQND7YK</t>
        </is>
      </c>
      <c r="M743" s="19" t="n"/>
      <c r="N743" s="19" t="n"/>
      <c r="O743" s="19" t="n">
        <v>15.6</v>
      </c>
      <c r="P743" s="19">
        <f>O743/1.19</f>
        <v/>
      </c>
      <c r="Q743" s="19">
        <f>O743-P743</f>
        <v/>
      </c>
      <c r="R743" s="19">
        <f>O743*0.15</f>
        <v/>
      </c>
      <c r="S743" s="19" t="n">
        <v>7.16</v>
      </c>
      <c r="T743" s="19">
        <f>S743*0.2</f>
        <v/>
      </c>
      <c r="U743" s="19" t="n">
        <v>0.400000000000002</v>
      </c>
      <c r="V743" s="19" t="n">
        <v>2.5</v>
      </c>
      <c r="W743" s="19">
        <f>V743*0.2</f>
        <v/>
      </c>
      <c r="X743" s="21">
        <f>O743-Q743-R743-S743-U743-V743+T743+W743</f>
        <v/>
      </c>
      <c r="Y743" s="18" t="n"/>
      <c r="Z743" s="19">
        <f>O743+1.5</f>
        <v/>
      </c>
      <c r="AA743" s="19" t="n"/>
      <c r="AB743" s="19" t="n"/>
      <c r="AC743" s="18" t="n"/>
      <c r="AD743" s="18" t="n"/>
      <c r="AE743" s="13" t="inlineStr">
        <is>
          <t>NOT_UPLOADED</t>
        </is>
      </c>
    </row>
    <row r="744" ht="16" customHeight="1">
      <c r="A744" s="12" t="n"/>
      <c r="B744" s="12" t="n">
        <v>4008600169574</v>
      </c>
      <c r="C744" s="13" t="n"/>
      <c r="D744" s="14" t="n"/>
      <c r="E744" s="14" t="inlineStr">
        <is>
          <t>BEB-5054809111264</t>
        </is>
      </c>
      <c r="F744" s="12" t="n">
        <v>10709245</v>
      </c>
      <c r="G744" s="14" t="inlineStr">
        <is>
          <t>BEBOLINO</t>
        </is>
      </c>
      <c r="H744" s="14" t="inlineStr">
        <is>
          <t>NUK</t>
        </is>
      </c>
      <c r="I744" s="14" t="inlineStr">
        <is>
          <t>NUK 10124014 First Choice+ Anti-Colic Drinking Teat Silicone, Orthodontic, Nuk Shape</t>
        </is>
      </c>
      <c r="J744" s="14" t="inlineStr">
        <is>
          <t>No</t>
        </is>
      </c>
      <c r="K744" s="14" t="inlineStr">
        <is>
          <t>https://www.amazon.de/-/en/10124014-Anti-Colic-Drinking-Silicone-Orthodontic/dp/B005MAIZHI/ref=sr_1_5?crid=2A0RDJY60NEO6&amp;dib=eyJ2IjoiMSJ9.XmzFavq4wj4sAw0GxZyOJ78gAP54O5Vg6VdBr0mcSM8RMiWLTebO5TFnTMLN6g9z3PGkYcX-hZ0KxV0KiHKPdfiKRyHKLnThBsWkkU8R6KtveXlkI_6vNQPVNQqG9lNE07mwCR8B2LIO6Kf_LaGpvPGOFdWecy30TKbwq9xAew6WnAlaTOQV4Kawk41AZkhMC-BsiQXqJN3FJjSDSJrgGNRACWa9_eWP9TV0r2jkBU_3gTxiZm5i-9E8dRZ-bRIVBhgNf5xRQQPzV1jAe2zrEAr1Cm82ln-A-9U-xjbL0wA.3UDBBXnRwYv7Yo_EuZJiLMk2XPsh_z8_T-R7VQB78JM&amp;dib_tag=se&amp;keywords=NUK%2BFirst%2BChoice%2B0-6&amp;qid=1758101198&amp;s=baby&amp;sprefix=nuk%2Bfirst%2Bchoice%2B0-6%2Cbaby%2C280&amp;sr=1-5&amp;th=1</t>
        </is>
      </c>
      <c r="L744" s="14" t="inlineStr">
        <is>
          <t>B005MAIZHI</t>
        </is>
      </c>
      <c r="M744" s="15" t="n"/>
      <c r="N744" s="15" t="n"/>
      <c r="O744" s="15" t="n">
        <v>8.9</v>
      </c>
      <c r="P744" s="15">
        <f>O744/1.19</f>
        <v/>
      </c>
      <c r="Q744" s="15">
        <f>O744-P744</f>
        <v/>
      </c>
      <c r="R744" s="15">
        <f>O744*0.15</f>
        <v/>
      </c>
      <c r="S744" s="15" t="n">
        <v>3.58</v>
      </c>
      <c r="T744" s="15">
        <f>S744*0.2</f>
        <v/>
      </c>
      <c r="U744" s="15" t="n">
        <v>0.400000000000002</v>
      </c>
      <c r="V744" s="15" t="n">
        <v>2</v>
      </c>
      <c r="W744" s="15">
        <f>V744*0.2</f>
        <v/>
      </c>
      <c r="X744" s="16">
        <f>O744-Q744-R744-S744-U744-V744+T744+W744</f>
        <v/>
      </c>
      <c r="Y744" s="14" t="n"/>
      <c r="Z744" s="15">
        <f>O744+1.5</f>
        <v/>
      </c>
      <c r="AA744" s="15" t="n"/>
      <c r="AB744" s="15" t="n"/>
      <c r="AC744" s="14" t="n"/>
      <c r="AD744" s="14" t="n"/>
      <c r="AE744" s="13" t="inlineStr">
        <is>
          <t>NOT_UPLOADED</t>
        </is>
      </c>
    </row>
    <row r="745" ht="16" customHeight="1">
      <c r="A745" s="17" t="n">
        <v>4008600169574</v>
      </c>
      <c r="B745" s="17" t="n">
        <v>4008600169574</v>
      </c>
      <c r="C745" s="13" t="n"/>
      <c r="D745" s="18" t="n"/>
      <c r="E745" s="18" t="inlineStr">
        <is>
          <t>BEB-40086001695741</t>
        </is>
      </c>
      <c r="F745" s="17" t="n">
        <v>10709245</v>
      </c>
      <c r="G745" s="18" t="inlineStr">
        <is>
          <t>BEBOLINO</t>
        </is>
      </c>
      <c r="H745" s="18" t="inlineStr">
        <is>
          <t>NUK</t>
        </is>
      </c>
      <c r="I745" s="18" t="inlineStr">
        <is>
          <t>NUK First Choice Teat, Latex Teats with Small Hole for Babies aged 0 – 6 Months transparent</t>
        </is>
      </c>
      <c r="J745" s="18" t="inlineStr">
        <is>
          <t>No</t>
        </is>
      </c>
      <c r="K745" s="18" t="inlineStr">
        <is>
          <t>https://www.amazon.de/-/en/First-Choice-Latex-Teats-Babies/dp/B00O6A4CFO/ref=sr_1_1?crid=1X3T6TUD6L50C&amp;dib=eyJ2IjoiMSJ9.F4jlCf-pUay7HTqc79OywQ.qPj5CiL3_QiIxdHym-D2zhZt3E26rplaufixQ72N2Yw&amp;dib_tag=se&amp;keywords=4008600169574&amp;qid=1758101015&amp;s=baby&amp;sprefix=4008600169574%2Cbaby%2C199&amp;sr=1-1&amp;th=1</t>
        </is>
      </c>
      <c r="L745" s="18" t="inlineStr">
        <is>
          <t>B00O6A4CFO</t>
        </is>
      </c>
      <c r="M745" s="19" t="n">
        <v>9.300000000000001</v>
      </c>
      <c r="N745" s="19" t="n"/>
      <c r="O745" s="19" t="n">
        <v>9.199999999999999</v>
      </c>
      <c r="P745" s="19">
        <f>O745/1.19</f>
        <v/>
      </c>
      <c r="Q745" s="19">
        <f>O745-P745</f>
        <v/>
      </c>
      <c r="R745" s="19">
        <f>O745*0.15</f>
        <v/>
      </c>
      <c r="S745" s="19" t="n">
        <v>3.58</v>
      </c>
      <c r="T745" s="19">
        <f>S745*0.2</f>
        <v/>
      </c>
      <c r="U745" s="19" t="n">
        <v>0.400000000000002</v>
      </c>
      <c r="V745" s="19" t="n">
        <v>2</v>
      </c>
      <c r="W745" s="19">
        <f>V745*0.2</f>
        <v/>
      </c>
      <c r="X745" s="16">
        <f>O745-Q745-R745-S745-U745-V745+T745+W745</f>
        <v/>
      </c>
      <c r="Y745" s="18" t="n"/>
      <c r="Z745" s="19">
        <f>O745+1.5</f>
        <v/>
      </c>
      <c r="AA745" s="19" t="n"/>
      <c r="AB745" s="19" t="n"/>
      <c r="AC745" s="18" t="n"/>
      <c r="AD745" s="18" t="n"/>
      <c r="AE745" s="13" t="inlineStr">
        <is>
          <t>NOT_UPLOADED</t>
        </is>
      </c>
    </row>
    <row r="746" ht="16" customHeight="1">
      <c r="A746" s="12" t="n">
        <v>4008600441632</v>
      </c>
      <c r="B746" s="12" t="n"/>
      <c r="C746" s="13" t="n"/>
      <c r="D746" s="14" t="inlineStr">
        <is>
          <t>Approval required</t>
        </is>
      </c>
      <c r="E746" s="14" t="n"/>
      <c r="F746" s="12" t="n">
        <v>10176335</v>
      </c>
      <c r="G746" s="14" t="inlineStr">
        <is>
          <t>BEBOLINO</t>
        </is>
      </c>
      <c r="H746" s="14" t="inlineStr">
        <is>
          <t>NUK</t>
        </is>
      </c>
      <c r="I746" s="14" t="inlineStr">
        <is>
          <t>NUK Star Silikon-Schnuller, kiefergerecht, 18-36 Monate, BPA-frei, 2 Stück, weiß &amp; grün</t>
        </is>
      </c>
      <c r="J746" s="14" t="inlineStr">
        <is>
          <t>No</t>
        </is>
      </c>
      <c r="K746" s="14" t="inlineStr">
        <is>
          <t>https://www.amazon.de/NUK-Silikon-Schnuller-kiefergerecht-Monate-BPA-frei/dp/B0DG8ZZVVC/ref=sr_1_1?__mk_de_DE=%C3%85M%C3%85%C5%BD%C3%95%C3%91&amp;dib=eyJ2IjoiMSJ9.1dwdq7ZHYTaSlIIqoB4LLg.Dbdv_qs9UyoKyl14QZoMn7vCOhwfLrtMIMXUpQ9cF-c&amp;dib_tag=se&amp;keywords=B0DG8ZZVVC&amp;qid=1756551235&amp;sr=8-1</t>
        </is>
      </c>
      <c r="L746" s="14" t="inlineStr">
        <is>
          <t>B0DG8ZZVVC</t>
        </is>
      </c>
      <c r="M746" s="15" t="n"/>
      <c r="N746" s="15" t="n"/>
      <c r="O746" s="15" t="n">
        <v>13</v>
      </c>
      <c r="P746" s="15">
        <f>O746/1.19</f>
        <v/>
      </c>
      <c r="Q746" s="15">
        <f>O746-P746</f>
        <v/>
      </c>
      <c r="R746" s="15">
        <f>O746*0.15</f>
        <v/>
      </c>
      <c r="S746" s="15" t="n">
        <v>4.91</v>
      </c>
      <c r="T746" s="15">
        <f>S746*0.2</f>
        <v/>
      </c>
      <c r="U746" s="15" t="n">
        <v>0.400000000000002</v>
      </c>
      <c r="V746" s="15" t="n">
        <v>2.2</v>
      </c>
      <c r="W746" s="15">
        <f>V746*0.2</f>
        <v/>
      </c>
      <c r="X746" s="21">
        <f>O746-Q746-R746-S746-U746-V746+T746+W746</f>
        <v/>
      </c>
      <c r="Y746" s="14" t="n"/>
      <c r="Z746" s="15">
        <f>O746+1.5</f>
        <v/>
      </c>
      <c r="AA746" s="15" t="n"/>
      <c r="AB746" s="15" t="n"/>
      <c r="AC746" s="14" t="n"/>
      <c r="AD746" s="14" t="n"/>
      <c r="AE746" s="13" t="inlineStr">
        <is>
          <t>NOT_UPLOADED</t>
        </is>
      </c>
    </row>
    <row r="747" ht="16" customHeight="1">
      <c r="A747" s="17" t="n">
        <v>4008600441601</v>
      </c>
      <c r="B747" s="17" t="n">
        <v>4008600441601</v>
      </c>
      <c r="C747" s="13" t="n"/>
      <c r="D747" s="18" t="inlineStr">
        <is>
          <t>ИЗЧЕРПАН</t>
        </is>
      </c>
      <c r="E747" s="18" t="inlineStr">
        <is>
          <t>BEB-4008600441601</t>
        </is>
      </c>
      <c r="F747" s="17" t="n">
        <v>10216017</v>
      </c>
      <c r="G747" s="18" t="inlineStr">
        <is>
          <t>BEBOLINO</t>
        </is>
      </c>
      <c r="H747" s="18" t="inlineStr">
        <is>
          <t>NUK</t>
        </is>
      </c>
      <c r="I747" s="18" t="inlineStr">
        <is>
          <t>NUK Perfect Match Babyflasche, mit weichem Silikon-Trinksauger, 260 ml, ab 3 Monate BPA-frei, Anti-Colic, mit Temperature Control, weiß</t>
        </is>
      </c>
      <c r="J747" s="18" t="inlineStr">
        <is>
          <t>No</t>
        </is>
      </c>
      <c r="K747" s="18" t="inlineStr">
        <is>
          <t>https://www.amazon.de/NUK-Babyflasche-Silikon-Trinksauger-Anti-Colic-Temperature/dp/B0DG934DJ2/ref=sr_1_1?__mk_de_DE=%C3%85M%C3%85%C5%BD%C3%95%C3%91&amp;crid=BK1NNU3SQS4N&amp;dib=eyJ2IjoiMSJ9.s7cLSO2WhXN6th0Vecs4wA.iy3hq0pq4U-NzYTOAhEAiCkQx-aGc_KAYZ7CgMqbfkk&amp;dib_tag=se&amp;keywords=B0DG934DJ2&amp;qid=1756551779&amp;sprefix=b0dg934dj2%2Caps%2C119&amp;sr=8-1</t>
        </is>
      </c>
      <c r="L747" s="18" t="inlineStr">
        <is>
          <t>B0DG934DJ2</t>
        </is>
      </c>
      <c r="M747" s="19" t="n"/>
      <c r="N747" s="19" t="n"/>
      <c r="O747" s="19" t="n">
        <v>16.07</v>
      </c>
      <c r="P747" s="19">
        <f>O747/1.19</f>
        <v/>
      </c>
      <c r="Q747" s="19">
        <f>O747-P747</f>
        <v/>
      </c>
      <c r="R747" s="19">
        <f>O747*0.15</f>
        <v/>
      </c>
      <c r="S747" s="19" t="n">
        <v>6.65</v>
      </c>
      <c r="T747" s="19">
        <f>S747*0.2</f>
        <v/>
      </c>
      <c r="U747" s="19" t="n">
        <v>0.400000000000002</v>
      </c>
      <c r="V747" s="19" t="n">
        <v>3</v>
      </c>
      <c r="W747" s="19">
        <f>V747*0.2</f>
        <v/>
      </c>
      <c r="X747" s="21">
        <f>O747-Q747-R747-S747-U747-V747+T747+W747</f>
        <v/>
      </c>
      <c r="Y747" s="18" t="n"/>
      <c r="Z747" s="19">
        <f>O747+1.5</f>
        <v/>
      </c>
      <c r="AA747" s="19" t="n"/>
      <c r="AB747" s="19" t="n"/>
      <c r="AC747" s="18" t="n"/>
      <c r="AD747" s="18" t="n"/>
      <c r="AE747" s="13" t="inlineStr">
        <is>
          <t>NOT_UPLOADED</t>
        </is>
      </c>
    </row>
    <row r="748" ht="16" customHeight="1">
      <c r="A748" s="12" t="n">
        <v>4008600398493</v>
      </c>
      <c r="B748" s="12" t="n">
        <v>4008600398493</v>
      </c>
      <c r="C748" s="13" t="n"/>
      <c r="D748" s="14" t="n"/>
      <c r="E748" s="14" t="inlineStr">
        <is>
          <t>BEB-4008600398493</t>
        </is>
      </c>
      <c r="F748" s="12" t="n">
        <v>10255607</v>
      </c>
      <c r="G748" s="14" t="inlineStr">
        <is>
          <t>BEBOLINO</t>
        </is>
      </c>
      <c r="H748" s="14" t="inlineStr">
        <is>
          <t>NUK</t>
        </is>
      </c>
      <c r="I748" s="14" t="inlineStr">
        <is>
          <t>NUK Mini Magic Cup Trinklernbecher | auslaufsicherer 360°-Trinkrand | ab 6 Monaten | praktische Griffe | BPA-frei | 160 ml | blaue Maus</t>
        </is>
      </c>
      <c r="J748" s="14" t="inlineStr">
        <is>
          <t>No</t>
        </is>
      </c>
      <c r="K748" s="14" t="inlineStr">
        <is>
          <t>https://www.amazon.de/NUK-Trinklernbecher-auslaufsicherer-360%C2%B0-Trinkrand-praktische/dp/B099RVYKNM/ref=sr_1_1?__mk_de_DE=%C3%85M%C3%85%C5%BD%C3%95%C3%91&amp;crid=12C7I70B1AWQ6&amp;dib=eyJ2IjoiMSJ9.SG9Qx2p6SB09unSzr7V0Iw.Ak0hRlKcgjG4L4rBzIqChaWHBB_AfKJS8uEpMOLG04o&amp;dib_tag=se&amp;keywords=B099RVYKNM&amp;qid=1756552569&amp;sprefix=b099rvyknm%2Caps%2C163&amp;sr=8-1&amp;th=1</t>
        </is>
      </c>
      <c r="L748" s="14" t="inlineStr">
        <is>
          <t>B099RVYKNM</t>
        </is>
      </c>
      <c r="M748" s="15" t="n"/>
      <c r="N748" s="15" t="n"/>
      <c r="O748" s="15" t="n">
        <v>15.3</v>
      </c>
      <c r="P748" s="15">
        <f>O748/1.19</f>
        <v/>
      </c>
      <c r="Q748" s="15">
        <f>O748-P748</f>
        <v/>
      </c>
      <c r="R748" s="15">
        <f>O748*0.15</f>
        <v/>
      </c>
      <c r="S748" s="15" t="n">
        <v>7.16</v>
      </c>
      <c r="T748" s="15">
        <f>S748*0.2</f>
        <v/>
      </c>
      <c r="U748" s="15" t="n">
        <v>0.400000000000002</v>
      </c>
      <c r="V748" s="15" t="n">
        <v>3.1</v>
      </c>
      <c r="W748" s="15">
        <f>V748*0.2</f>
        <v/>
      </c>
      <c r="X748" s="16">
        <f>O748-Q748-R748-S748-U748-V748+T748+W748</f>
        <v/>
      </c>
      <c r="Y748" s="14" t="n"/>
      <c r="Z748" s="15">
        <f>O748+1.5</f>
        <v/>
      </c>
      <c r="AA748" s="15" t="n"/>
      <c r="AB748" s="15" t="n"/>
      <c r="AC748" s="14" t="n"/>
      <c r="AD748" s="14" t="n"/>
      <c r="AE748" s="13" t="inlineStr">
        <is>
          <t>NOT_UPLOADED</t>
        </is>
      </c>
    </row>
    <row r="749" ht="16" customHeight="1">
      <c r="A749" s="17" t="n">
        <v>4008600441694</v>
      </c>
      <c r="B749" s="17" t="n">
        <v>4008600441694</v>
      </c>
      <c r="C749" s="13" t="n"/>
      <c r="D749" s="18" t="n"/>
      <c r="E749" s="18" t="inlineStr">
        <is>
          <t>BEB-4008600441694</t>
        </is>
      </c>
      <c r="F749" s="17" t="n">
        <v>10255009</v>
      </c>
      <c r="G749" s="18" t="inlineStr">
        <is>
          <t>BEBOLINO</t>
        </is>
      </c>
      <c r="H749" s="18" t="inlineStr">
        <is>
          <t>NUK</t>
        </is>
      </c>
      <c r="I749" s="18" t="inlineStr">
        <is>
          <t>NUK Magic Cup 230ml, 360°-Trinkrand, abdichtende Silikonscheibe, ab 8 Monaten, BPA frei, türkis</t>
        </is>
      </c>
      <c r="J749" s="18" t="inlineStr">
        <is>
          <t>No</t>
        </is>
      </c>
      <c r="K749" s="18" t="inlineStr">
        <is>
          <t>https://www.amazon.de/NUK-360%C2%B0-Trinkrand-abdichtende-Silikonscheibe-Monaten/dp/B0DG8ZMRPF/ref=sr_1_1?__mk_de_DE=%C3%85M%C3%85%C5%BD%C3%95%C3%91&amp;crid=OMWSXHALL3GB&amp;dib=eyJ2IjoiMSJ9.QyjNwpXHotKRDMoUkcKN_A.46B3sa1GpW_iRo06C50BL_r4oy5joRO9JZpyZNMXNLc&amp;dib_tag=se&amp;keywords=B0DG8ZMRPF&amp;qid=1756553186&amp;sprefix=b0dg8zmrpf%2Caps%2C170&amp;sr=8-1</t>
        </is>
      </c>
      <c r="L749" s="18" t="inlineStr">
        <is>
          <t>B0DG8ZMRPF</t>
        </is>
      </c>
      <c r="M749" s="19" t="n"/>
      <c r="N749" s="19" t="n"/>
      <c r="O749" s="19" t="n">
        <v>15.3</v>
      </c>
      <c r="P749" s="19">
        <f>O749/1.19</f>
        <v/>
      </c>
      <c r="Q749" s="19">
        <f>O749-P749</f>
        <v/>
      </c>
      <c r="R749" s="19">
        <f>O749*0.15</f>
        <v/>
      </c>
      <c r="S749" s="19" t="n">
        <v>6.24</v>
      </c>
      <c r="T749" s="19">
        <f>S749*0.2</f>
        <v/>
      </c>
      <c r="U749" s="19" t="n">
        <v>0.400000000000002</v>
      </c>
      <c r="V749" s="19" t="n">
        <v>3.15</v>
      </c>
      <c r="W749" s="19">
        <f>V749*0.2</f>
        <v/>
      </c>
      <c r="X749" s="21">
        <f>O749-Q749-R749-S749-U749-V749+T749+W749</f>
        <v/>
      </c>
      <c r="Y749" s="18" t="n"/>
      <c r="Z749" s="19">
        <f>O749+1.5</f>
        <v/>
      </c>
      <c r="AA749" s="19" t="n"/>
      <c r="AB749" s="19" t="n"/>
      <c r="AC749" s="18" t="n"/>
      <c r="AD749" s="18" t="n"/>
      <c r="AE749" s="13" t="inlineStr">
        <is>
          <t>NOT_UPLOADED</t>
        </is>
      </c>
    </row>
    <row r="750" ht="16" customHeight="1">
      <c r="A750" s="12" t="n">
        <v>4008600441618</v>
      </c>
      <c r="B750" s="12" t="n">
        <v>4008600441618</v>
      </c>
      <c r="C750" s="13" t="n"/>
      <c r="D750" s="14" t="n"/>
      <c r="E750" s="14" t="inlineStr">
        <is>
          <t>BEB-4008600441618</t>
        </is>
      </c>
      <c r="F750" s="12" t="n">
        <v>10255011</v>
      </c>
      <c r="G750" s="14" t="inlineStr">
        <is>
          <t>BEBOLINO</t>
        </is>
      </c>
      <c r="H750" s="14" t="inlineStr">
        <is>
          <t>NUK</t>
        </is>
      </c>
      <c r="I750" s="14" t="inlineStr">
        <is>
          <t>NUK Mini-Me Flip Cup, mit nicht zerbeißbarem 2in1 Trinkaufsatz, auslaufsicher, 450 ml, ab 12 Monaten, BPA frei, 1 Stück, grün</t>
        </is>
      </c>
      <c r="J750" s="14" t="inlineStr">
        <is>
          <t>No</t>
        </is>
      </c>
      <c r="K750" s="14" t="inlineStr">
        <is>
          <t>https://www.amazon.de/NUK-Mini-Me-zerbei%C3%9Fbarem-Trinkaufsatz-auslaufsicher/dp/B0DG955LRF/ref=sr_1_1?__mk_de_DE=%C3%85M%C3%85%C5%BD%C3%95%C3%91&amp;crid=3PEYEP9YEZ99O&amp;dib=eyJ2IjoiMSJ9.GgA7ccqYV-Kes2MO-3flrA.qtIRfUGUhanUWcn7H4vfa_KfgnUAqzv3tE_q6qNWgQQ&amp;dib_tag=se&amp;keywords=B0DG955LRF&amp;qid=1756553913&amp;sprefix=b0dg955lrf%2Caps%2C82&amp;sr=8-1</t>
        </is>
      </c>
      <c r="L750" s="14" t="inlineStr">
        <is>
          <t>B0DG955LRF</t>
        </is>
      </c>
      <c r="M750" s="15" t="n"/>
      <c r="N750" s="15" t="n"/>
      <c r="O750" s="15" t="n">
        <v>17.2</v>
      </c>
      <c r="P750" s="15">
        <f>O750/1.19</f>
        <v/>
      </c>
      <c r="Q750" s="15">
        <f>O750-P750</f>
        <v/>
      </c>
      <c r="R750" s="15">
        <f>O750*0.15</f>
        <v/>
      </c>
      <c r="S750" s="15" t="n">
        <v>7.88</v>
      </c>
      <c r="T750" s="15">
        <f>S750*0.2</f>
        <v/>
      </c>
      <c r="U750" s="15" t="n">
        <v>0.400000000000002</v>
      </c>
      <c r="V750" s="15" t="n">
        <v>3.5</v>
      </c>
      <c r="W750" s="15">
        <f>V750*0.2</f>
        <v/>
      </c>
      <c r="X750" s="21">
        <f>O750-Q750-R750-S750-U750-V750+T750+W750</f>
        <v/>
      </c>
      <c r="Y750" s="14" t="n"/>
      <c r="Z750" s="15">
        <f>O750+1.5</f>
        <v/>
      </c>
      <c r="AA750" s="15" t="n"/>
      <c r="AB750" s="15" t="n"/>
      <c r="AC750" s="14" t="n"/>
      <c r="AD750" s="14" t="n"/>
      <c r="AE750" s="13" t="inlineStr">
        <is>
          <t>NOT_UPLOADED</t>
        </is>
      </c>
    </row>
    <row r="751" ht="16" customHeight="1">
      <c r="A751" s="17" t="n">
        <v>4008600398455</v>
      </c>
      <c r="B751" s="17" t="n">
        <v>4008600398455</v>
      </c>
      <c r="C751" s="13" t="n"/>
      <c r="D751" s="18" t="n"/>
      <c r="E751" s="18" t="inlineStr">
        <is>
          <t>BEB-4008600398455</t>
        </is>
      </c>
      <c r="F751" s="17" t="n">
        <v>10255606</v>
      </c>
      <c r="G751" s="18" t="inlineStr">
        <is>
          <t>BEBOLINO</t>
        </is>
      </c>
      <c r="H751" s="18" t="inlineStr">
        <is>
          <t>NUK</t>
        </is>
      </c>
      <c r="I751" s="18" t="inlineStr">
        <is>
          <t>NUK Mini Magic Cup Trinklernbecher | auslaufsicherer 360°-Trinkrand | ab 6 Monaten | praktische Griffe | BPA-frei | 160 ml | rote Rollschuhe</t>
        </is>
      </c>
      <c r="J751" s="18" t="inlineStr">
        <is>
          <t>No</t>
        </is>
      </c>
      <c r="K751" s="18" t="inlineStr">
        <is>
          <t>https://www.amazon.de/NUK-Trinklernbecher-auslaufsicherer-360%C2%B0-Trinkrand-praktische/dp/B099RVFT7V/ref=sr_1_1?__mk_de_DE=%C3%85M%C3%85%C5%BD%C3%95%C3%91&amp;crid=12C7I70B1AWQ6&amp;dib=eyJ2IjoiMSJ9.SG9Qx2p6SB09unSzr7V0Iw.Ak0hRlKcgjG4L4rBzIqChaWHBB_AfKJS8uEpMOLG04o&amp;dib_tag=se&amp;keywords=B099RVYKNM&amp;qid=1756552569&amp;sprefix=b099rvyknm%2Caps%2C163&amp;sr=8-1&amp;th=1</t>
        </is>
      </c>
      <c r="L751" s="18" t="inlineStr">
        <is>
          <t>B099RVFT7V</t>
        </is>
      </c>
      <c r="M751" s="19" t="n"/>
      <c r="N751" s="19" t="n">
        <v>16.29</v>
      </c>
      <c r="O751" s="19" t="n">
        <v>15.7</v>
      </c>
      <c r="P751" s="19">
        <f>O751/1.19</f>
        <v/>
      </c>
      <c r="Q751" s="19">
        <f>O751-P751</f>
        <v/>
      </c>
      <c r="R751" s="19">
        <f>O751*0.15</f>
        <v/>
      </c>
      <c r="S751" s="19" t="n">
        <v>7.16</v>
      </c>
      <c r="T751" s="19">
        <f>S751*0.2</f>
        <v/>
      </c>
      <c r="U751" s="19" t="n">
        <v>0.400000000000002</v>
      </c>
      <c r="V751" s="19" t="n">
        <v>3.1</v>
      </c>
      <c r="W751" s="19">
        <f>V751*0.2</f>
        <v/>
      </c>
      <c r="X751" s="21">
        <f>O751-Q751-R751-S751-U751-V751+T751+W751</f>
        <v/>
      </c>
      <c r="Y751" s="18" t="n"/>
      <c r="Z751" s="19">
        <f>O751+1.5</f>
        <v/>
      </c>
      <c r="AA751" s="19" t="n"/>
      <c r="AB751" s="19" t="n"/>
      <c r="AC751" s="18" t="n"/>
      <c r="AD751" s="18" t="n"/>
      <c r="AE751" s="13" t="inlineStr">
        <is>
          <t>NOT_UPLOADED</t>
        </is>
      </c>
    </row>
    <row r="752" ht="16" customHeight="1">
      <c r="A752" s="12" t="n">
        <v>4008600398479</v>
      </c>
      <c r="B752" s="12" t="n">
        <v>4008600398479</v>
      </c>
      <c r="C752" s="13" t="n"/>
      <c r="D752" s="14" t="n"/>
      <c r="E752" s="14" t="inlineStr">
        <is>
          <t>BEB-4008600398479</t>
        </is>
      </c>
      <c r="F752" s="12" t="n">
        <v>10255605</v>
      </c>
      <c r="G752" s="14" t="inlineStr">
        <is>
          <t>BEBOLINO</t>
        </is>
      </c>
      <c r="H752" s="14" t="inlineStr">
        <is>
          <t>NUK</t>
        </is>
      </c>
      <c r="I752" s="14" t="inlineStr">
        <is>
          <t>NUK Mini Magic Cup Trinklernbecher | auslaufsicherer 360°-Trinkrand | ab 6 Monaten | praktische Griffe | BPA-frei | 160 ml | blauer Marienkäfer</t>
        </is>
      </c>
      <c r="J752" s="14" t="inlineStr">
        <is>
          <t>No</t>
        </is>
      </c>
      <c r="K752" s="14" t="inlineStr">
        <is>
          <t>https://www.amazon.de/NUK-Trinklernbecher-auslaufsicherer-360%C2%B0-Trinkrand-praktische/dp/B099RW8H2C/ref=sr_1_1?__mk_de_DE=%C3%85M%C3%85%C5%BD%C3%95%C3%91&amp;crid=12C7I70B1AWQ6&amp;dib=eyJ2IjoiMSJ9.SG9Qx2p6SB09unSzr7V0Iw.Ak0hRlKcgjG4L4rBzIqChaWHBB_AfKJS8uEpMOLG04o&amp;dib_tag=se&amp;keywords=B099RVYKNM&amp;qid=1756552569&amp;sprefix=b099rvyknm%2Caps%2C163&amp;sr=8-1&amp;th=1</t>
        </is>
      </c>
      <c r="L752" s="14" t="inlineStr">
        <is>
          <t>B099RW8H2C</t>
        </is>
      </c>
      <c r="M752" s="15" t="n"/>
      <c r="N752" s="15" t="n"/>
      <c r="O752" s="15" t="n">
        <v>15.75</v>
      </c>
      <c r="P752" s="15">
        <f>O752/1.19</f>
        <v/>
      </c>
      <c r="Q752" s="15">
        <f>O752-P752</f>
        <v/>
      </c>
      <c r="R752" s="15">
        <f>O752*0.15</f>
        <v/>
      </c>
      <c r="S752" s="15" t="n">
        <v>7.16</v>
      </c>
      <c r="T752" s="15">
        <f>S752*0.2</f>
        <v/>
      </c>
      <c r="U752" s="15" t="n">
        <v>0.400000000000002</v>
      </c>
      <c r="V752" s="15" t="n">
        <v>3.1</v>
      </c>
      <c r="W752" s="15">
        <f>V752*0.2</f>
        <v/>
      </c>
      <c r="X752" s="21">
        <f>O752-Q752-R752-S752-U752-V752+T752+W752</f>
        <v/>
      </c>
      <c r="Y752" s="14" t="n"/>
      <c r="Z752" s="15">
        <f>O752+1.5</f>
        <v/>
      </c>
      <c r="AA752" s="15" t="n"/>
      <c r="AB752" s="15" t="n"/>
      <c r="AC752" s="14" t="n"/>
      <c r="AD752" s="14" t="n"/>
      <c r="AE752" s="13" t="inlineStr">
        <is>
          <t>NOT_UPLOADED</t>
        </is>
      </c>
    </row>
    <row r="753" ht="16" customHeight="1">
      <c r="A753" s="17" t="n">
        <v>4008600406150</v>
      </c>
      <c r="B753" s="17" t="n">
        <v>4008600398493</v>
      </c>
      <c r="C753" s="20" t="inlineStr">
        <is>
          <t>PACK X 2</t>
        </is>
      </c>
      <c r="D753" s="18" t="n"/>
      <c r="E753" s="18" t="inlineStr">
        <is>
          <t>BEB-4008600406150</t>
        </is>
      </c>
      <c r="F753" s="17" t="n">
        <v>10255607</v>
      </c>
      <c r="G753" s="18" t="inlineStr">
        <is>
          <t>BEBOLINO</t>
        </is>
      </c>
      <c r="H753" s="18" t="inlineStr">
        <is>
          <t>NUK</t>
        </is>
      </c>
      <c r="I753" s="18" t="inlineStr">
        <is>
          <t>NUK Mini Magic Cup Trinklernbecher | auslaufsicherer 360°-Trinkrand | ab 6 Monaten | praktische Griffe | BPA-frei | 160 ml | neutral | 2 Stück</t>
        </is>
      </c>
      <c r="J753" s="18" t="inlineStr">
        <is>
          <t>No</t>
        </is>
      </c>
      <c r="K753" s="18" t="inlineStr">
        <is>
          <t>https://www.amazon.de/NUK-Trinklernbecher-auslaufsicherer-360%C2%B0-Trinkrand-praktische/dp/B099RW4JJ9/ref=sr_1_1?__mk_de_DE=%C3%85M%C3%85%C5%BD%C3%95%C3%91&amp;crid=12C7I70B1AWQ6&amp;dib=eyJ2IjoiMSJ9.SG9Qx2p6SB09unSzr7V0Iw.Ak0hRlKcgjG4L4rBzIqChaWHBB_AfKJS8uEpMOLG04o&amp;dib_tag=se&amp;keywords=B099RVYKNM&amp;qid=1756552569&amp;sprefix=b099rvyknm%2Caps%2C163&amp;sr=8-1&amp;th=1</t>
        </is>
      </c>
      <c r="L753" s="18" t="inlineStr">
        <is>
          <t>B099RW4JJ9</t>
        </is>
      </c>
      <c r="M753" s="19" t="n"/>
      <c r="N753" s="19" t="n"/>
      <c r="O753" s="19" t="n">
        <v>25.7</v>
      </c>
      <c r="P753" s="19">
        <f>O753/1.19</f>
        <v/>
      </c>
      <c r="Q753" s="19">
        <f>O753-P753</f>
        <v/>
      </c>
      <c r="R753" s="19">
        <f>O753*0.15</f>
        <v/>
      </c>
      <c r="S753" s="19" t="n">
        <v>14.32</v>
      </c>
      <c r="T753" s="19">
        <f>S753*0.2</f>
        <v/>
      </c>
      <c r="U753" s="19" t="n">
        <v>0.400000000000002</v>
      </c>
      <c r="V753" s="19" t="n">
        <v>4</v>
      </c>
      <c r="W753" s="19">
        <f>V753*0.2</f>
        <v/>
      </c>
      <c r="X753" s="21">
        <f>O753-Q753-R753-S753-U753-V753+T753+W753</f>
        <v/>
      </c>
      <c r="Y753" s="18" t="n"/>
      <c r="Z753" s="19">
        <f>O753+1.5</f>
        <v/>
      </c>
      <c r="AA753" s="19" t="n"/>
      <c r="AB753" s="19" t="n"/>
      <c r="AC753" s="18" t="n"/>
      <c r="AD753" s="18" t="n"/>
      <c r="AE753" s="13" t="inlineStr">
        <is>
          <t>NOT_UPLOADED</t>
        </is>
      </c>
    </row>
    <row r="754" ht="16" customHeight="1">
      <c r="A754" s="12" t="n">
        <v>4008600208709</v>
      </c>
      <c r="B754" s="12" t="n">
        <v>4008600208709</v>
      </c>
      <c r="C754" s="13" t="n"/>
      <c r="D754" s="14" t="inlineStr">
        <is>
          <t>Approval required for DE</t>
        </is>
      </c>
      <c r="E754" s="14" t="inlineStr">
        <is>
          <t>BEB-4008600208709</t>
        </is>
      </c>
      <c r="F754" s="12" t="n">
        <v>10701236</v>
      </c>
      <c r="G754" s="14" t="inlineStr">
        <is>
          <t>BEBOLINO</t>
        </is>
      </c>
      <c r="H754" s="14" t="inlineStr">
        <is>
          <t>NUK</t>
        </is>
      </c>
      <c r="I754" s="14" t="inlineStr">
        <is>
          <t>NUK First Choice+ Baby Bottle Teat, 0-6 Months, Latex with Medium Feed Hole, Anti-Colic, 2 Count</t>
        </is>
      </c>
      <c r="J754" s="14" t="inlineStr">
        <is>
          <t>No</t>
        </is>
      </c>
      <c r="K754" s="14" t="inlineStr">
        <is>
          <t>https://www.amazon.de/-/en/Choice-Bottle-Months-Medium-Anti-Colic/dp/B0013NFOS6/ref=sr_1_1_mod_primary_new?crid=2U23OCI0HY3DQ&amp;dib=eyJ2IjoiMSJ9.BLIy3wtaHlU_I2I-e7Q7fw.nELRh1t3IMDTHpy5xQJSNJ1hU76_0BSioYTj3tSQJfo&amp;dib_tag=se&amp;keywords=4008600208709&amp;qid=1756718675&amp;sbo=RZvfv%2F%2FHxDF%2BO5021pAnSA%3D%3D&amp;sprefix=4008600208709%2Caps%2C331&amp;sr=8-1&amp;th=1</t>
        </is>
      </c>
      <c r="L754" s="14" t="inlineStr">
        <is>
          <t>B0013NFOS6</t>
        </is>
      </c>
      <c r="M754" s="15" t="n"/>
      <c r="N754" s="15" t="n"/>
      <c r="O754" s="15" t="n">
        <v>7.65</v>
      </c>
      <c r="P754" s="15">
        <f>O754/1.19</f>
        <v/>
      </c>
      <c r="Q754" s="15">
        <f>O754-P754</f>
        <v/>
      </c>
      <c r="R754" s="15">
        <f>O754*0.15</f>
        <v/>
      </c>
      <c r="S754" s="15" t="n">
        <v>2.82</v>
      </c>
      <c r="T754" s="15">
        <f>S754*0.2</f>
        <v/>
      </c>
      <c r="U754" s="15" t="n">
        <v>0.400000000000002</v>
      </c>
      <c r="V754" s="15" t="n">
        <v>2</v>
      </c>
      <c r="W754" s="15">
        <f>V754*0.2</f>
        <v/>
      </c>
      <c r="X754" s="16">
        <f>O754-Q754-R754-S754-U754-V754+T754+W754</f>
        <v/>
      </c>
      <c r="Y754" s="14" t="n"/>
      <c r="Z754" s="15">
        <f>O754+1.5</f>
        <v/>
      </c>
      <c r="AA754" s="15" t="n"/>
      <c r="AB754" s="15" t="n"/>
      <c r="AC754" s="14" t="n"/>
      <c r="AD754" s="14" t="n"/>
      <c r="AE754" s="13" t="inlineStr">
        <is>
          <t>NOT_UPLOADED</t>
        </is>
      </c>
    </row>
    <row r="755" ht="16" customHeight="1">
      <c r="A755" s="17" t="n"/>
      <c r="B755" s="17" t="n">
        <v>4008600208983</v>
      </c>
      <c r="C755" s="13" t="n"/>
      <c r="D755" s="18" t="inlineStr">
        <is>
          <t>Approval required for DE</t>
        </is>
      </c>
      <c r="E755" s="18" t="inlineStr">
        <is>
          <t>BEB-4008600208983</t>
        </is>
      </c>
      <c r="F755" s="17" t="n">
        <v>10701236</v>
      </c>
      <c r="G755" s="18" t="inlineStr">
        <is>
          <t>BEBOLINO</t>
        </is>
      </c>
      <c r="H755" s="18" t="inlineStr">
        <is>
          <t>NUK</t>
        </is>
      </c>
      <c r="I755" s="18" t="inlineStr">
        <is>
          <t>NUK First Choice+ Baby Bottle Teat, 6-18 Months, Latex with Large Feed Hole, Anti-Colic, 2 Count</t>
        </is>
      </c>
      <c r="J755" s="18" t="inlineStr">
        <is>
          <t>No</t>
        </is>
      </c>
      <c r="K755" s="18" t="inlineStr">
        <is>
          <t>https://www.amazon.de/-/en/Choice-Bottle-Months-Medium-Anti-Colic/dp/B00VY5MQ84/ref=sr_1_1_mod_primary_new?crid=2U23OCI0HY3DQ&amp;dib=eyJ2IjoiMSJ9.BLIy3wtaHlU_I2I-e7Q7fw.nELRh1t3IMDTHpy5xQJSNJ1hU76_0BSioYTj3tSQJfo&amp;dib_tag=se&amp;keywords=4008600208709&amp;qid=1756718675&amp;sbo=RZvfv%2F%2FHxDF%2BO5021pAnSA%3D%3D&amp;sprefix=4008600208709%2Caps%2C331&amp;sr=8-1&amp;th=1</t>
        </is>
      </c>
      <c r="L755" s="18" t="inlineStr">
        <is>
          <t>B00VY5MQ84</t>
        </is>
      </c>
      <c r="M755" s="19" t="n"/>
      <c r="N755" s="19" t="n"/>
      <c r="O755" s="19" t="n">
        <v>7.65</v>
      </c>
      <c r="P755" s="19">
        <f>O755/1.19</f>
        <v/>
      </c>
      <c r="Q755" s="19">
        <f>O755-P755</f>
        <v/>
      </c>
      <c r="R755" s="19">
        <f>O755*0.15</f>
        <v/>
      </c>
      <c r="S755" s="19" t="n">
        <v>2.82</v>
      </c>
      <c r="T755" s="19">
        <f>S755*0.2</f>
        <v/>
      </c>
      <c r="U755" s="19" t="n">
        <v>0.400000000000002</v>
      </c>
      <c r="V755" s="19" t="n">
        <v>2</v>
      </c>
      <c r="W755" s="19">
        <f>V755*0.2</f>
        <v/>
      </c>
      <c r="X755" s="16">
        <f>O755-Q755-R755-S755-U755-V755+T755+W755</f>
        <v/>
      </c>
      <c r="Y755" s="18" t="n"/>
      <c r="Z755" s="19">
        <f>O755+1.5</f>
        <v/>
      </c>
      <c r="AA755" s="19" t="n"/>
      <c r="AB755" s="19" t="n"/>
      <c r="AC755" s="18" t="n"/>
      <c r="AD755" s="18" t="n"/>
      <c r="AE755" s="13" t="inlineStr">
        <is>
          <t>NOT_UPLOADED</t>
        </is>
      </c>
    </row>
    <row r="756" ht="16" customHeight="1">
      <c r="A756" s="12" t="n">
        <v>4008600208693</v>
      </c>
      <c r="B756" s="12" t="n">
        <v>4008600208693</v>
      </c>
      <c r="C756" s="13" t="n"/>
      <c r="D756" s="14" t="n"/>
      <c r="E756" s="14" t="inlineStr">
        <is>
          <t>BEB-4008600208693</t>
        </is>
      </c>
      <c r="F756" s="12" t="n">
        <v>10713242</v>
      </c>
      <c r="G756" s="14" t="inlineStr">
        <is>
          <t>BEBOLINO</t>
        </is>
      </c>
      <c r="H756" s="14" t="inlineStr">
        <is>
          <t>NUK</t>
        </is>
      </c>
      <c r="I756" s="14" t="inlineStr">
        <is>
          <t>NUK First Choice+ Latex Teats Size 2 Medium 6-18 Months (Pack of 2)</t>
        </is>
      </c>
      <c r="J756" s="14" t="inlineStr">
        <is>
          <t>No</t>
        </is>
      </c>
      <c r="K756" s="14" t="inlineStr">
        <is>
          <t>https://www.amazon.de/-/en/First-Choice-Latex-Medium-Months/dp/B014G545T6/ref=sr_1_1?crid=175J5S1B8WBFZ&amp;dib=eyJ2IjoiMSJ9._4rRAIe1muyfNTA4HPP49SGRlearrYWMcqYFgewV9u8.bRJaYd63wlNTp2Zq8fdtKcFMePLmY7_1dhzNAN9WuZs&amp;dib_tag=se&amp;keywords=4008600208693&amp;qid=1756719253&amp;sprefix=4008600208693%2Caps%2C188&amp;sr=8-1</t>
        </is>
      </c>
      <c r="L756" s="14" t="inlineStr">
        <is>
          <t>B014G545T6</t>
        </is>
      </c>
      <c r="M756" s="15" t="n"/>
      <c r="N756" s="15" t="n"/>
      <c r="O756" s="15" t="n">
        <v>8</v>
      </c>
      <c r="P756" s="15">
        <f>O756/1.19</f>
        <v/>
      </c>
      <c r="Q756" s="15">
        <f>O756-P756</f>
        <v/>
      </c>
      <c r="R756" s="15">
        <f>O756*0.15</f>
        <v/>
      </c>
      <c r="S756" s="15" t="n">
        <v>2.82</v>
      </c>
      <c r="T756" s="15">
        <f>S756*0.2</f>
        <v/>
      </c>
      <c r="U756" s="15" t="n">
        <v>0.400000000000002</v>
      </c>
      <c r="V756" s="15" t="n">
        <v>2</v>
      </c>
      <c r="W756" s="15">
        <f>V756*0.2</f>
        <v/>
      </c>
      <c r="X756" s="16">
        <f>O756-Q756-R756-S756-U756-V756+T756+W756</f>
        <v/>
      </c>
      <c r="Y756" s="14" t="n"/>
      <c r="Z756" s="15">
        <f>O756+1.5</f>
        <v/>
      </c>
      <c r="AA756" s="15" t="n"/>
      <c r="AB756" s="15" t="n"/>
      <c r="AC756" s="14" t="n"/>
      <c r="AD756" s="14" t="n"/>
      <c r="AE756" s="13" t="inlineStr">
        <is>
          <t>NOT_UPLOADED</t>
        </is>
      </c>
    </row>
    <row r="757" ht="16" customHeight="1">
      <c r="A757" s="17" t="n">
        <v>4008600208693</v>
      </c>
      <c r="B757" s="17" t="n">
        <v>4008600208693</v>
      </c>
      <c r="C757" s="13" t="n"/>
      <c r="D757" s="18" t="n"/>
      <c r="E757" s="18" t="inlineStr">
        <is>
          <t>BEBO-4008600208693</t>
        </is>
      </c>
      <c r="F757" s="17" t="n">
        <v>10713242</v>
      </c>
      <c r="G757" s="18" t="inlineStr">
        <is>
          <t>BEBOLINO</t>
        </is>
      </c>
      <c r="H757" s="18" t="inlineStr">
        <is>
          <t>NUK</t>
        </is>
      </c>
      <c r="I757" s="18" t="inlineStr">
        <is>
          <t>NUK First Choice+ Baby Bottle Teat, 6-18 Months, Latex with Medium Feed Hole, Anti-Colic, 2 Count</t>
        </is>
      </c>
      <c r="J757" s="18" t="inlineStr">
        <is>
          <t>No</t>
        </is>
      </c>
      <c r="K757" s="18" t="inlineStr">
        <is>
          <t>https://www.amazon.de/-/en/Choice-Bottle-Months-Medium-Anti-Colic/dp/B006I5JOV2/ref=sr_1_2?crid=175J5S1B8WBFZ&amp;dib=eyJ2IjoiMSJ9._4rRAIe1muyfNTA4HPP49SGRlearrYWMcqYFgewV9u8.bRJaYd63wlNTp2Zq8fdtKcFMePLmY7_1dhzNAN9WuZs&amp;dib_tag=se&amp;keywords=4008600208693&amp;qid=1756719253&amp;sprefix=4008600208693%2Caps%2C188&amp;sr=8-2</t>
        </is>
      </c>
      <c r="L757" s="18" t="inlineStr">
        <is>
          <t>B006I5JOV2</t>
        </is>
      </c>
      <c r="M757" s="19" t="n"/>
      <c r="N757" s="19" t="n"/>
      <c r="O757" s="19" t="n">
        <v>7.95</v>
      </c>
      <c r="P757" s="19">
        <f>O757/1.19</f>
        <v/>
      </c>
      <c r="Q757" s="19">
        <f>O757-P757</f>
        <v/>
      </c>
      <c r="R757" s="19">
        <f>O757*0.15</f>
        <v/>
      </c>
      <c r="S757" s="19" t="n">
        <v>2.82</v>
      </c>
      <c r="T757" s="19">
        <f>S757*0.2</f>
        <v/>
      </c>
      <c r="U757" s="19" t="n">
        <v>0.400000000000002</v>
      </c>
      <c r="V757" s="19" t="n">
        <v>2</v>
      </c>
      <c r="W757" s="19">
        <f>V757*0.2</f>
        <v/>
      </c>
      <c r="X757" s="16">
        <f>O757-Q757-R757-S757-U757-V757+T757+W757</f>
        <v/>
      </c>
      <c r="Y757" s="18" t="n"/>
      <c r="Z757" s="19">
        <f>O757+1.5</f>
        <v/>
      </c>
      <c r="AA757" s="19" t="n"/>
      <c r="AB757" s="19" t="n"/>
      <c r="AC757" s="18" t="n"/>
      <c r="AD757" s="18" t="n"/>
      <c r="AE757" s="13" t="inlineStr">
        <is>
          <t>NOT_UPLOADED</t>
        </is>
      </c>
    </row>
    <row r="758" ht="16" customHeight="1">
      <c r="A758" s="12" t="n">
        <v>4008600169512</v>
      </c>
      <c r="B758" s="12" t="n">
        <v>4008600169512</v>
      </c>
      <c r="C758" s="13" t="n"/>
      <c r="D758" s="14" t="inlineStr">
        <is>
          <t>Approval required for DE</t>
        </is>
      </c>
      <c r="E758" s="14" t="inlineStr">
        <is>
          <t>BEB-4008600169512</t>
        </is>
      </c>
      <c r="F758" s="12" t="n">
        <v>10709244</v>
      </c>
      <c r="G758" s="14" t="inlineStr">
        <is>
          <t>BEBOLINO</t>
        </is>
      </c>
      <c r="H758" s="14" t="inlineStr">
        <is>
          <t>NUK</t>
        </is>
      </c>
      <c r="I758" s="14" t="inlineStr">
        <is>
          <t>NUK First Choice+ Baby Bottle Teat, 0-6 Months, Silicone with Small Feed Hole, Anti-Colic, 2 Count</t>
        </is>
      </c>
      <c r="J758" s="14" t="inlineStr">
        <is>
          <t>No</t>
        </is>
      </c>
      <c r="K758" s="14" t="inlineStr">
        <is>
          <t>https://www.amazon.de/-/en/Choice-Bottle-Months-Silicone-Anti-Colic/dp/B00NQ65RB2/ref=sr_1_1?crid=KRYAXK9T0331&amp;dib=eyJ2IjoiMSJ9.Z7rrb8_livsiZVvd1LTpqA.rgWJqGMczZBF3h3vw_B-hRZVZl9cR50DMMlKEfgD0R8&amp;dib_tag=se&amp;keywords=4008600169512&amp;qid=1756719485&amp;sprefix=4008600169512%2Caps%2C231&amp;sr=8-1&amp;th=1</t>
        </is>
      </c>
      <c r="L758" s="14" t="inlineStr">
        <is>
          <t>B00NQ65RB2</t>
        </is>
      </c>
      <c r="M758" s="15" t="n"/>
      <c r="N758" s="15" t="n"/>
      <c r="O758" s="15" t="n">
        <v>9</v>
      </c>
      <c r="P758" s="15">
        <f>O758/1.19</f>
        <v/>
      </c>
      <c r="Q758" s="15">
        <f>O758-P758</f>
        <v/>
      </c>
      <c r="R758" s="15">
        <f>O758*0.15</f>
        <v/>
      </c>
      <c r="S758" s="15" t="n">
        <v>3.58</v>
      </c>
      <c r="T758" s="15">
        <f>S758*0.2</f>
        <v/>
      </c>
      <c r="U758" s="15" t="n">
        <v>0.400000000000002</v>
      </c>
      <c r="V758" s="15" t="n">
        <v>2</v>
      </c>
      <c r="W758" s="15">
        <f>V758*0.2</f>
        <v/>
      </c>
      <c r="X758" s="16">
        <f>O758-Q758-R758-S758-U758-V758+T758+W758</f>
        <v/>
      </c>
      <c r="Y758" s="14" t="n"/>
      <c r="Z758" s="15">
        <f>O758+1.5</f>
        <v/>
      </c>
      <c r="AA758" s="15" t="n"/>
      <c r="AB758" s="15" t="n"/>
      <c r="AC758" s="14" t="n"/>
      <c r="AD758" s="14" t="n"/>
      <c r="AE758" s="13" t="inlineStr">
        <is>
          <t>NOT_UPLOADED</t>
        </is>
      </c>
    </row>
    <row r="759" ht="16" customHeight="1">
      <c r="A759" s="17" t="n">
        <v>4008600159193</v>
      </c>
      <c r="B759" s="17" t="n">
        <v>4008600169512</v>
      </c>
      <c r="C759" s="13" t="n"/>
      <c r="D759" s="18" t="n"/>
      <c r="E759" s="18" t="inlineStr">
        <is>
          <t>BEB-4008600159193</t>
        </is>
      </c>
      <c r="F759" s="17" t="n">
        <v>10709244</v>
      </c>
      <c r="G759" s="18" t="inlineStr">
        <is>
          <t>BEBOLINO</t>
        </is>
      </c>
      <c r="H759" s="18" t="inlineStr">
        <is>
          <t>NUK</t>
        </is>
      </c>
      <c r="I759" s="18" t="inlineStr">
        <is>
          <t>NUK 10124014 First Choice+ Anti-Colic Drinking Teat Silicone, Orthodontic, Nuk Shape</t>
        </is>
      </c>
      <c r="J759" s="18" t="inlineStr">
        <is>
          <t>No</t>
        </is>
      </c>
      <c r="K759" s="18" t="inlineStr">
        <is>
          <t>https://www.amazon.de/-/en/10124014-Anti-Colic-Drinking-Silicone-Orthodontic/dp/B005MAIZGY/ref=sr_1_1?crid=3R2MYHW1UECIT&amp;dib=eyJ2IjoiMSJ9.ncf8qbCOyt-BjKbQXgeKlblx6TJAjJZjBKKopczipcNmYJSmsuxVZtBsVtrhWDF3-WmVQcFvFTeBoI0xyCs4zNDBSmFo7V_-1tgbmEEV1R8JGjiwgubSSI0Ioq2XRzb_UmMNJYxfKVZnTvjZ44JPAyGFVoeJI4DGvBuCGbjBJp-voDoYWdAckQetTPYtslzkyU3j80HHtT4T6aCBMQNufHo_MPx1vZOVK2b4i0oZ4DuQ3eLb_MRRuw8aMcTbkw4uLmboNzqcZwtRwvxDPqF3pMcs3AmN5UAuD6IF8ArjVDw.4M5U7EIr9yfuJqfgAGXWEpdXqo6I8iI9O62jYnH6DWM&amp;dib_tag=se&amp;keywords=NUK%2BFirst%2BChoice%2B%2BBaby%2BBottle%2BTeat%2C%2B0-6%2BMonths&amp;qid=1767904674&amp;s=baby&amp;sprefix=nuk%2Bfirst%2Bchoice%2B%2Bbaby%2Bbottle%2Bteat%2B0-6%2Bmonths%2Cbaby%2C215&amp;sr=1-1&amp;th=1</t>
        </is>
      </c>
      <c r="L759" s="18" t="inlineStr">
        <is>
          <t>B005MAIZGY</t>
        </is>
      </c>
      <c r="M759" s="19" t="n"/>
      <c r="N759" s="19" t="n"/>
      <c r="O759" s="19" t="n">
        <v>9</v>
      </c>
      <c r="P759" s="19">
        <f>O759/1.19</f>
        <v/>
      </c>
      <c r="Q759" s="19">
        <f>O759-P759</f>
        <v/>
      </c>
      <c r="R759" s="19">
        <f>O759*0.15</f>
        <v/>
      </c>
      <c r="S759" s="19" t="n">
        <v>3.58</v>
      </c>
      <c r="T759" s="19">
        <f>S759*0.2</f>
        <v/>
      </c>
      <c r="U759" s="19" t="n">
        <v>0.400000000000002</v>
      </c>
      <c r="V759" s="19" t="n">
        <v>2</v>
      </c>
      <c r="W759" s="19">
        <f>V759*0.2</f>
        <v/>
      </c>
      <c r="X759" s="16">
        <f>O759-Q759-R759-S759-U759-V759+T759+W759</f>
        <v/>
      </c>
      <c r="Y759" s="18" t="n"/>
      <c r="Z759" s="19">
        <f>O759+1.5</f>
        <v/>
      </c>
      <c r="AA759" s="19" t="n"/>
      <c r="AB759" s="19" t="n"/>
      <c r="AC759" s="18" t="n"/>
      <c r="AD759" s="18" t="n"/>
      <c r="AE759" s="13" t="inlineStr">
        <is>
          <t>NOT_UPLOADED</t>
        </is>
      </c>
    </row>
    <row r="760" ht="16" customHeight="1">
      <c r="A760" s="12" t="n">
        <v>4008600169338</v>
      </c>
      <c r="B760" s="12" t="n">
        <v>4008600169338</v>
      </c>
      <c r="C760" s="13" t="n"/>
      <c r="D760" s="14" t="inlineStr">
        <is>
          <t>Approval required for DE</t>
        </is>
      </c>
      <c r="E760" s="14" t="inlineStr">
        <is>
          <t>BEB-4008600169338</t>
        </is>
      </c>
      <c r="F760" s="12" t="n">
        <v>10721265</v>
      </c>
      <c r="G760" s="14" t="inlineStr">
        <is>
          <t>BEBOLINO</t>
        </is>
      </c>
      <c r="H760" s="14" t="inlineStr">
        <is>
          <t>NUK</t>
        </is>
      </c>
      <c r="I760" s="14" t="inlineStr">
        <is>
          <t>NUK First Choice + baby bottle teats, 6-18 months, silicone with medium-feed hole, anti-colic, 2 pieces</t>
        </is>
      </c>
      <c r="J760" s="14" t="inlineStr">
        <is>
          <t>No</t>
        </is>
      </c>
      <c r="K760" s="14" t="inlineStr">
        <is>
          <t>https://www.amazon.de/-/en/Choice-bottle-silicone-medium-feed-anti-colic/dp/B00O6A4BOG/ref=sr_1_1?crid=2WOAJ846IKY7D&amp;dib=eyJ2IjoiMSJ9.YtP3lx56boHs_n9APQ1jn8DXY_jrS46zBXK4A_uJk9g.mCiss1-aLjGIPUm0_zDVqYM0cB4RFOQPgL_d3fUzNRE&amp;dib_tag=se&amp;keywords=4008600169338&amp;qid=1756719826&amp;sprefix=4008600169338%2Caps%2C101&amp;sr=8-1</t>
        </is>
      </c>
      <c r="L760" s="14" t="inlineStr">
        <is>
          <t>B00O6A4BOG</t>
        </is>
      </c>
      <c r="M760" s="15" t="n"/>
      <c r="N760" s="15" t="n"/>
      <c r="O760" s="15" t="n">
        <v>9.300000000000001</v>
      </c>
      <c r="P760" s="15">
        <f>O760/1.19</f>
        <v/>
      </c>
      <c r="Q760" s="15">
        <f>O760-P760</f>
        <v/>
      </c>
      <c r="R760" s="15">
        <f>O760*0.15</f>
        <v/>
      </c>
      <c r="S760" s="15" t="n">
        <v>3.58</v>
      </c>
      <c r="T760" s="15">
        <f>S760*0.2</f>
        <v/>
      </c>
      <c r="U760" s="15" t="n">
        <v>0.400000000000002</v>
      </c>
      <c r="V760" s="15" t="n">
        <v>2</v>
      </c>
      <c r="W760" s="15">
        <f>V760*0.2</f>
        <v/>
      </c>
      <c r="X760" s="16">
        <f>O760-Q760-R760-S760-U760-V760+T760+W760</f>
        <v/>
      </c>
      <c r="Y760" s="14" t="n"/>
      <c r="Z760" s="15">
        <f>O760+1.5</f>
        <v/>
      </c>
      <c r="AA760" s="15" t="n"/>
      <c r="AB760" s="15" t="n"/>
      <c r="AC760" s="14" t="n"/>
      <c r="AD760" s="14" t="n"/>
      <c r="AE760" s="13" t="inlineStr">
        <is>
          <t>NOT_UPLOADED</t>
        </is>
      </c>
    </row>
    <row r="761" ht="16" customHeight="1">
      <c r="A761" s="17" t="n">
        <v>4008600169338</v>
      </c>
      <c r="B761" s="17" t="n">
        <v>4008600169338</v>
      </c>
      <c r="C761" s="13" t="n"/>
      <c r="D761" s="18" t="inlineStr">
        <is>
          <t>Approval required for DE</t>
        </is>
      </c>
      <c r="E761" s="18" t="inlineStr">
        <is>
          <t>BEBO-4008600169338</t>
        </is>
      </c>
      <c r="F761" s="17" t="n">
        <v>10721265</v>
      </c>
      <c r="G761" s="18" t="inlineStr">
        <is>
          <t>BEBOLINO</t>
        </is>
      </c>
      <c r="H761" s="18" t="inlineStr">
        <is>
          <t>NUK</t>
        </is>
      </c>
      <c r="I761" s="18" t="inlineStr">
        <is>
          <t>NUK ACC12-01 First Choice + Baby Bottle Teat, 6-18 Months, Silicone with Medium Feed Hole, Anti-Colic, Pack of 2, Transparent, 200 g</t>
        </is>
      </c>
      <c r="J761" s="18" t="inlineStr">
        <is>
          <t>No</t>
        </is>
      </c>
      <c r="K761" s="18" t="inlineStr">
        <is>
          <t>https://www.amazon.de/-/en/ACC12-01-Choice-Silicone-Anti-Colic-Transparent/dp/B014G5419K/ref=sr_1_2?crid=2WOAJ846IKY7D&amp;dib=eyJ2IjoiMSJ9.YtP3lx56boHs_n9APQ1jn8DXY_jrS46zBXK4A_uJk9g.mCiss1-aLjGIPUm0_zDVqYM0cB4RFOQPgL_d3fUzNRE&amp;dib_tag=se&amp;keywords=4008600169338&amp;qid=1756719826&amp;sprefix=4008600169338%2Caps%2C101&amp;sr=8-2</t>
        </is>
      </c>
      <c r="L761" s="18" t="inlineStr">
        <is>
          <t>B014G5419K</t>
        </is>
      </c>
      <c r="M761" s="19" t="n"/>
      <c r="N761" s="19" t="n"/>
      <c r="O761" s="19" t="n">
        <v>9.99</v>
      </c>
      <c r="P761" s="19">
        <f>O761/1.19</f>
        <v/>
      </c>
      <c r="Q761" s="19">
        <f>O761-P761</f>
        <v/>
      </c>
      <c r="R761" s="19">
        <f>O761*0.15</f>
        <v/>
      </c>
      <c r="S761" s="19" t="n">
        <v>3.58</v>
      </c>
      <c r="T761" s="19">
        <f>S761*0.2</f>
        <v/>
      </c>
      <c r="U761" s="19" t="n">
        <v>0.400000000000002</v>
      </c>
      <c r="V761" s="19" t="n">
        <v>2</v>
      </c>
      <c r="W761" s="19">
        <f>V761*0.2</f>
        <v/>
      </c>
      <c r="X761" s="21">
        <f>O761-Q761-R761-S761-U761-V761+T761+W761</f>
        <v/>
      </c>
      <c r="Y761" s="18" t="n"/>
      <c r="Z761" s="19">
        <f>O761+1.5</f>
        <v/>
      </c>
      <c r="AA761" s="19" t="n"/>
      <c r="AB761" s="19" t="n"/>
      <c r="AC761" s="18" t="n"/>
      <c r="AD761" s="18" t="n"/>
      <c r="AE761" s="13" t="inlineStr">
        <is>
          <t>NOT_UPLOADED</t>
        </is>
      </c>
    </row>
    <row r="762" ht="16" customHeight="1">
      <c r="A762" s="12" t="n">
        <v>4008600382409</v>
      </c>
      <c r="B762" s="12" t="n">
        <v>4008600382409</v>
      </c>
      <c r="C762" s="13" t="n"/>
      <c r="D762" s="14" t="n"/>
      <c r="E762" s="14" t="inlineStr">
        <is>
          <t>BEB-4008600382409</t>
        </is>
      </c>
      <c r="F762" s="12" t="n">
        <v>10721329</v>
      </c>
      <c r="G762" s="14" t="inlineStr">
        <is>
          <t>BEBOLINO</t>
        </is>
      </c>
      <c r="H762" s="14" t="inlineStr">
        <is>
          <t>NUK</t>
        </is>
      </c>
      <c r="I762" s="14" t="inlineStr">
        <is>
          <t>NUK First Choice+ Baby Bottle Teats | 6-18 Months | Flow Control | Anti-Colic Ventilation | BPA Free | Pack of 2</t>
        </is>
      </c>
      <c r="J762" s="14" t="inlineStr">
        <is>
          <t>No</t>
        </is>
      </c>
      <c r="K762" s="14" t="inlineStr">
        <is>
          <t>https://www.amazon.de/-/en/Choice-Bottle-Control-Anti-Colic-Ventilation/dp/B093K84Q6N/ref=sr_1_1?crid=YEC88KXGY2I0&amp;dib=eyJ2IjoiMSJ9.Zhv3-AgPoLjNtueigB6iEQ.IcTe1VfF6DVeFycSYME9ONUCjoeIYix7-Pptw5Tac0k&amp;dib_tag=se&amp;keywords=4008600382409&amp;qid=1756721076&amp;sprefix=4008600382409%2Caps%2C232&amp;sr=8-1&amp;th=1</t>
        </is>
      </c>
      <c r="L762" s="14" t="inlineStr">
        <is>
          <t>B093K84Q6N</t>
        </is>
      </c>
      <c r="M762" s="15" t="n"/>
      <c r="N762" s="15" t="n"/>
      <c r="O762" s="15" t="n">
        <v>8.800000000000001</v>
      </c>
      <c r="P762" s="15">
        <f>O762/1.19</f>
        <v/>
      </c>
      <c r="Q762" s="15">
        <f>O762-P762</f>
        <v/>
      </c>
      <c r="R762" s="15">
        <f>O762*0.15</f>
        <v/>
      </c>
      <c r="S762" s="15" t="n">
        <v>3.58</v>
      </c>
      <c r="T762" s="15">
        <f>S762*0.2</f>
        <v/>
      </c>
      <c r="U762" s="15" t="n">
        <v>0.400000000000002</v>
      </c>
      <c r="V762" s="15" t="n">
        <v>2</v>
      </c>
      <c r="W762" s="15">
        <f>V762*0.2</f>
        <v/>
      </c>
      <c r="X762" s="16">
        <f>O762-Q762-R762-S762-U762-V762+T762+W762</f>
        <v/>
      </c>
      <c r="Y762" s="14" t="n"/>
      <c r="Z762" s="15">
        <f>O762+1.5</f>
        <v/>
      </c>
      <c r="AA762" s="15" t="n"/>
      <c r="AB762" s="15" t="n"/>
      <c r="AC762" s="14" t="n"/>
      <c r="AD762" s="14" t="n"/>
      <c r="AE762" s="13" t="inlineStr">
        <is>
          <t>NOT_UPLOADED</t>
        </is>
      </c>
    </row>
    <row r="763" ht="16" customHeight="1">
      <c r="A763" s="17" t="n"/>
      <c r="B763" s="17" t="n">
        <v>4008600360087</v>
      </c>
      <c r="C763" s="13" t="n"/>
      <c r="D763" s="18" t="inlineStr">
        <is>
          <t>Approval required</t>
        </is>
      </c>
      <c r="E763" s="18" t="n"/>
      <c r="F763" s="17" t="n">
        <v>10743875</v>
      </c>
      <c r="G763" s="18" t="inlineStr">
        <is>
          <t>BEBOLINO</t>
        </is>
      </c>
      <c r="H763" s="18" t="inlineStr">
        <is>
          <t>NUK</t>
        </is>
      </c>
      <c r="I763" s="18" t="inlineStr">
        <is>
          <t>NUK First Choice+ Baby Bottle, 0-6 Months, Temperature Control Display, 150 ml, Anti-Colic Valve, BPA-Free, Silicone Teat, Safari (Neutral)</t>
        </is>
      </c>
      <c r="J763" s="18" t="inlineStr">
        <is>
          <t>No</t>
        </is>
      </c>
      <c r="K763" s="18" t="inlineStr">
        <is>
          <t>https://www.amazon.de/-/en/Temperature-Control-Anti-Colic-BPA-Free-Silicone/dp/B09VLFVZNG/ref=sr_1_1?crid=ETL7N2H6GQND&amp;dib=eyJ2IjoiMSJ9.JOxo-JF00-a91NWuohCUQj4tszxtMbI3RsvwYv_kDENEEh2BA4kj6kWruz6k2mz1wBzRJDXrLZqYRroTyXKzvYqpctHqHr03AmNet50krbp7dcfZJ9dT9AmMA__14gt3pBNE77KOOMA0LfdtYlOjNoVUTHr5tffx-hje9aeOVgboed57XjCs5vqdbyLHiQScfls02J3x3HZqpbJ931CIURTalwh1FoYWPvK9qDkkIWaLmzYo_nf2lA4Kp5uTP-LkKSe2mb2yXhljtiwttt7-WE_DIxq-vR5muazrqPV7jAU.Nro1adjVbe3kK-WvQOnzVQrywAnnw0NRiVcUQgmtwoM&amp;dib_tag=se&amp;keywords=NUK%2BFIRST%2BCHOICE%2B0-6%2B150ML&amp;qid=1756721298&amp;sprefix=nuk%2Bfirst%2Bchoice%2B0-6%2B150ml%2Caps%2C123&amp;sr=8-1&amp;th=1</t>
        </is>
      </c>
      <c r="L763" s="18" t="inlineStr">
        <is>
          <t>B09VLFVZNG</t>
        </is>
      </c>
      <c r="M763" s="19" t="n"/>
      <c r="N763" s="19" t="n"/>
      <c r="O763" s="19" t="n">
        <v>10.7</v>
      </c>
      <c r="P763" s="19">
        <f>O763/1.19</f>
        <v/>
      </c>
      <c r="Q763" s="19">
        <f>O763-P763</f>
        <v/>
      </c>
      <c r="R763" s="19">
        <f>O763*0.15</f>
        <v/>
      </c>
      <c r="S763" s="19" t="n">
        <v>4.5</v>
      </c>
      <c r="T763" s="19">
        <f>S763*0.2</f>
        <v/>
      </c>
      <c r="U763" s="19" t="n">
        <v>0.400000000000002</v>
      </c>
      <c r="V763" s="19" t="n">
        <v>2.2</v>
      </c>
      <c r="W763" s="19">
        <f>V763*0.2</f>
        <v/>
      </c>
      <c r="X763" s="16">
        <f>O763-Q763-R763-S763-U763-V763+T763+W763</f>
        <v/>
      </c>
      <c r="Y763" s="18" t="n"/>
      <c r="Z763" s="19">
        <f>O763+1.5</f>
        <v/>
      </c>
      <c r="AA763" s="19" t="n"/>
      <c r="AB763" s="19" t="n"/>
      <c r="AC763" s="18" t="n"/>
      <c r="AD763" s="18" t="n"/>
      <c r="AE763" s="13" t="inlineStr">
        <is>
          <t>NOT_UPLOADED</t>
        </is>
      </c>
    </row>
    <row r="764" ht="16" customHeight="1">
      <c r="A764" s="12" t="n"/>
      <c r="B764" s="12" t="n">
        <v>4008600360087</v>
      </c>
      <c r="C764" s="13" t="n"/>
      <c r="D764" s="14" t="inlineStr">
        <is>
          <t>Approval required</t>
        </is>
      </c>
      <c r="E764" s="14" t="n"/>
      <c r="F764" s="12" t="n">
        <v>10743875</v>
      </c>
      <c r="G764" s="14" t="inlineStr">
        <is>
          <t>BEBOLINO</t>
        </is>
      </c>
      <c r="H764" s="14" t="inlineStr">
        <is>
          <t>NUK</t>
        </is>
      </c>
      <c r="I764" s="14" t="inlineStr">
        <is>
          <t>NUK First Choice+ Baby Bottle, 0-6 Months, Temperature Control, Anti-Colic Vent, 150 ml, BPA-Free, Silicone Teat, Safari (Beige)</t>
        </is>
      </c>
      <c r="J764" s="14" t="inlineStr">
        <is>
          <t>No</t>
        </is>
      </c>
      <c r="K764" s="14" t="inlineStr">
        <is>
          <t>https://www.amazon.de/-/en/Temperature-Control-Anti-Colic-BPA-Free-Silicone/dp/B09MWPSLQF/ref=sr_1_13?crid=ETL7N2H6GQND&amp;dib=eyJ2IjoiMSJ9.JOxo-JF00-a91NWuohCUQj4tszxtMbI3RsvwYv_kDENEEh2BA4kj6kWruz6k2mz1wBzRJDXrLZqYRroTyXKzvYqpctHqHr03AmNet50krbp7dcfZJ9dT9AmMA__14gt3pBNE77KOOMA0LfdtYlOjNoVUTHr5tffx-hje9aeOVgboed57XjCs5vqdbyLHiQSckFEwfzbmWP1OxEnb4Xt65qj4txjbfFiQfnzCNxX43_-x1fCmdoh9oxsbttc_vQEVKSe2mb2yXhljtiwttt7-WHCHmeIC6-gtCUsHMQWyJds.Pukt3GgpIibSp370SvE39D6au6yh1dP3b7Zvk-MJofM&amp;dib_tag=se&amp;keywords=NUK%2BFIRST%2BCHOICE%2B0-6%2B150ML&amp;qid=1756721488&amp;sprefix=nuk%2Bfirst%2Bchoice%2B0-6%2B150ml%2Caps%2C123&amp;sr=8-13&amp;th=1</t>
        </is>
      </c>
      <c r="L764" s="14" t="inlineStr">
        <is>
          <t>B09MWPSLQF</t>
        </is>
      </c>
      <c r="M764" s="15" t="n"/>
      <c r="N764" s="15" t="n"/>
      <c r="O764" s="15" t="n">
        <v>10.9</v>
      </c>
      <c r="P764" s="15">
        <f>O764/1.19</f>
        <v/>
      </c>
      <c r="Q764" s="15">
        <f>O764-P764</f>
        <v/>
      </c>
      <c r="R764" s="15">
        <f>O764*0.15</f>
        <v/>
      </c>
      <c r="S764" s="15" t="n">
        <v>4.5</v>
      </c>
      <c r="T764" s="15">
        <f>S764*0.2</f>
        <v/>
      </c>
      <c r="U764" s="15" t="n">
        <v>0.400000000000002</v>
      </c>
      <c r="V764" s="15" t="n">
        <v>2.2</v>
      </c>
      <c r="W764" s="15">
        <f>V764*0.2</f>
        <v/>
      </c>
      <c r="X764" s="16">
        <f>O764-Q764-R764-S764-U764-V764+T764+W764</f>
        <v/>
      </c>
      <c r="Y764" s="14" t="n"/>
      <c r="Z764" s="15">
        <f>O764+1.5</f>
        <v/>
      </c>
      <c r="AA764" s="15" t="n"/>
      <c r="AB764" s="15" t="n"/>
      <c r="AC764" s="14" t="n"/>
      <c r="AD764" s="14" t="n"/>
      <c r="AE764" s="13" t="inlineStr">
        <is>
          <t>NOT_UPLOADED</t>
        </is>
      </c>
    </row>
    <row r="765" ht="16" customHeight="1">
      <c r="A765" s="17" t="n"/>
      <c r="B765" s="17" t="n">
        <v>4008600360087</v>
      </c>
      <c r="C765" s="20" t="inlineStr">
        <is>
          <t>PACK X 4</t>
        </is>
      </c>
      <c r="D765" s="18" t="inlineStr">
        <is>
          <t>Approval required</t>
        </is>
      </c>
      <c r="E765" s="18" t="n"/>
      <c r="F765" s="17" t="n">
        <v>10743875</v>
      </c>
      <c r="G765" s="18" t="inlineStr">
        <is>
          <t>BEBOLINO</t>
        </is>
      </c>
      <c r="H765" s="18" t="inlineStr">
        <is>
          <t>NUK</t>
        </is>
      </c>
      <c r="I765" s="18" t="inlineStr">
        <is>
          <t>NUK First Choice+ Baby Bottle, 0-6 Months, Temperature Control Display, 150 ml, Anti-Colic Valve, BPA-Free, Silicone Teat, Safari (Neutral) (Pack of 4)</t>
        </is>
      </c>
      <c r="J765" s="18" t="inlineStr">
        <is>
          <t>No</t>
        </is>
      </c>
      <c r="K765" s="18" t="inlineStr">
        <is>
          <t>https://www.amazon.de/-/en/Temperature-Control-Anti-Colic-BPA-Free-Silicone/dp/B0DZND89QS/ref=sr_1_8?crid=ETL7N2H6GQND&amp;dib=eyJ2IjoiMSJ9.JOxo-JF00-a91NWuohCUQj4tszxtMbI3RsvwYv_kDENEEh2BA4kj6kWruz6k2mz1wBzRJDXrLZqYRroTyXKzvYqpctHqHr03AmNet50krbp7dcfZJ9dT9AmMA__14gt3pBNE77KOOMA0LfdtYlOjNoVUTHr5tffx-hje9aeOVgboed57XjCs5vqdbyLHiQSckFEwfzbmWP1OxEnb4Xt65qj4txjbfFiQfnzCNxX43_-x1fCmdoh9oxsbttc_vQEVKSe2mb2yXhljtiwttt7-WHCHmeIC6-gtCUsHMQWyJds.Pukt3GgpIibSp370SvE39D6au6yh1dP3b7Zvk-MJofM&amp;dib_tag=se&amp;keywords=NUK%2BFIRST%2BCHOICE%2B0-6%2B150ML&amp;qid=1756721488&amp;sprefix=nuk%2Bfirst%2Bchoice%2B0-6%2B150ml%2Caps%2C123&amp;sr=8-8&amp;th=1</t>
        </is>
      </c>
      <c r="L765" s="18" t="inlineStr">
        <is>
          <t>B0DZND89QS</t>
        </is>
      </c>
      <c r="M765" s="19" t="n"/>
      <c r="N765" s="19" t="inlineStr">
        <is>
          <t>25..9</t>
        </is>
      </c>
      <c r="O765" s="19" t="n">
        <v>37</v>
      </c>
      <c r="P765" s="19">
        <f>O765/1.19</f>
        <v/>
      </c>
      <c r="Q765" s="19">
        <f>O765-P765</f>
        <v/>
      </c>
      <c r="R765" s="19">
        <f>O765*0.15</f>
        <v/>
      </c>
      <c r="S765" s="19" t="n">
        <v>18</v>
      </c>
      <c r="T765" s="19">
        <f>S765*0.2</f>
        <v/>
      </c>
      <c r="U765" s="19" t="n">
        <v>0.400000000000002</v>
      </c>
      <c r="V765" s="19" t="n">
        <v>4.5</v>
      </c>
      <c r="W765" s="19">
        <f>V765*0.2</f>
        <v/>
      </c>
      <c r="X765" s="21">
        <f>O765-Q765-R765-S765-U765-V765+T765+W765</f>
        <v/>
      </c>
      <c r="Y765" s="18" t="n"/>
      <c r="Z765" s="19">
        <f>O765+1.5</f>
        <v/>
      </c>
      <c r="AA765" s="19" t="n"/>
      <c r="AB765" s="19" t="n"/>
      <c r="AC765" s="18" t="n"/>
      <c r="AD765" s="18" t="n"/>
      <c r="AE765" s="13" t="inlineStr">
        <is>
          <t>NOT_UPLOADED</t>
        </is>
      </c>
    </row>
    <row r="766" ht="16" customHeight="1">
      <c r="A766" s="12" t="n"/>
      <c r="B766" s="12" t="n">
        <v>4008600360087</v>
      </c>
      <c r="C766" s="20" t="inlineStr">
        <is>
          <t>PACK X 4</t>
        </is>
      </c>
      <c r="D766" s="14" t="inlineStr">
        <is>
          <t>Approval required</t>
        </is>
      </c>
      <c r="E766" s="14" t="n"/>
      <c r="F766" s="12" t="n">
        <v>10743876</v>
      </c>
      <c r="G766" s="14" t="inlineStr">
        <is>
          <t>BEBOLINO</t>
        </is>
      </c>
      <c r="H766" s="14" t="inlineStr">
        <is>
          <t>NUK</t>
        </is>
      </c>
      <c r="I766" s="14" t="inlineStr">
        <is>
          <t>NUK First Choice+ Baby Bottle Set, 0-6 Months, Temperature Control, Anti-Colic Vent, 150 ml, BPA-Free, Latex Teat, Safari (Beige), Pack of 4</t>
        </is>
      </c>
      <c r="J766" s="14" t="inlineStr">
        <is>
          <t>No</t>
        </is>
      </c>
      <c r="K766" s="14" t="inlineStr">
        <is>
          <t>https://www.amazon.de/-/en/Choice-Temperature-Control-Anti-Colic-BPA-Free/dp/B09MWPVFT6/ref=sr_1_14?crid=ETL7N2H6GQND&amp;dib=eyJ2IjoiMSJ9.JOxo-JF00-a91NWuohCUQj4tszxtMbI3RsvwYv_kDENEEh2BA4kj6kWruz6k2mz1wBzRJDXrLZqYRroTyXKzvYqpctHqHr03AmNet50krbp7dcfZJ9dT9AmMA__14gt3pBNE77KOOMA0LfdtYlOjNoVUTHr5tffx-hje9aeOVgboed57XjCs5vqdbyLHiQSckFEwfzbmWP1OxEnb4Xt65qj4txjbfFiQfnzCNxX43_-x1fCmdoh9oxsbttc_vQEVKSe2mb2yXhljtiwttt7-WHCHmeIC6-gtCUsHMQWyJds.Pukt3GgpIibSp370SvE39D6au6yh1dP3b7Zvk-MJofM&amp;dib_tag=se&amp;keywords=NUK%2BFIRST%2BCHOICE%2B0-6%2B150ML&amp;qid=1756721488&amp;sprefix=nuk%2Bfirst%2Bchoice%2B0-6%2B150ml%2Caps%2C123&amp;sr=8-14&amp;th=1</t>
        </is>
      </c>
      <c r="L766" s="14" t="inlineStr">
        <is>
          <t>B09MWPVFT6</t>
        </is>
      </c>
      <c r="M766" s="15" t="n"/>
      <c r="N766" s="15" t="n"/>
      <c r="O766" s="15" t="n">
        <v>37</v>
      </c>
      <c r="P766" s="15">
        <f>O766/1.19</f>
        <v/>
      </c>
      <c r="Q766" s="15">
        <f>O766-P766</f>
        <v/>
      </c>
      <c r="R766" s="15">
        <f>O766*0.15</f>
        <v/>
      </c>
      <c r="S766" s="15" t="n">
        <v>18</v>
      </c>
      <c r="T766" s="15">
        <f>S766*0.2</f>
        <v/>
      </c>
      <c r="U766" s="15" t="n">
        <v>0.400000000000002</v>
      </c>
      <c r="V766" s="15" t="n">
        <v>4.5</v>
      </c>
      <c r="W766" s="15">
        <f>V766*0.2</f>
        <v/>
      </c>
      <c r="X766" s="21">
        <f>O766-Q766-R766-S766-U766-V766+T766+W766</f>
        <v/>
      </c>
      <c r="Y766" s="14" t="n"/>
      <c r="Z766" s="15">
        <f>O766+1.5</f>
        <v/>
      </c>
      <c r="AA766" s="15" t="n"/>
      <c r="AB766" s="15" t="n"/>
      <c r="AC766" s="14" t="n"/>
      <c r="AD766" s="14" t="n"/>
      <c r="AE766" s="13" t="inlineStr">
        <is>
          <t>NOT_UPLOADED</t>
        </is>
      </c>
    </row>
    <row r="767" ht="16" customHeight="1">
      <c r="A767" s="17" t="n">
        <v>400860401780</v>
      </c>
      <c r="B767" s="17" t="n">
        <v>400860401780</v>
      </c>
      <c r="C767" s="13" t="n"/>
      <c r="D767" s="18" t="n"/>
      <c r="E767" s="18" t="inlineStr">
        <is>
          <t>BEB-400860401780</t>
        </is>
      </c>
      <c r="F767" s="17" t="n">
        <v>10216293</v>
      </c>
      <c r="G767" s="18" t="inlineStr">
        <is>
          <t>BEBOLINO</t>
        </is>
      </c>
      <c r="H767" s="18" t="inlineStr">
        <is>
          <t>NUK</t>
        </is>
      </c>
      <c r="I767" s="18" t="inlineStr">
        <is>
          <t>NUK First Choice Anti-Colic Bottle (0-6 Months) | Temperature Control | 300ml | BPA Free | Silicone Teat | Blue</t>
        </is>
      </c>
      <c r="J767" s="18" t="inlineStr">
        <is>
          <t>No</t>
        </is>
      </c>
      <c r="K767" s="18" t="inlineStr">
        <is>
          <t>https://www.amazon.de/-/en/Choice-Anti-Colic-Temperature-Control-Silicone/dp/B09QC3G25T/ref=sr_1_13?crid=1GWUSX232EPJT&amp;dib=eyJ2IjoiMSJ9.fNq-zl_9QC3x3ExfbFPTshBPK4SpiQRbWWQVa8QbLMNQYcZJjDobuCK4u01tf7clQ7ZvMFGs7sXQYPQ7z-RqRnnJdArVm6uU4QvZiG-VQdcrRaoEojF2MGaq21QFmIEcD8O-GR2j_jQGri9uEyLr2YDs684P0kVyeLdFhn3Puddm2gqLXNVWEpWtOLys7KPrWjxc2GXH0LzqXT_j_B1jUlLXF6pQfaMYNTiRgP9wq2AQhkg131NfxKqB9VgUxgZkVNriMPRUTMqvhgrh517vQyJx0pWTUgipVAFTra8z57A.rdTFJd9wpgbxWBlD89Vvy6bHqdGK9X2UQOBH9_SeVDY&amp;dib_tag=se&amp;keywords=NUK+FIRST+CHOICE+300ML+PP+BOTTLE&amp;qid=1756722164&amp;sprefix=nuk+first+choice+300ml+pp+bottle%2Caps%2C470&amp;sr=8-13</t>
        </is>
      </c>
      <c r="L767" s="18" t="inlineStr">
        <is>
          <t>B09QC3G25T</t>
        </is>
      </c>
      <c r="M767" s="19" t="n"/>
      <c r="N767" s="19" t="n"/>
      <c r="O767" s="19" t="n">
        <v>16.5</v>
      </c>
      <c r="P767" s="19">
        <f>O767/1.19</f>
        <v/>
      </c>
      <c r="Q767" s="19">
        <f>O767-P767</f>
        <v/>
      </c>
      <c r="R767" s="19">
        <f>O767*0.15</f>
        <v/>
      </c>
      <c r="S767" s="19" t="n">
        <v>5.63</v>
      </c>
      <c r="T767" s="19">
        <f>S767*0.2</f>
        <v/>
      </c>
      <c r="U767" s="19" t="n">
        <v>0.400000000000002</v>
      </c>
      <c r="V767" s="19" t="n">
        <v>3</v>
      </c>
      <c r="W767" s="19">
        <f>V767*0.2</f>
        <v/>
      </c>
      <c r="X767" s="21">
        <f>O767-Q767-R767-S767-U767-V767+T767+W767</f>
        <v/>
      </c>
      <c r="Y767" s="18" t="n"/>
      <c r="Z767" s="19">
        <f>O767+1.5</f>
        <v/>
      </c>
      <c r="AA767" s="19" t="n"/>
      <c r="AB767" s="19" t="n"/>
      <c r="AC767" s="18" t="n"/>
      <c r="AD767" s="18" t="n"/>
      <c r="AE767" s="13" t="inlineStr">
        <is>
          <t>NOT_UPLOADED</t>
        </is>
      </c>
    </row>
    <row r="768" ht="16" customHeight="1">
      <c r="A768" s="12" t="n">
        <v>400860401780</v>
      </c>
      <c r="B768" s="12" t="n">
        <v>400860401780</v>
      </c>
      <c r="C768" s="13" t="n"/>
      <c r="D768" s="14" t="inlineStr">
        <is>
          <t>deleted</t>
        </is>
      </c>
      <c r="E768" s="14" t="inlineStr">
        <is>
          <t>BEBO-400860401780</t>
        </is>
      </c>
      <c r="F768" s="12" t="n">
        <v>10216293</v>
      </c>
      <c r="G768" s="14" t="inlineStr">
        <is>
          <t>BEBOLINO</t>
        </is>
      </c>
      <c r="H768" s="14" t="inlineStr">
        <is>
          <t>NUK</t>
        </is>
      </c>
      <c r="I768" s="14" t="inlineStr">
        <is>
          <t>NUK Anti-colic bottle with tempo indicator, 300 ml</t>
        </is>
      </c>
      <c r="J768" s="14" t="inlineStr">
        <is>
          <t>No</t>
        </is>
      </c>
      <c r="K768" s="14" t="inlineStr">
        <is>
          <t>https://www.amazon.de/-/en/NUK-Anti-colic-bottle-tempo-indicator/dp/B0D2XCLN19/ref=sr_1_50?crid=1GWUSX232EPJT&amp;dib=eyJ2IjoiMSJ9.fNq-zl_9QC3x3ExfbFPTshBPK4SpiQRbWWQVa8QbLMNQYcZJjDobuCK4u01tf7clQ7ZvMFGs7sXQYPQ7z-RqRnnJdArVm6uU4QvZiG-VQdcrRaoEojF2MGaq21QFmIEcD8O-GR2j_jQGri9uEyLr2YDs684P0kVyeLdFhn3Puddm2gqLXNVWEpWtOLys7KPrWjxc2GXH0LzqXT_j_B1jUlLXF6pQfaMYNTiRgP9wq2AQhkg131NfxKqB9VgUxgZkVNriMPRUTMqvhgrh517vQyJx0pWTUgipVAFTra8z57A.rdTFJd9wpgbxWBlD89Vvy6bHqdGK9X2UQOBH9_SeVDY&amp;dib_tag=se&amp;keywords=NUK+FIRST+CHOICE+300ML+PP+BOTTLE&amp;qid=1756722164&amp;sprefix=nuk+first+choice+300ml+pp+bottle%2Caps%2C470&amp;sr=8-50</t>
        </is>
      </c>
      <c r="L768" s="14" t="inlineStr">
        <is>
          <t>B0D2XCLN19</t>
        </is>
      </c>
      <c r="M768" s="15" t="n"/>
      <c r="N768" s="15" t="n"/>
      <c r="O768" s="15" t="n">
        <v>19</v>
      </c>
      <c r="P768" s="15">
        <f>O768/1.19</f>
        <v/>
      </c>
      <c r="Q768" s="15">
        <f>O768-P768</f>
        <v/>
      </c>
      <c r="R768" s="15">
        <f>O768*0.15</f>
        <v/>
      </c>
      <c r="S768" s="15" t="n">
        <v>5.63</v>
      </c>
      <c r="T768" s="15">
        <f>S768*0.2</f>
        <v/>
      </c>
      <c r="U768" s="15" t="n">
        <v>0.400000000000002</v>
      </c>
      <c r="V768" s="15" t="n">
        <v>3</v>
      </c>
      <c r="W768" s="15">
        <f>V768*0.2</f>
        <v/>
      </c>
      <c r="X768" s="21">
        <f>O768-Q768-R768-S768-U768-V768+T768+W768</f>
        <v/>
      </c>
      <c r="Y768" s="14" t="n"/>
      <c r="Z768" s="15">
        <f>O768+1.5</f>
        <v/>
      </c>
      <c r="AA768" s="15" t="n"/>
      <c r="AB768" s="15" t="n"/>
      <c r="AC768" s="14" t="n"/>
      <c r="AD768" s="14" t="n"/>
      <c r="AE768" s="13" t="inlineStr">
        <is>
          <t>NOT_UPLOADED</t>
        </is>
      </c>
    </row>
    <row r="769" ht="16" customHeight="1">
      <c r="A769" s="17" t="n"/>
      <c r="B769" s="17" t="n">
        <v>4008600360001</v>
      </c>
      <c r="C769" s="13" t="n"/>
      <c r="D769" s="18" t="inlineStr">
        <is>
          <t>BLUE BOTTLE/Approval required</t>
        </is>
      </c>
      <c r="E769" s="18" t="n"/>
      <c r="F769" s="17" t="n">
        <v>10216248</v>
      </c>
      <c r="G769" s="18" t="inlineStr">
        <is>
          <t>BEBOLINO</t>
        </is>
      </c>
      <c r="H769" s="18" t="inlineStr">
        <is>
          <t>NUK</t>
        </is>
      </c>
      <c r="I769" s="18" t="inlineStr">
        <is>
          <t>NUK First Choice+ Baby Bottle, 6-18 Months, Temperature Control, Flow Control, Anti-Colic Ventilation System, 360 ml, BPA-Free, Silicone Teat, Crocodile (Blue)</t>
        </is>
      </c>
      <c r="J769" s="18" t="inlineStr">
        <is>
          <t>No</t>
        </is>
      </c>
      <c r="K769" s="18" t="inlineStr">
        <is>
          <t>https://www.amazon.de/-/en/First-Choice-Temperature-Anti-Colic-Ventilation/dp/B093Y31J1H/ref=sr_1_19?crid=3AQAPHYNKW7VH&amp;dib=eyJ2IjoiMSJ9.X1WRBKq2ZPoaFjXJPnprcvJpA-6nh0HLlbYpt0dZGqJQhbpvUm1aKPSfkQN0eUuhoAOPP0HmzvtW0EnatJ0-Jev_bYDN90nwwiuAz0LeK-3vjJ9pZoRHYPiRvKWe_MwAtN96_r0JPDOF24R8iliOAk98-Bpyu4Ak4igOJvH9Acvbub6-qvuAH991fSQ3Au1UfGwLicNvnsrqM6qSL1YeiJOCqgFx6254ryFU1JX3TO95LhK48DML0imUQ54dJXlYSa-lpimsccCLuzc83Cbb68ZKj5PaEoG27eRGgSH8aa8.hXUggyoy_lMPsw1xT_D27bh1UFD5wTPYU9IWnY4eTlk&amp;dib_tag=se&amp;keywords=nuk%2Bfirst%2Bchoice%2B300ML&amp;qid=1756722562&amp;sprefix=nuk%2Bfirst%2Bchoice%2B300ml%2Caps%2C126&amp;sr=8-19&amp;th=1</t>
        </is>
      </c>
      <c r="L769" s="18" t="inlineStr">
        <is>
          <t>B093Y31J1H</t>
        </is>
      </c>
      <c r="M769" s="19" t="n"/>
      <c r="N769" s="19" t="n"/>
      <c r="O769" s="19" t="n">
        <v>17.9</v>
      </c>
      <c r="P769" s="19">
        <f>O769/1.19</f>
        <v/>
      </c>
      <c r="Q769" s="19">
        <f>O769-P769</f>
        <v/>
      </c>
      <c r="R769" s="19">
        <f>O769*0.15</f>
        <v/>
      </c>
      <c r="S769" s="19" t="n">
        <v>7.04</v>
      </c>
      <c r="T769" s="19">
        <f>S769*0.2</f>
        <v/>
      </c>
      <c r="U769" s="19" t="n">
        <v>0.400000000000002</v>
      </c>
      <c r="V769" s="19" t="n">
        <v>3</v>
      </c>
      <c r="W769" s="19">
        <f>V769*0.2</f>
        <v/>
      </c>
      <c r="X769" s="21">
        <f>O769-Q769-R769-S769-U769-V769+T769+W769</f>
        <v/>
      </c>
      <c r="Y769" s="18" t="n"/>
      <c r="Z769" s="19">
        <f>O769+1.5</f>
        <v/>
      </c>
      <c r="AA769" s="19" t="n"/>
      <c r="AB769" s="19" t="n"/>
      <c r="AC769" s="18" t="n"/>
      <c r="AD769" s="18" t="n"/>
      <c r="AE769" s="13" t="inlineStr">
        <is>
          <t>NOT_UPLOADED</t>
        </is>
      </c>
    </row>
    <row r="770" ht="16" customHeight="1">
      <c r="A770" s="12" t="n"/>
      <c r="B770" s="12" t="n">
        <v>4008600360001</v>
      </c>
      <c r="C770" s="13" t="n"/>
      <c r="D770" s="14" t="inlineStr">
        <is>
          <t>PINK BOTTLE/ Approval required</t>
        </is>
      </c>
      <c r="E770" s="14" t="n"/>
      <c r="F770" s="12" t="n">
        <v>10216248</v>
      </c>
      <c r="G770" s="14" t="inlineStr">
        <is>
          <t>BEBOLINO</t>
        </is>
      </c>
      <c r="H770" s="14" t="inlineStr">
        <is>
          <t>NUK</t>
        </is>
      </c>
      <c r="I770" s="14" t="inlineStr">
        <is>
          <t>NUK First Choice+ Flow Control Bottle, 6-18 Months, Temperature Control, Silicone Teat, Anti-Colic Valve, BPA-Free, 360 ml, Pink, Pack of 1</t>
        </is>
      </c>
      <c r="J770" s="14" t="inlineStr">
        <is>
          <t>No</t>
        </is>
      </c>
      <c r="K770" s="14" t="inlineStr">
        <is>
          <t>https://www.amazon.de/-/en/First-Choice-Temperature-Anti-Colic-Ventilation/dp/B093X94RSV/ref=sr_1_1?crid=2HH5JECDHWGAW&amp;dib=eyJ2IjoiMSJ9.my-qzYJCCTUGJdAhL88rZXlWcCFsm0YcuYnKe7aJoJHyRxo6T9jqaFm1tUA2bM68eEfhdsDdGGGqSV0tEH9ARmjSbKDyTd1VcXoNyPgN2QUnt6YtLERtc5vJzKJEEQ2DKmoIcoq-ehI3o4QAuu0dYQK3uKmTYLKCioGafuHNMA1FdKjvtL1HKBFvIFUBi9NRTmmtbLI0hWX2-d0ppddoVXpoX4FTslA8QQsQmBTVgUPvEN31ZSJHNVbfh-9IAECOWIu1YVGMTptzlzeNUHWUcsQoZI-pzh3JWbNqiYPhDIU.aVSt0h7jIv5oSzlvQ-jC9D4bZzexNY8ScqmumvBS10Y&amp;dib_tag=se&amp;keywords=NUK%2BFIRST%2BCHOICE%2B360ML&amp;qid=1756724258&amp;sprefix=nuk%2Bfirst%2Bchoice%2B360ml%2Caps%2C163&amp;sr=8-1&amp;th=1</t>
        </is>
      </c>
      <c r="L770" s="14" t="inlineStr">
        <is>
          <t>B093X94RSV</t>
        </is>
      </c>
      <c r="M770" s="15" t="n"/>
      <c r="N770" s="15" t="n"/>
      <c r="O770" s="15" t="n">
        <v>17.9</v>
      </c>
      <c r="P770" s="15">
        <f>O770/1.19</f>
        <v/>
      </c>
      <c r="Q770" s="15">
        <f>O770-P770</f>
        <v/>
      </c>
      <c r="R770" s="15">
        <f>O770*0.15</f>
        <v/>
      </c>
      <c r="S770" s="15" t="n">
        <v>7.04</v>
      </c>
      <c r="T770" s="15">
        <f>S770*0.2</f>
        <v/>
      </c>
      <c r="U770" s="15" t="n">
        <v>0.400000000000002</v>
      </c>
      <c r="V770" s="15" t="n">
        <v>3</v>
      </c>
      <c r="W770" s="15">
        <f>V770*0.2</f>
        <v/>
      </c>
      <c r="X770" s="21">
        <f>O770-Q770-R770-S770-U770-V770+T770+W770</f>
        <v/>
      </c>
      <c r="Y770" s="14" t="n"/>
      <c r="Z770" s="15">
        <f>O770+1.5</f>
        <v/>
      </c>
      <c r="AA770" s="15" t="n"/>
      <c r="AB770" s="15" t="n"/>
      <c r="AC770" s="14" t="n"/>
      <c r="AD770" s="14" t="n"/>
      <c r="AE770" s="13" t="inlineStr">
        <is>
          <t>NOT_UPLOADED</t>
        </is>
      </c>
    </row>
    <row r="771" ht="16" customHeight="1">
      <c r="A771" s="17" t="n"/>
      <c r="B771" s="17" t="n">
        <v>4008600405528</v>
      </c>
      <c r="C771" s="13" t="n"/>
      <c r="D771" s="18" t="inlineStr">
        <is>
          <t>Approval required</t>
        </is>
      </c>
      <c r="E771" s="18" t="n"/>
      <c r="F771" s="17" t="n">
        <v>10225267</v>
      </c>
      <c r="G771" s="18" t="inlineStr">
        <is>
          <t>BEBOLINO</t>
        </is>
      </c>
      <c r="H771" s="18" t="inlineStr">
        <is>
          <t>NUK</t>
        </is>
      </c>
      <c r="I771" s="18" t="inlineStr">
        <is>
          <t>NUK Perfect Start First Choice+ Baby Bottle Set | 0-6 Months | 4 x Bottles with Temperature Control, Dummy, Bottle Brush &amp; More | BPA Free | 10 Piece | Safari</t>
        </is>
      </c>
      <c r="J771" s="18" t="inlineStr">
        <is>
          <t>No</t>
        </is>
      </c>
      <c r="K771" s="18" t="inlineStr">
        <is>
          <t>https://www.amazon.de/-/en/Perfect-Choice-Bottles-Temperature-Control/dp/B09BD19BP2/ref=sr_1_1?crid=1JMPOJRDM65M&amp;dib=eyJ2IjoiMSJ9.g2vre1x-Noc1CZc6XCN_Eg.2PfzE31m9Yl9IiA3VdBH1bQhBJjDuQ2TLJeEQtJnRY8&amp;dib_tag=se&amp;keywords=4008600405528&amp;qid=1756724816&amp;sprefix=4008600405528%2Caps%2C268&amp;sr=8-1&amp;th=1</t>
        </is>
      </c>
      <c r="L771" s="18" t="inlineStr">
        <is>
          <t>B09BD19BP2</t>
        </is>
      </c>
      <c r="M771" s="19" t="n"/>
      <c r="N771" s="19" t="n"/>
      <c r="O771" s="19" t="n">
        <v>44</v>
      </c>
      <c r="P771" s="19">
        <f>O771/1.19</f>
        <v/>
      </c>
      <c r="Q771" s="19">
        <f>O771-P771</f>
        <v/>
      </c>
      <c r="R771" s="19">
        <f>O771*0.15</f>
        <v/>
      </c>
      <c r="S771" s="19" t="n">
        <v>24.04</v>
      </c>
      <c r="T771" s="19">
        <f>S771*0.2</f>
        <v/>
      </c>
      <c r="U771" s="19" t="n">
        <v>0.400000000000002</v>
      </c>
      <c r="V771" s="19" t="n">
        <v>5</v>
      </c>
      <c r="W771" s="19">
        <f>V771*0.2</f>
        <v/>
      </c>
      <c r="X771" s="21">
        <f>O771-Q771-R771-S771-U771-V771+T771+W771</f>
        <v/>
      </c>
      <c r="Y771" s="18" t="n"/>
      <c r="Z771" s="19">
        <f>O771+1.5</f>
        <v/>
      </c>
      <c r="AA771" s="19" t="n"/>
      <c r="AB771" s="19" t="n"/>
      <c r="AC771" s="18" t="n"/>
      <c r="AD771" s="18" t="n"/>
      <c r="AE771" s="13" t="inlineStr">
        <is>
          <t>NOT_UPLOADED</t>
        </is>
      </c>
    </row>
    <row r="772" ht="16" customHeight="1">
      <c r="A772" s="12" t="n"/>
      <c r="B772" s="12" t="n">
        <v>4008600382386</v>
      </c>
      <c r="C772" s="13" t="n"/>
      <c r="D772" s="14" t="inlineStr">
        <is>
          <t>GLASS-PINK</t>
        </is>
      </c>
      <c r="E772" s="14" t="n"/>
      <c r="F772" s="12" t="n">
        <v>10745122</v>
      </c>
      <c r="G772" s="14" t="inlineStr">
        <is>
          <t>BEBOLINO</t>
        </is>
      </c>
      <c r="H772" s="14" t="inlineStr">
        <is>
          <t>NUK</t>
        </is>
      </c>
      <c r="I772" s="14" t="inlineStr">
        <is>
          <t>NUK First Choice+ Glass Baby Bottle with Temperature Control, Orthodontic Teat, 240 ml, 0-6 Months, Pink</t>
        </is>
      </c>
      <c r="J772" s="14" t="inlineStr">
        <is>
          <t>No</t>
        </is>
      </c>
      <c r="K772" s="14" t="inlineStr">
        <is>
          <t>https://www.amazon.de/-/en/Choice-Bottle-Temperature-Control-Orthodontic/dp/B09HTY1ZSV/ref=sr_1_5?crid=1NZJ3RH14HVD6&amp;dib=eyJ2IjoiMSJ9.bFHUGFmSMjc0QxNS9JnuDg5kfQl1TT1aHsJ10P9Y98TAd7EfMXmhzX4HOC3E8sac9K9sNX9x-jrBWPLr1Grsm_lgwyWY4MRhd7r2exmiiJM1cXl4nm_dvyLjpb7bGjA2ubGJNYH9yMTdloj2DnTk_-nTYAlO_9IPsN1Q8igkOtzrMr06p8wh8FVA3UxZHBpSmZFsxbGUpA7c4Ul8lVT62Orjj2mT9iD0ShUdiL2CbFYKa9CeIbLUwWGflL08udG6bGw9bLstrPxCZAAHco8h1lDqrtBjTh_jqUAsW5xbjQE.gvmolRwyIU5NMmjnryuBQWcB7YUWNOjQvQQEMjqtRBc&amp;dib_tag=se&amp;keywords=NUK+FIRST+CHOICE+240ML&amp;qid=1756725343&amp;sprefix=nuk+first+choice+240ml%2Caps%2C263&amp;sr=8-5</t>
        </is>
      </c>
      <c r="L772" s="14" t="inlineStr">
        <is>
          <t>B09HTY1ZSV</t>
        </is>
      </c>
      <c r="M772" s="15" t="n"/>
      <c r="N772" s="15" t="n"/>
      <c r="O772" s="15" t="n">
        <v>16.7</v>
      </c>
      <c r="P772" s="15">
        <f>O772/1.19</f>
        <v/>
      </c>
      <c r="Q772" s="15">
        <f>O772-P772</f>
        <v/>
      </c>
      <c r="R772" s="15">
        <f>O772*0.15</f>
        <v/>
      </c>
      <c r="S772" s="15" t="n">
        <v>7.16</v>
      </c>
      <c r="T772" s="15">
        <f>S772*0.2</f>
        <v/>
      </c>
      <c r="U772" s="15" t="n">
        <v>0.400000000000002</v>
      </c>
      <c r="V772" s="15" t="n">
        <v>3.5</v>
      </c>
      <c r="W772" s="15">
        <f>V772*0.2</f>
        <v/>
      </c>
      <c r="X772" s="21">
        <f>O772-Q772-R772-S772-U772-V772+T772+W772</f>
        <v/>
      </c>
      <c r="Y772" s="14" t="n"/>
      <c r="Z772" s="15">
        <f>O772+1.5</f>
        <v/>
      </c>
      <c r="AA772" s="15" t="n"/>
      <c r="AB772" s="15" t="n"/>
      <c r="AC772" s="14" t="n"/>
      <c r="AD772" s="14" t="n"/>
      <c r="AE772" s="13" t="inlineStr">
        <is>
          <t>NOT_UPLOADED</t>
        </is>
      </c>
    </row>
    <row r="773" ht="16" customHeight="1">
      <c r="A773" s="17" t="n"/>
      <c r="B773" s="17" t="n">
        <v>4008600382386</v>
      </c>
      <c r="C773" s="13" t="n"/>
      <c r="D773" s="18" t="inlineStr">
        <is>
          <t>GLASS-WHITE</t>
        </is>
      </c>
      <c r="E773" s="18" t="n"/>
      <c r="F773" s="17" t="n">
        <v>10745122</v>
      </c>
      <c r="G773" s="18" t="inlineStr">
        <is>
          <t>BEBOLINO</t>
        </is>
      </c>
      <c r="H773" s="18" t="inlineStr">
        <is>
          <t>NUK</t>
        </is>
      </c>
      <c r="I773" s="18" t="inlineStr">
        <is>
          <t>NUK First Choice+ Glass Baby Bottle with Temperature Control, Orthodontic Teat, 240 ml, 0-6 Months, White, 10212049</t>
        </is>
      </c>
      <c r="J773" s="18" t="inlineStr">
        <is>
          <t>No</t>
        </is>
      </c>
      <c r="K773" s="18" t="inlineStr">
        <is>
          <t>https://www.amazon.de/-/en/Choice-Temperature-Control-Orthodontic-10212049/dp/B09HTYPH34/ref=sr_1_19?crid=1NZJ3RH14HVD6&amp;dib=eyJ2IjoiMSJ9.bFHUGFmSMjc0QxNS9JnuDg5kfQl1TT1aHsJ10P9Y98TAd7EfMXmhzX4HOC3E8sac9K9sNX9x-jrBWPLr1Grsm_lgwyWY4MRhd7r2exmiiJM1cXl4nm_dvyLjpb7bGjA2ubGJNYH9yMTdloj2DnTk_-nTYAlO_9IPsN1Q8igkOtzrMr06p8wh8FVA3UxZHBpSmZFsxbGUpA7c4Ul8lVT62Orjj2mT9iD0ShUdiL2CbFYKa9CeIbLUwWGflL08udG6bGw9bLstrPxCZAAHco8h1lDqrtBjTh_jqUAsW5xbjQE.gvmolRwyIU5NMmjnryuBQWcB7YUWNOjQvQQEMjqtRBc&amp;dib_tag=se&amp;keywords=NUK+FIRST+CHOICE+240ML&amp;qid=1756725521&amp;sprefix=nuk+first+choice+240ml%2Caps%2C263&amp;sr=8-19</t>
        </is>
      </c>
      <c r="L773" s="18" t="inlineStr">
        <is>
          <t>B09HTYPH34</t>
        </is>
      </c>
      <c r="M773" s="19" t="n"/>
      <c r="N773" s="19" t="n"/>
      <c r="O773" s="19" t="n">
        <v>16.7</v>
      </c>
      <c r="P773" s="19">
        <f>O773/1.19</f>
        <v/>
      </c>
      <c r="Q773" s="19">
        <f>O773-P773</f>
        <v/>
      </c>
      <c r="R773" s="19">
        <f>O773*0.15</f>
        <v/>
      </c>
      <c r="S773" s="19" t="n">
        <v>7.16</v>
      </c>
      <c r="T773" s="19">
        <f>S773*0.2</f>
        <v/>
      </c>
      <c r="U773" s="19" t="n">
        <v>0.400000000000002</v>
      </c>
      <c r="V773" s="19" t="n">
        <v>3.5</v>
      </c>
      <c r="W773" s="19">
        <f>V773*0.2</f>
        <v/>
      </c>
      <c r="X773" s="21">
        <f>O773-Q773-R773-S773-U773-V773+T773+W773</f>
        <v/>
      </c>
      <c r="Y773" s="18" t="n"/>
      <c r="Z773" s="19">
        <f>O773+1.5</f>
        <v/>
      </c>
      <c r="AA773" s="19" t="n"/>
      <c r="AB773" s="19" t="n"/>
      <c r="AC773" s="18" t="n"/>
      <c r="AD773" s="18" t="n"/>
      <c r="AE773" s="13" t="inlineStr">
        <is>
          <t>NOT_UPLOADED</t>
        </is>
      </c>
    </row>
    <row r="774" ht="16" customHeight="1">
      <c r="A774" s="12" t="n"/>
      <c r="B774" s="12" t="n">
        <v>4008600382362</v>
      </c>
      <c r="C774" s="13" t="n"/>
      <c r="D774" s="14" t="inlineStr">
        <is>
          <t>GLASS-BLUE</t>
        </is>
      </c>
      <c r="E774" s="14" t="n"/>
      <c r="F774" s="12" t="n">
        <v>10745121</v>
      </c>
      <c r="G774" s="14" t="inlineStr">
        <is>
          <t>BEBOLINO</t>
        </is>
      </c>
      <c r="H774" s="14" t="inlineStr">
        <is>
          <t>NUK</t>
        </is>
      </c>
      <c r="I774" s="14" t="inlineStr">
        <is>
          <t>NUK First Choice+ Glass Baby Bottle with Temperature Control, Orthodontic Teat, 240 ml, 0-6 Months, Blue, 10212050</t>
        </is>
      </c>
      <c r="J774" s="14" t="inlineStr">
        <is>
          <t>No</t>
        </is>
      </c>
      <c r="K774" s="14" t="inlineStr">
        <is>
          <t>https://www.amazon.de/-/en/Choice-Temperature-Control-Orthodontic-10212050/dp/B09HTXHBRW/ref=sr_1_8?crid=1NZJ3RH14HVD6&amp;dib=eyJ2IjoiMSJ9.bFHUGFmSMjc0QxNS9JnuDg5kfQl1TT1aHsJ10P9Y98TAd7EfMXmhzX4HOC3E8sac9K9sNX9x-jrBWPLr1Grsm_lgwyWY4MRhd7r2exmiiJM1cXl4nm_dvyLjpb7bGjA2ubGJNYH9yMTdloj2DnTk_-nTYAlO_9IPsN1Q8igkOtzrMr06p8wh8FVA3UxZHBpSmZFsxbGUpA7c4Ul8lVT62Orjj2mT9iD0ShUdiL2CbFYKa9CeIbLUwWGflL08udG6bGw9bLstrPxCZAAHco8h1lDqrtBjTh_jqUAsW5xbjQE.gvmolRwyIU5NMmjnryuBQWcB7YUWNOjQvQQEMjqtRBc&amp;dib_tag=se&amp;keywords=NUK+FIRST+CHOICE+240ML&amp;qid=1756725521&amp;sprefix=nuk+first+choice+240ml%2Caps%2C263&amp;sr=8-8</t>
        </is>
      </c>
      <c r="L774" s="14" t="inlineStr">
        <is>
          <t>B09HTXHBRW</t>
        </is>
      </c>
      <c r="M774" s="15" t="n"/>
      <c r="N774" s="15" t="n"/>
      <c r="O774" s="15" t="n">
        <v>17.5</v>
      </c>
      <c r="P774" s="15">
        <f>O774/1.19</f>
        <v/>
      </c>
      <c r="Q774" s="15">
        <f>O774-P774</f>
        <v/>
      </c>
      <c r="R774" s="15">
        <f>O774*0.15</f>
        <v/>
      </c>
      <c r="S774" s="15" t="n">
        <v>7.16</v>
      </c>
      <c r="T774" s="15">
        <f>S774*0.2</f>
        <v/>
      </c>
      <c r="U774" s="15" t="n">
        <v>0.400000000000002</v>
      </c>
      <c r="V774" s="15" t="n">
        <v>3.5</v>
      </c>
      <c r="W774" s="15">
        <f>V774*0.2</f>
        <v/>
      </c>
      <c r="X774" s="21">
        <f>O774-Q774-R774-S774-U774-V774+T774+W774</f>
        <v/>
      </c>
      <c r="Y774" s="14" t="n"/>
      <c r="Z774" s="15">
        <f>O774+1.5</f>
        <v/>
      </c>
      <c r="AA774" s="15" t="n"/>
      <c r="AB774" s="15" t="n"/>
      <c r="AC774" s="14" t="n"/>
      <c r="AD774" s="14" t="n"/>
      <c r="AE774" s="13" t="inlineStr">
        <is>
          <t>NOT_UPLOADED</t>
        </is>
      </c>
    </row>
    <row r="775" ht="16" customHeight="1">
      <c r="A775" s="17" t="n"/>
      <c r="B775" s="17" t="n">
        <v>4008600434351</v>
      </c>
      <c r="C775" s="13" t="n"/>
      <c r="D775" s="18" t="inlineStr">
        <is>
          <t>Approval required</t>
        </is>
      </c>
      <c r="E775" s="18" t="n"/>
      <c r="F775" s="17" t="n">
        <v>10124029</v>
      </c>
      <c r="G775" s="18" t="inlineStr">
        <is>
          <t>BEBOLINO</t>
        </is>
      </c>
      <c r="H775" s="18" t="inlineStr">
        <is>
          <t>NUK</t>
        </is>
      </c>
      <c r="I775" s="18" t="inlineStr">
        <is>
          <t>NUK Perfect Match Baby Bottle Teat | From 3 Months | Adapts to Baby | Anti-Colic | BPA Free | Silicone Teat for Bottles, Medium, Pack of 2</t>
        </is>
      </c>
      <c r="J775" s="18" t="inlineStr">
        <is>
          <t>No</t>
        </is>
      </c>
      <c r="K775" s="18" t="inlineStr">
        <is>
          <t>https://www.amazon.de/-/en/Perfect-Bottle-Anti-Colic-Silicone-Bottles/dp/B0CLRTVGHQ/ref=sr_1_4?crid=1X56HFJ69DITB&amp;dib=eyJ2IjoiMSJ9.mdJSMr1ABVXsHHfkcvXougEn9ySaOaAXbT7By80EfOZTk8nsYCpoPdeE0UdsGhPoVPplb9_6XE6haiclb2E6yzgr_JrEWrAM2QqQW3PTPlpMSzB7OPWcR7Qbp0Ug12Gvo1kVsFDOViliNbW2rXfvAXDrBkj8ergYojbeGhBv79YhJANB7IZeZps1m0YbVNQC_DpS2-uJzFYOHJdymWAX4gs_pD3wrplMVF3H2KaWxcw18Kq3_aCiLZzPMKfmesdu0HN6jIT1fPBLMsxB0VdSDrvWmlUskyckRWB1fSDkLnU.7QDdWHMtaPkH4JHmA97Hcym3hYmt2wP5zXYQtrSy1Zk&amp;dib_tag=se&amp;keywords=NUK%2BPERFECT%2BMATCH%2B3%2B&amp;qid=1756726210&amp;sprefix=nuk%2Bperfect%2Bmatch%2B3%2B%2B%2Caps%2C347&amp;sr=8-4&amp;th=1</t>
        </is>
      </c>
      <c r="L775" s="18" t="inlineStr">
        <is>
          <t>B0CLRTVGHQ</t>
        </is>
      </c>
      <c r="M775" s="19" t="n"/>
      <c r="N775" s="19" t="n"/>
      <c r="O775" s="19" t="n">
        <v>10.7</v>
      </c>
      <c r="P775" s="19">
        <f>O775/1.19</f>
        <v/>
      </c>
      <c r="Q775" s="19">
        <f>O775-P775</f>
        <v/>
      </c>
      <c r="R775" s="19">
        <f>O775*0.15</f>
        <v/>
      </c>
      <c r="S775" s="19" t="n">
        <v>4.1</v>
      </c>
      <c r="T775" s="19">
        <f>S775*0.2</f>
        <v/>
      </c>
      <c r="U775" s="19" t="n">
        <v>0.400000000000002</v>
      </c>
      <c r="V775" s="19" t="n">
        <v>2</v>
      </c>
      <c r="W775" s="19">
        <f>V775*0.2</f>
        <v/>
      </c>
      <c r="X775" s="21">
        <f>O775-Q775-R775-S775-U775-V775+T775+W775</f>
        <v/>
      </c>
      <c r="Y775" s="18" t="n"/>
      <c r="Z775" s="19">
        <f>O775+1.5</f>
        <v/>
      </c>
      <c r="AA775" s="19" t="n"/>
      <c r="AB775" s="19" t="n"/>
      <c r="AC775" s="18" t="n"/>
      <c r="AD775" s="18" t="n"/>
      <c r="AE775" s="13" t="inlineStr">
        <is>
          <t>NOT_UPLOADED</t>
        </is>
      </c>
    </row>
    <row r="776" ht="16" customHeight="1">
      <c r="A776" s="12" t="n"/>
      <c r="B776" s="12" t="n">
        <v>4008600434368</v>
      </c>
      <c r="C776" s="13" t="n"/>
      <c r="D776" s="14" t="inlineStr">
        <is>
          <t>Approval required</t>
        </is>
      </c>
      <c r="E776" s="14" t="n"/>
      <c r="F776" s="12" t="n">
        <v>10124028</v>
      </c>
      <c r="G776" s="14" t="inlineStr">
        <is>
          <t>BEBOLINO</t>
        </is>
      </c>
      <c r="H776" s="14" t="inlineStr">
        <is>
          <t>NUK</t>
        </is>
      </c>
      <c r="I776" s="14" t="inlineStr">
        <is>
          <t>NUK Perfect Match Baby Bottle Teat | From 0 Months | Adapts to Baby | Anti-Colic | BPA Free | Silicone Teat for Bottles, Small | Pack of 2</t>
        </is>
      </c>
      <c r="J776" s="14" t="inlineStr">
        <is>
          <t>No</t>
        </is>
      </c>
      <c r="K776" s="14" t="inlineStr">
        <is>
          <t>https://www.amazon.de/-/en/Perfect-Bottle-Anti-Colic-Silicone-Bottles/dp/B0CLRSDM7W/ref=sr_1_1?crid=2TGVL988RYGDR&amp;dib=eyJ2IjoiMSJ9.E29BBXxo5_qby25EheWXcFWPFV_UAN6BgVPW4pnBXfujxaw05QILAXX59LP-XhvRxEuqVo7aKXm88m09utqMzNs_FUzLvi9q5PbmhsLtyaB8f5mGaw0_z9cjtm3DdupMSF0IIyghx_8mY8mcPtF39JXzOV9dNkX3-jlfecXQsEoXYgY_qf1gmmZg4SvbtUfLBw7CC_GNBtrYS1CBkeKh3enXsSDlTfU82fZQcdU_5zKNwpRUBDxY_kS6khBbK30Z66-T4FibkQOKiWHiP46LMaKf-2urHgNhNsbxA1qTFrA.q3eDJ9wzhWFSYtBXat1ITjfssHuG5MbOTHmNjVarMo4&amp;dib_tag=se&amp;keywords=NUK%2BPERFECT%2BMATCH%2B0%2B&amp;qid=1756726605&amp;sprefix=nuk%2Bperfect%2Bmatch%2B0%2B%2Caps%2C206&amp;sr=8-1&amp;th=1</t>
        </is>
      </c>
      <c r="L776" s="14" t="inlineStr">
        <is>
          <t>B0CLRSDM7W</t>
        </is>
      </c>
      <c r="M776" s="15" t="n"/>
      <c r="N776" s="15" t="n"/>
      <c r="O776" s="15" t="n">
        <v>10.7</v>
      </c>
      <c r="P776" s="15">
        <f>O776/1.19</f>
        <v/>
      </c>
      <c r="Q776" s="15">
        <f>O776-P776</f>
        <v/>
      </c>
      <c r="R776" s="15">
        <f>O776*0.15</f>
        <v/>
      </c>
      <c r="S776" s="15" t="n">
        <v>4.1</v>
      </c>
      <c r="T776" s="15">
        <f>S776*0.2</f>
        <v/>
      </c>
      <c r="U776" s="15" t="n">
        <v>0.400000000000002</v>
      </c>
      <c r="V776" s="15" t="n">
        <v>2</v>
      </c>
      <c r="W776" s="15">
        <f>V776*0.2</f>
        <v/>
      </c>
      <c r="X776" s="21">
        <f>O776-Q776-R776-S776-U776-V776+T776+W776</f>
        <v/>
      </c>
      <c r="Y776" s="14" t="n"/>
      <c r="Z776" s="15">
        <f>O776+1.5</f>
        <v/>
      </c>
      <c r="AA776" s="15" t="n"/>
      <c r="AB776" s="15" t="n"/>
      <c r="AC776" s="14" t="n"/>
      <c r="AD776" s="14" t="n"/>
      <c r="AE776" s="13" t="inlineStr">
        <is>
          <t>NOT_UPLOADED</t>
        </is>
      </c>
    </row>
    <row r="777" ht="16" customHeight="1">
      <c r="A777" s="17" t="n"/>
      <c r="B777" s="17" t="n">
        <v>4008600434337</v>
      </c>
      <c r="C777" s="13" t="n"/>
      <c r="D777" s="18" t="n"/>
      <c r="E777" s="18" t="n"/>
      <c r="F777" s="17" t="n">
        <v>10124031</v>
      </c>
      <c r="G777" s="18" t="inlineStr">
        <is>
          <t>BEBOLINO</t>
        </is>
      </c>
      <c r="H777" s="18" t="inlineStr">
        <is>
          <t>NUK</t>
        </is>
      </c>
      <c r="I777" s="18" t="inlineStr">
        <is>
          <t>NUK Perfect Match Baby Bottle Drinking Teat | From 6 Months | Adapts to Baby | Anti-Colic | BPA Free | Silicone Teat for Bottles, Universal | Pack of 2</t>
        </is>
      </c>
      <c r="J777" s="18" t="inlineStr">
        <is>
          <t>No</t>
        </is>
      </c>
      <c r="K777" s="18" t="inlineStr">
        <is>
          <t>https://www.amazon.de/-/en/Perfect-Drinking-Anti-Colic-Silicone-Universal/dp/B0CLRT55MC/ref=sr_1_5?crid=11Z4K9GTW5HSB&amp;dib=eyJ2IjoiMSJ9.2xjUeHYZNmz6a8d6k9MJujWNx6TNd34HGm7i97PSrACvWiQKElt8Z-5M7tpE4uhqZLNc9B8_eepevnK6-So-zyKiIzRDgiBypfsvLWJ8t2Ymin9lpmOyULCVU_xLMVqpmFZTxvjUydmtUmDZEixn6dN7k4RIg2ko_h91jAlaOTewuXM3JMLdNKLOJf12dgKydr27xrCbQdQqsnyyFK1fxCeJ8iscGXj2zlQ7Xqy7MWUNF_xuPkHckbWDI95OJUpOfAZZZwfiHIC1GyzlMpUrOs7nJ0qDu7UYZflcUb9mztc.zKlu8bcXjY0C8X2q7iHTTCAFT1bSQEH-LEorsUT-Svs&amp;dib_tag=se&amp;keywords=NUK%2BPERFECT%2BMATCH%2B6%2B&amp;qid=1756726768&amp;sprefix=nuk%2Bperfect%2Bmatch%2B6%2B%2Caps%2C162&amp;sr=8-5&amp;th=1</t>
        </is>
      </c>
      <c r="L777" s="18" t="inlineStr">
        <is>
          <t>B0CLRT55MC</t>
        </is>
      </c>
      <c r="M777" s="19" t="n"/>
      <c r="N777" s="19" t="n"/>
      <c r="O777" s="19" t="n">
        <v>10.7</v>
      </c>
      <c r="P777" s="19">
        <f>O777/1.19</f>
        <v/>
      </c>
      <c r="Q777" s="19">
        <f>O777-P777</f>
        <v/>
      </c>
      <c r="R777" s="19">
        <f>O777*0.15</f>
        <v/>
      </c>
      <c r="S777" s="19" t="n">
        <v>4.1</v>
      </c>
      <c r="T777" s="19">
        <f>S777*0.2</f>
        <v/>
      </c>
      <c r="U777" s="19" t="n">
        <v>0.400000000000002</v>
      </c>
      <c r="V777" s="19" t="n">
        <v>2</v>
      </c>
      <c r="W777" s="19">
        <f>V777*0.2</f>
        <v/>
      </c>
      <c r="X777" s="21">
        <f>O777-Q777-R777-S777-U777-V777+T777+W777</f>
        <v/>
      </c>
      <c r="Y777" s="18" t="n"/>
      <c r="Z777" s="19">
        <f>O777+1.5</f>
        <v/>
      </c>
      <c r="AA777" s="19" t="n"/>
      <c r="AB777" s="19" t="n"/>
      <c r="AC777" s="18" t="n"/>
      <c r="AD777" s="18" t="n"/>
      <c r="AE777" s="13" t="inlineStr">
        <is>
          <t>NOT_UPLOADED</t>
        </is>
      </c>
    </row>
    <row r="778" ht="16" customHeight="1">
      <c r="A778" s="12" t="n"/>
      <c r="B778" s="12" t="n">
        <v>4008600434283</v>
      </c>
      <c r="C778" s="13" t="n"/>
      <c r="D778" s="14" t="n"/>
      <c r="E778" s="14" t="n"/>
      <c r="F778" s="12" t="n">
        <v>10215015</v>
      </c>
      <c r="G778" s="14" t="inlineStr">
        <is>
          <t>BEBOLINO</t>
        </is>
      </c>
      <c r="H778" s="14" t="inlineStr">
        <is>
          <t>NUK</t>
        </is>
      </c>
      <c r="I778" s="14" t="inlineStr">
        <is>
          <t>NUK Perfect Match Baby Bottle | From 3 Months | Adapts to Baby | Temperature Control | Anti-Colic | 260 ml | BPA-Free | Silicone Teat, Medium, Rainbow</t>
        </is>
      </c>
      <c r="J778" s="14" t="inlineStr">
        <is>
          <t>No</t>
        </is>
      </c>
      <c r="K778" s="14" t="inlineStr">
        <is>
          <t>https://www.amazon.de/dp/B0CLRSLDL1?ref=psp_pc_a_A3LN6EJU9V26LZ&amp;th=1</t>
        </is>
      </c>
      <c r="L778" s="14" t="inlineStr">
        <is>
          <t>B0CLRSLDL1</t>
        </is>
      </c>
      <c r="M778" s="15" t="n"/>
      <c r="N778" s="15" t="n"/>
      <c r="O778" s="15" t="n">
        <v>12.35</v>
      </c>
      <c r="P778" s="15">
        <f>O778/1.19</f>
        <v/>
      </c>
      <c r="Q778" s="15">
        <f>O778-P778</f>
        <v/>
      </c>
      <c r="R778" s="15">
        <f>O778*0.15</f>
        <v/>
      </c>
      <c r="S778" s="15" t="n">
        <v>5.63</v>
      </c>
      <c r="T778" s="15">
        <f>S778*0.2</f>
        <v/>
      </c>
      <c r="U778" s="15" t="n">
        <v>0.400000000000002</v>
      </c>
      <c r="V778" s="15" t="n">
        <v>2</v>
      </c>
      <c r="W778" s="15">
        <f>V778*0.2</f>
        <v/>
      </c>
      <c r="X778" s="21">
        <f>O778-Q778-R778-S778-U778-V778+T778+W778</f>
        <v/>
      </c>
      <c r="Y778" s="14" t="n"/>
      <c r="Z778" s="15">
        <f>O778+1.5</f>
        <v/>
      </c>
      <c r="AA778" s="15" t="n"/>
      <c r="AB778" s="15" t="n"/>
      <c r="AC778" s="14" t="n"/>
      <c r="AD778" s="14" t="n"/>
      <c r="AE778" s="13" t="inlineStr">
        <is>
          <t>NOT_UPLOADED</t>
        </is>
      </c>
    </row>
    <row r="779" ht="16" customHeight="1">
      <c r="A779" s="17" t="n"/>
      <c r="B779" s="17" t="n">
        <v>4008600434283</v>
      </c>
      <c r="C779" s="20" t="inlineStr">
        <is>
          <t>PACK X 2</t>
        </is>
      </c>
      <c r="D779" s="18" t="n"/>
      <c r="E779" s="18" t="n"/>
      <c r="F779" s="17" t="n">
        <v>10215015</v>
      </c>
      <c r="G779" s="18" t="inlineStr">
        <is>
          <t>BEBOLINO</t>
        </is>
      </c>
      <c r="H779" s="18" t="inlineStr">
        <is>
          <t>NUK</t>
        </is>
      </c>
      <c r="I779" s="18" t="inlineStr">
        <is>
          <t>NUK Perfect Match Baby Bottle Set | From 3 Months | Adapts to Baby | Temperature Control | Anti-Colic | 260 ml | BPA Free | Silicone Teat Medium | Rainbow | Pack of 2</t>
        </is>
      </c>
      <c r="J779" s="18" t="inlineStr">
        <is>
          <t>NUK</t>
        </is>
      </c>
      <c r="K779" s="18" t="inlineStr">
        <is>
          <t>https://www.amazon.de/dp/B0CLRSL2HD?ref=psp_pc_a_A3LN6EJU9V26LZ&amp;th=1</t>
        </is>
      </c>
      <c r="L779" s="18" t="inlineStr">
        <is>
          <t>B0CLRSL2HD</t>
        </is>
      </c>
      <c r="M779" s="19" t="n"/>
      <c r="N779" s="19" t="n"/>
      <c r="O779" s="19" t="n">
        <v>22.5</v>
      </c>
      <c r="P779" s="19">
        <f>O779/1.19</f>
        <v/>
      </c>
      <c r="Q779" s="19">
        <f>O779-P779</f>
        <v/>
      </c>
      <c r="R779" s="19">
        <f>O779*0.15</f>
        <v/>
      </c>
      <c r="S779" s="19" t="n">
        <v>11.25</v>
      </c>
      <c r="T779" s="19">
        <f>S779*0.2</f>
        <v/>
      </c>
      <c r="U779" s="19" t="n">
        <v>0.400000000000002</v>
      </c>
      <c r="V779" s="19" t="n">
        <v>3.2</v>
      </c>
      <c r="W779" s="19">
        <f>V779*0.2</f>
        <v/>
      </c>
      <c r="X779" s="21">
        <f>O779-Q779-R779-S779-U779-V779+T779+W779</f>
        <v/>
      </c>
      <c r="Y779" s="18" t="n"/>
      <c r="Z779" s="19">
        <f>O779+1.5</f>
        <v/>
      </c>
      <c r="AA779" s="19" t="n"/>
      <c r="AB779" s="19" t="n"/>
      <c r="AC779" s="18" t="n"/>
      <c r="AD779" s="18" t="n"/>
      <c r="AE779" s="13" t="inlineStr">
        <is>
          <t>NOT_UPLOADED</t>
        </is>
      </c>
    </row>
    <row r="780" ht="16" customHeight="1">
      <c r="A780" s="12" t="n"/>
      <c r="B780" s="12" t="n">
        <v>4008600434283</v>
      </c>
      <c r="C780" s="20" t="inlineStr">
        <is>
          <t>PACK X 4</t>
        </is>
      </c>
      <c r="D780" s="14" t="n"/>
      <c r="E780" s="14" t="n"/>
      <c r="F780" s="12" t="n">
        <v>10215015</v>
      </c>
      <c r="G780" s="14" t="inlineStr">
        <is>
          <t>BEBOLINO</t>
        </is>
      </c>
      <c r="H780" s="14" t="inlineStr">
        <is>
          <t>NUK</t>
        </is>
      </c>
      <c r="I780" s="14" t="inlineStr">
        <is>
          <t>NUK Perfect Match Baby Bottle Set | From 0 Months | Adapts to Baby | Temperature Control | Anti-Colic | 150 ml | BPA Free | Silicone Teat, Small | Rainbow | Pack of 4</t>
        </is>
      </c>
      <c r="J780" s="14" t="inlineStr">
        <is>
          <t>No</t>
        </is>
      </c>
      <c r="K780" s="14" t="inlineStr">
        <is>
          <t>https://www.amazon.de/Perfect-Temperature-Control-Anti-Colic-Silicone/dp/B0CLRXWMXZ/ref=sr_1_1_sspa?crid=2ZBIWL53QIE8Y&amp;dib=eyJ2IjoiMSJ9.C0mKzT-Ue8OYcHgOvUbIRn5hspyAWYjsuRpkLcBGkFRTk8nsYCpoPdeE0UdsGhPo5uxX0xoKHaxkdEnZH5ne24OZdoL1DzX8nGrV36S_-OKtx_OkPpy0TCyUQHE27NmslzOsoNQZTElV6FRv1k3UCgj1spboyWgAISURk-SUPPTTrlzGVMK6L7oNtQHA7oFjgMXR3vq7JrP8JjPl4CXaONyxARHUabGuyGe19EvKpGAdvSQdlfWmfxrst0naMHFBCZ26N0PRjqSXoxLm-VZS2g.JDKAYKrlf0t54uFqhf1t_Lo9UcnwRLqXo--MSVRD4Qg&amp;dib_tag=se&amp;keywords=NUK%2BPerfect%2BMatch%2B%D0%A0%D0%A0%2B150%D0%BC%D0%BB&amp;qid=1757408450&amp;sprefix=nuk%2Bperfect%2Bmatch%2B%D1%80%D1%80%2B150%D0%BC%D0%BB%2Caps%2C235&amp;sr=8-1-spons&amp;sp_csd=d2lkZ2V0TmFtZT1zcF9hdGY&amp;th=1</t>
        </is>
      </c>
      <c r="L780" s="14" t="inlineStr">
        <is>
          <t>B0CLRXWMXZ</t>
        </is>
      </c>
      <c r="M780" s="15" t="n"/>
      <c r="N780" s="15" t="n"/>
      <c r="O780" s="15" t="n"/>
      <c r="P780" s="15" t="n"/>
      <c r="Q780" s="15" t="n"/>
      <c r="R780" s="15" t="n"/>
      <c r="S780" s="15" t="n"/>
      <c r="T780" s="15" t="n"/>
      <c r="U780" s="15" t="n">
        <v>0.400000000000002</v>
      </c>
      <c r="V780" s="15" t="n"/>
      <c r="W780" s="15" t="n"/>
      <c r="X780" s="22" t="n"/>
      <c r="Y780" s="14" t="n"/>
      <c r="Z780" s="15" t="n"/>
      <c r="AA780" s="15" t="n"/>
      <c r="AB780" s="15" t="n"/>
      <c r="AC780" s="14" t="n"/>
      <c r="AD780" s="14" t="n"/>
      <c r="AE780" s="13" t="inlineStr">
        <is>
          <t>NOT_UPLOADED</t>
        </is>
      </c>
    </row>
    <row r="781" ht="16" customHeight="1">
      <c r="A781" s="17" t="n">
        <v>3600522862390</v>
      </c>
      <c r="B781" s="17" t="n">
        <v>3600522862390</v>
      </c>
      <c r="C781" s="13" t="n"/>
      <c r="D781" s="18" t="n"/>
      <c r="E781" s="18" t="inlineStr">
        <is>
          <t>FOR-3600522862390</t>
        </is>
      </c>
      <c r="F781" s="17" t="inlineStr">
        <is>
          <t>L5014</t>
        </is>
      </c>
      <c r="G781" s="18" t="inlineStr">
        <is>
          <t>Fortuna</t>
        </is>
      </c>
      <c r="H781" s="18" t="inlineStr">
        <is>
          <t>Loreal</t>
        </is>
      </c>
      <c r="I781" s="18" t="inlineStr">
        <is>
          <t>L'Oréal Paris Perfect Match Make-Up Flüssige Foundation Nr. 2.N Vanilla 30 ml</t>
        </is>
      </c>
      <c r="J781" s="18" t="inlineStr">
        <is>
          <t>No</t>
        </is>
      </c>
      <c r="K781" s="18" t="inlineStr">
        <is>
          <t>https://www.amazon.de/dp/B0138MFOEI?ref=cm_sw_r_cso_cp_apin_dp_0M92SV9G3F0HFBGX422Q&amp;ref_=cm_sw_r_cso_cp_apin_dp_0M92SV9G3F0HFBGX422Q&amp;social_share=cm_sw_r_cso_cp_apin_dp_0M92SV9G3F0HFBGX422Q&amp;th=1</t>
        </is>
      </c>
      <c r="L781" s="18" t="inlineStr">
        <is>
          <t>B0138MFOEI</t>
        </is>
      </c>
      <c r="M781" s="19" t="n"/>
      <c r="N781" s="19" t="n"/>
      <c r="O781" s="19" t="n">
        <v>18.99</v>
      </c>
      <c r="P781" s="19">
        <f>O781/1.19</f>
        <v/>
      </c>
      <c r="Q781" s="19">
        <f>O781-P781</f>
        <v/>
      </c>
      <c r="R781" s="19">
        <f>O781*0.15</f>
        <v/>
      </c>
      <c r="S781" s="19" t="n">
        <v>7.07</v>
      </c>
      <c r="T781" s="19">
        <f>S781*0.2</f>
        <v/>
      </c>
      <c r="U781" s="19" t="n">
        <v>0.400000000000002</v>
      </c>
      <c r="V781" s="19" t="n">
        <v>2.7</v>
      </c>
      <c r="W781" s="19">
        <f>V781*0.2</f>
        <v/>
      </c>
      <c r="X781" s="21">
        <f>O781-Q781-R781-S781-U781-V781+T781+W781</f>
        <v/>
      </c>
      <c r="Y781" s="18" t="n"/>
      <c r="Z781" s="19">
        <f>O781+1.5</f>
        <v/>
      </c>
      <c r="AA781" s="19" t="n"/>
      <c r="AB781" s="19" t="n"/>
      <c r="AC781" s="18" t="n"/>
      <c r="AD781" s="18" t="n"/>
      <c r="AE781" s="13" t="inlineStr">
        <is>
          <t>NOT_UPLOADED</t>
        </is>
      </c>
    </row>
    <row r="782" ht="16" customHeight="1">
      <c r="A782" s="12" t="n">
        <v>3600522839194</v>
      </c>
      <c r="B782" s="12" t="n">
        <v>3600522862390</v>
      </c>
      <c r="C782" s="13" t="n"/>
      <c r="D782" s="14" t="n"/>
      <c r="E782" s="14" t="inlineStr">
        <is>
          <t>FOR-36005228391941</t>
        </is>
      </c>
      <c r="F782" s="12" t="inlineStr">
        <is>
          <t>L5014</t>
        </is>
      </c>
      <c r="G782" s="14" t="inlineStr">
        <is>
          <t>Fortuna</t>
        </is>
      </c>
      <c r="H782" s="14" t="inlineStr">
        <is>
          <t>Loreal</t>
        </is>
      </c>
      <c r="I782" s="14" t="inlineStr">
        <is>
          <t>L'Oréal Paris Make up, Flüssige Foundation mit Hyaluron und Aloe Vera, Perfect Match Make-Up, Nr. 2.N Vanilla, 30 ml</t>
        </is>
      </c>
      <c r="J782" s="14" t="inlineStr">
        <is>
          <t>No</t>
        </is>
      </c>
      <c r="K782" s="14" t="inlineStr">
        <is>
          <t>https://www.amazon.de/dp/B013P9MNUW?th=1</t>
        </is>
      </c>
      <c r="L782" s="14" t="inlineStr">
        <is>
          <t>B013P9MNUW</t>
        </is>
      </c>
      <c r="M782" s="15" t="n"/>
      <c r="N782" s="15" t="n"/>
      <c r="O782" s="15" t="n">
        <v>21</v>
      </c>
      <c r="P782" s="15">
        <f>O782/1.19</f>
        <v/>
      </c>
      <c r="Q782" s="15">
        <f>O782-P782</f>
        <v/>
      </c>
      <c r="R782" s="15">
        <f>O782*0.15</f>
        <v/>
      </c>
      <c r="S782" s="15" t="n">
        <v>7.07</v>
      </c>
      <c r="T782" s="15">
        <f>S782*0.2</f>
        <v/>
      </c>
      <c r="U782" s="15" t="n">
        <v>0.400000000000002</v>
      </c>
      <c r="V782" s="15" t="n">
        <v>2.7</v>
      </c>
      <c r="W782" s="15">
        <f>V782*0.2</f>
        <v/>
      </c>
      <c r="X782" s="21">
        <f>O782-Q782-R782-S782-U782-V782+T782+W782</f>
        <v/>
      </c>
      <c r="Y782" s="14" t="n"/>
      <c r="Z782" s="15">
        <f>O782+1.5</f>
        <v/>
      </c>
      <c r="AA782" s="15" t="n"/>
      <c r="AB782" s="15" t="n"/>
      <c r="AC782" s="14" t="n"/>
      <c r="AD782" s="14" t="n"/>
      <c r="AE782" s="13" t="inlineStr">
        <is>
          <t>NOT_UPLOADED</t>
        </is>
      </c>
    </row>
    <row r="783" ht="16" customHeight="1">
      <c r="A783" s="17" t="n">
        <v>3154148703044</v>
      </c>
      <c r="B783" s="17" t="n">
        <v>3154148703044</v>
      </c>
      <c r="C783" s="13" t="n"/>
      <c r="D783" s="18" t="n"/>
      <c r="E783" s="18" t="inlineStr">
        <is>
          <t>AR-3154148703044</t>
        </is>
      </c>
      <c r="F783" s="17" t="n">
        <v>9870304</v>
      </c>
      <c r="G783" s="18" t="inlineStr">
        <is>
          <t>ARGOPRIMA</t>
        </is>
      </c>
      <c r="H783" s="18" t="inlineStr">
        <is>
          <t>MAPED</t>
        </is>
      </c>
      <c r="I783" s="18" t="inlineStr">
        <is>
          <t>Maped PICNIK - Snack-Box, Snack-Dose, Brot-Box ORIGINS KIDS - blau</t>
        </is>
      </c>
      <c r="J783" s="18" t="inlineStr">
        <is>
          <t>No</t>
        </is>
      </c>
      <c r="K783" s="18" t="inlineStr">
        <is>
          <t>https://www.amazon.de/Maped-PICNIK-Snack-Box-Snack-Dose-Brot-Box/dp/B07KCRRZK1/ref=sr_1_1?__mk_de_DE=%C3%85M%C3%85%C5%BD%C3%95%C3%91&amp;crid=1ABH2MVZCFDVR&amp;dib=eyJ2IjoiMSJ9.S57PbCIrfaFlwKqBTMfvxg.up2_lsTNuQJeJEl7ORZpmyoUOr7zPwL9ZlC9yPOMTlg&amp;dib_tag=se&amp;keywords=B07KCRRZK1&amp;qid=1757878265&amp;s=beauty&amp;sprefix=b07kcrrzk1%2Cbeauty%2C377&amp;sr=1-1&amp;th=1</t>
        </is>
      </c>
      <c r="L783" s="18" t="inlineStr">
        <is>
          <t>B07KCRRZK1</t>
        </is>
      </c>
      <c r="M783" s="19" t="n"/>
      <c r="N783" s="19" t="n"/>
      <c r="O783" s="19" t="n">
        <v>10.95</v>
      </c>
      <c r="P783" s="19">
        <f>O783/1.19</f>
        <v/>
      </c>
      <c r="Q783" s="19">
        <f>O783-P783</f>
        <v/>
      </c>
      <c r="R783" s="19">
        <f>O783*0.15</f>
        <v/>
      </c>
      <c r="S783" s="19" t="n">
        <v>3.54</v>
      </c>
      <c r="T783" s="19">
        <f>S783*0.2</f>
        <v/>
      </c>
      <c r="U783" s="19" t="n">
        <v>0.400000000000002</v>
      </c>
      <c r="V783" s="19" t="n">
        <v>2.3</v>
      </c>
      <c r="W783" s="19">
        <f>V783*0.2</f>
        <v/>
      </c>
      <c r="X783" s="21">
        <f>O783-Q783-R783-S783-U783-V783+T783+W783</f>
        <v/>
      </c>
      <c r="Y783" s="18" t="n"/>
      <c r="Z783" s="19">
        <f>O783+1.5</f>
        <v/>
      </c>
      <c r="AA783" s="19" t="n"/>
      <c r="AB783" s="19" t="n"/>
      <c r="AC783" s="18" t="n"/>
      <c r="AD783" s="18" t="n"/>
      <c r="AE783" s="13" t="inlineStr">
        <is>
          <t>NOT_UPLOADED</t>
        </is>
      </c>
    </row>
    <row r="784" ht="16" customHeight="1">
      <c r="A784" s="12" t="n">
        <v>3154148454182</v>
      </c>
      <c r="B784" s="12" t="n">
        <v>3154148454182</v>
      </c>
      <c r="C784" s="13" t="n"/>
      <c r="D784" s="14" t="n"/>
      <c r="E784" s="14" t="n"/>
      <c r="F784" s="12" t="n"/>
      <c r="G784" s="14" t="inlineStr">
        <is>
          <t>ARGOPRIMA</t>
        </is>
      </c>
      <c r="H784" s="14" t="inlineStr">
        <is>
          <t>MAPED</t>
        </is>
      </c>
      <c r="I784" s="14" t="inlineStr">
        <is>
          <t>Maped - Filzstifte BARBIE x12 - leuchtende Farben - fest eingefasste, weiche Spitze: Ø 2,8 mm - Schreiblänge &gt; 220 m</t>
        </is>
      </c>
      <c r="J784" s="14" t="inlineStr">
        <is>
          <t>No</t>
        </is>
      </c>
      <c r="K784" s="14" t="inlineStr">
        <is>
          <t>https://www.amazon.de/Maped-Filzstifte-leuchtende-eingefasste-Schreibl%C3%A4nge/dp/B0CRVKTV4L/ref=sr_1_1?__mk_de_DE=%C3%85M%C3%85%C5%BD%C3%95%C3%91&amp;crid=LBCHSLNFL6JP&amp;dib=eyJ2IjoiMSJ9.xsD3fbn9pM1r9Md5RsMysg.wVzrQJyprZ--ZCfjZ-4rxnSIYF1grlt-AZJioK0eJWo&amp;dib_tag=se&amp;keywords=B0CRVKTV4L&amp;qid=1757879000&amp;s=beauty&amp;sprefix=b0crvktv4l%2Cbeauty%2C137&amp;sr=1-1</t>
        </is>
      </c>
      <c r="L784" s="14" t="inlineStr">
        <is>
          <t>B0CRVKTV4L</t>
        </is>
      </c>
      <c r="M784" s="15" t="n"/>
      <c r="N784" s="15" t="n"/>
      <c r="O784" s="15" t="n">
        <v>9.1</v>
      </c>
      <c r="P784" s="15">
        <f>O784/1.19</f>
        <v/>
      </c>
      <c r="Q784" s="15">
        <f>O784-P784</f>
        <v/>
      </c>
      <c r="R784" s="15">
        <f>O784*0.15</f>
        <v/>
      </c>
      <c r="S784" s="15" t="n">
        <v>2.94</v>
      </c>
      <c r="T784" s="15">
        <f>S784*0.2</f>
        <v/>
      </c>
      <c r="U784" s="15" t="n">
        <v>0.400000000000002</v>
      </c>
      <c r="V784" s="15" t="n">
        <v>2.2</v>
      </c>
      <c r="W784" s="15">
        <f>V784*0.2</f>
        <v/>
      </c>
      <c r="X784" s="16">
        <f>O784-Q784-R784-S784-U784-V784+T784+W784</f>
        <v/>
      </c>
      <c r="Y784" s="14" t="n"/>
      <c r="Z784" s="15">
        <f>O784+1.5</f>
        <v/>
      </c>
      <c r="AA784" s="15" t="n"/>
      <c r="AB784" s="15" t="n"/>
      <c r="AC784" s="14" t="n"/>
      <c r="AD784" s="14" t="n"/>
      <c r="AE784" s="13" t="inlineStr">
        <is>
          <t>NOT_UPLOADED</t>
        </is>
      </c>
    </row>
    <row r="785" ht="16" customHeight="1">
      <c r="A785" s="17" t="n">
        <v>3154144644129</v>
      </c>
      <c r="B785" s="17" t="n">
        <v>3154144644129</v>
      </c>
      <c r="C785" s="13" t="n"/>
      <c r="D785" s="18" t="n"/>
      <c r="E785" s="18" t="inlineStr">
        <is>
          <t>AR-3154144644129</t>
        </is>
      </c>
      <c r="F785" s="17" t="n">
        <v>9464412</v>
      </c>
      <c r="G785" s="18" t="inlineStr">
        <is>
          <t>ARGOPRIMA</t>
        </is>
      </c>
      <c r="H785" s="18" t="inlineStr">
        <is>
          <t>MAPED</t>
        </is>
      </c>
      <c r="I785" s="18" t="inlineStr">
        <is>
          <t>Maped Essentials-Scheren, rund, 130 mm, zufällige Farbauswahl</t>
        </is>
      </c>
      <c r="J785" s="18" t="inlineStr">
        <is>
          <t>No</t>
        </is>
      </c>
      <c r="K785" s="18" t="inlineStr">
        <is>
          <t>https://www.amazon.de/Maped-Essentials-Scheren-rund-zuf%C3%A4llige-Farbauswahl/dp/B089KNDMXH/ref=sr_1_2?__mk_de_DE=%C3%85M%C3%85%C5%BD%C3%95%C3%91&amp;crid=2D490FV3KWDZ5&amp;dib=eyJ2IjoiMSJ9._2eAnClDnq0-eCfmo3SiBbFaNBsynuAqeTm-Jc0ia-E.gVhe72RfcRJH3LY0IfWNgrxgzdmA7wO3lo2uOucmmfI&amp;dib_tag=se&amp;keywords=3154144644129&amp;qid=1757947165&amp;sprefix=3154144644129%2Caps%2C116&amp;sr=8-2</t>
        </is>
      </c>
      <c r="L785" s="18" t="inlineStr">
        <is>
          <t>B089KNDMXH</t>
        </is>
      </c>
      <c r="M785" s="19" t="n"/>
      <c r="N785" s="19" t="n"/>
      <c r="O785" s="19" t="n">
        <v>33</v>
      </c>
      <c r="P785" s="19">
        <f>O785/1.19</f>
        <v/>
      </c>
      <c r="Q785" s="19">
        <f>O785-P785</f>
        <v/>
      </c>
      <c r="R785" s="19">
        <f>O785*0.15</f>
        <v/>
      </c>
      <c r="S785" s="19" t="n">
        <v>15.1</v>
      </c>
      <c r="T785" s="19">
        <f>S785*0.2</f>
        <v/>
      </c>
      <c r="U785" s="19" t="n">
        <v>0.400000000000002</v>
      </c>
      <c r="V785" s="19" t="n">
        <v>6.9</v>
      </c>
      <c r="W785" s="19">
        <f>V785*0.2</f>
        <v/>
      </c>
      <c r="X785" s="21">
        <f>O785-Q785-R785-S785-U785-V785+T785+W785</f>
        <v/>
      </c>
      <c r="Y785" s="18" t="n"/>
      <c r="Z785" s="19">
        <f>O785+1.5</f>
        <v/>
      </c>
      <c r="AA785" s="19" t="n"/>
      <c r="AB785" s="19" t="n"/>
      <c r="AC785" s="18" t="n"/>
      <c r="AD785" s="18" t="n"/>
      <c r="AE785" s="13" t="inlineStr">
        <is>
          <t>NOT_UPLOADED</t>
        </is>
      </c>
    </row>
    <row r="786" ht="16" customHeight="1">
      <c r="A786" s="12" t="n">
        <v>3154142443045</v>
      </c>
      <c r="B786" s="12" t="n">
        <v>3154142443045</v>
      </c>
      <c r="C786" s="13" t="n"/>
      <c r="D786" s="14" t="n"/>
      <c r="E786" s="14" t="inlineStr">
        <is>
          <t>MAP-3154142443045</t>
        </is>
      </c>
      <c r="F786" s="12" t="n">
        <v>9244304</v>
      </c>
      <c r="G786" s="14" t="inlineStr">
        <is>
          <t>ARGOPRIMA</t>
        </is>
      </c>
      <c r="H786" s="14" t="inlineStr">
        <is>
          <t>MAPED</t>
        </is>
      </c>
      <c r="I786" s="14" t="inlineStr">
        <is>
          <t>Maped M244304 - Zeichenset Flex Maxi 4-teilig mit einem Lineal 30 cm und zwei Zeichendreiecken</t>
        </is>
      </c>
      <c r="J786" s="14" t="inlineStr">
        <is>
          <t>No</t>
        </is>
      </c>
      <c r="K786" s="14" t="inlineStr">
        <is>
          <t>https://www.amazon.de/dp/B001ANVQ4A?th=1</t>
        </is>
      </c>
      <c r="L786" s="14" t="inlineStr">
        <is>
          <t>B001ANVQ4A</t>
        </is>
      </c>
      <c r="M786" s="15" t="n"/>
      <c r="N786" s="15" t="n"/>
      <c r="O786" s="15" t="n">
        <v>8.75</v>
      </c>
      <c r="P786" s="15">
        <f>O786/1.19</f>
        <v/>
      </c>
      <c r="Q786" s="15">
        <f>O786-P786</f>
        <v/>
      </c>
      <c r="R786" s="15">
        <f>O786*0.15</f>
        <v/>
      </c>
      <c r="S786" s="15" t="n">
        <v>2.04</v>
      </c>
      <c r="T786" s="15">
        <f>S786*0.2</f>
        <v/>
      </c>
      <c r="U786" s="15" t="n">
        <v>0.400000000000002</v>
      </c>
      <c r="V786" s="15" t="n">
        <v>2.75</v>
      </c>
      <c r="W786" s="15">
        <f>V786*0.2</f>
        <v/>
      </c>
      <c r="X786" s="16">
        <f>O786-Q786-R786-S786-U786-V786+T786+W786</f>
        <v/>
      </c>
      <c r="Y786" s="14" t="n"/>
      <c r="Z786" s="15">
        <f>O786+1.5</f>
        <v/>
      </c>
      <c r="AA786" s="15" t="n"/>
      <c r="AB786" s="15" t="n"/>
      <c r="AC786" s="14" t="n"/>
      <c r="AD786" s="14" t="n"/>
      <c r="AE786" s="13" t="inlineStr">
        <is>
          <t>NOT_UPLOADED</t>
        </is>
      </c>
    </row>
    <row r="787" ht="16" customHeight="1">
      <c r="A787" s="17" t="n">
        <v>3154142310668</v>
      </c>
      <c r="B787" s="17" t="n">
        <v>3154142310668</v>
      </c>
      <c r="C787" s="13" t="n"/>
      <c r="D787" s="18" t="n"/>
      <c r="E787" s="18" t="inlineStr">
        <is>
          <t>MAP-3154142310668</t>
        </is>
      </c>
      <c r="F787" s="17" t="n">
        <v>9231066</v>
      </c>
      <c r="G787" s="18" t="inlineStr">
        <is>
          <t>ARGOPRIMA</t>
        </is>
      </c>
      <c r="H787" s="18" t="inlineStr">
        <is>
          <t>MAPED</t>
        </is>
      </c>
      <c r="I787" s="18" t="inlineStr">
        <is>
          <t>Maped 231066 Geometrie-Set Tatoo, 4-teilig, sortiert</t>
        </is>
      </c>
      <c r="J787" s="18" t="inlineStr">
        <is>
          <t>No</t>
        </is>
      </c>
      <c r="K787" s="18" t="inlineStr">
        <is>
          <t>https://www.amazon.de/dp/B00ML5SBSK</t>
        </is>
      </c>
      <c r="L787" s="18" t="inlineStr">
        <is>
          <t>B00ML5SBSK</t>
        </is>
      </c>
      <c r="M787" s="19" t="n"/>
      <c r="N787" s="19" t="n"/>
      <c r="O787" s="19" t="n">
        <v>10.3</v>
      </c>
      <c r="P787" s="19">
        <f>O787/1.19</f>
        <v/>
      </c>
      <c r="Q787" s="19">
        <f>O787-P787</f>
        <v/>
      </c>
      <c r="R787" s="19">
        <f>O787*0.15</f>
        <v/>
      </c>
      <c r="S787" s="19" t="n">
        <v>2.55</v>
      </c>
      <c r="T787" s="19">
        <f>S787*0.2</f>
        <v/>
      </c>
      <c r="U787" s="19" t="n">
        <v>0.400000000000002</v>
      </c>
      <c r="V787" s="19" t="n">
        <v>4.75</v>
      </c>
      <c r="W787" s="19">
        <f>V787*0.2</f>
        <v/>
      </c>
      <c r="X787" s="22">
        <f>O787-Q787-R787-S787-U787-V787+T787+W787</f>
        <v/>
      </c>
      <c r="Y787" s="18" t="n"/>
      <c r="Z787" s="19">
        <f>O787+1.5</f>
        <v/>
      </c>
      <c r="AA787" s="19" t="n"/>
      <c r="AB787" s="19" t="n"/>
      <c r="AC787" s="18" t="n"/>
      <c r="AD787" s="18" t="n"/>
      <c r="AE787" s="13" t="inlineStr">
        <is>
          <t>NOT_UPLOADED</t>
        </is>
      </c>
    </row>
    <row r="788" ht="16" customHeight="1">
      <c r="A788" s="12" t="n">
        <v>3154141461095</v>
      </c>
      <c r="B788" s="12" t="n">
        <v>3154141461095</v>
      </c>
      <c r="C788" s="13" t="n"/>
      <c r="D788" s="14" t="n"/>
      <c r="E788" s="14" t="inlineStr">
        <is>
          <t>MAP-3154141461095</t>
        </is>
      </c>
      <c r="F788" s="12" t="n">
        <v>9146109</v>
      </c>
      <c r="G788" s="14" t="inlineStr">
        <is>
          <t>ARGOPRIMA</t>
        </is>
      </c>
      <c r="H788" s="14" t="inlineStr">
        <is>
          <t>MAPED</t>
        </is>
      </c>
      <c r="I788" s="14" t="inlineStr">
        <is>
          <t>WIGO Decometer Essentials 30Cm In Bs</t>
        </is>
      </c>
      <c r="J788" s="14" t="inlineStr">
        <is>
          <t>No</t>
        </is>
      </c>
      <c r="K788" s="14" t="inlineStr">
        <is>
          <t>https://www.amazon.de/dp/B001OUNTQM</t>
        </is>
      </c>
      <c r="L788" s="14" t="inlineStr">
        <is>
          <t>B001OUNTQM</t>
        </is>
      </c>
      <c r="M788" s="15" t="n"/>
      <c r="N788" s="15" t="n"/>
      <c r="O788" s="15" t="n">
        <v>17.3</v>
      </c>
      <c r="P788" s="15">
        <f>O788/1.19</f>
        <v/>
      </c>
      <c r="Q788" s="15">
        <f>O788-P788</f>
        <v/>
      </c>
      <c r="R788" s="15">
        <f>O788*0.15</f>
        <v/>
      </c>
      <c r="S788" s="15" t="n">
        <v>8.300000000000001</v>
      </c>
      <c r="T788" s="15">
        <f>S788*0.2</f>
        <v/>
      </c>
      <c r="U788" s="15" t="n">
        <v>0.400000000000002</v>
      </c>
      <c r="V788" s="15" t="n">
        <v>5.16</v>
      </c>
      <c r="W788" s="15">
        <f>V788*0.2</f>
        <v/>
      </c>
      <c r="X788" s="22">
        <f>O788-Q788-R788-S788-U788-V788+T788+W788</f>
        <v/>
      </c>
      <c r="Y788" s="14" t="n"/>
      <c r="Z788" s="15">
        <f>O788+1.5</f>
        <v/>
      </c>
      <c r="AA788" s="15" t="n"/>
      <c r="AB788" s="15" t="n"/>
      <c r="AC788" s="14" t="n"/>
      <c r="AD788" s="14" t="n"/>
      <c r="AE788" s="13" t="inlineStr">
        <is>
          <t>NOT_UPLOADED</t>
        </is>
      </c>
    </row>
    <row r="789" ht="16" customHeight="1">
      <c r="A789" s="17" t="n">
        <v>3154147413012</v>
      </c>
      <c r="B789" s="17" t="n">
        <v>3154147413012</v>
      </c>
      <c r="C789" s="13" t="n"/>
      <c r="D789" s="18" t="n"/>
      <c r="E789" s="18" t="inlineStr">
        <is>
          <t>MAP-3154147413012</t>
        </is>
      </c>
      <c r="F789" s="17" t="n">
        <v>9741301</v>
      </c>
      <c r="G789" s="18" t="inlineStr">
        <is>
          <t>ARGOPRIMA</t>
        </is>
      </c>
      <c r="H789" s="18" t="inlineStr">
        <is>
          <t>MAPED</t>
        </is>
      </c>
      <c r="I789" s="18" t="inlineStr">
        <is>
          <t>Maped Marker'Peps Fineliner, radierbar, feine Filzstifte, Barbie trocken abwischbar, Schiefer und Whiteboards, 4 Farben: Blau, Grün, Rosa und Violett</t>
        </is>
      </c>
      <c r="J789" s="18" t="inlineStr">
        <is>
          <t>No</t>
        </is>
      </c>
      <c r="K789" s="18" t="inlineStr">
        <is>
          <t>https://www.amazon.de/dp/B0CRVL721F</t>
        </is>
      </c>
      <c r="L789" s="18" t="inlineStr">
        <is>
          <t>B0CRVL721F</t>
        </is>
      </c>
      <c r="M789" s="19" t="n"/>
      <c r="N789" s="19" t="n"/>
      <c r="O789" s="19" t="n">
        <v>7.1</v>
      </c>
      <c r="P789" s="19">
        <f>O789/1.19</f>
        <v/>
      </c>
      <c r="Q789" s="19">
        <f>O789-P789</f>
        <v/>
      </c>
      <c r="R789" s="19">
        <f>O789*0.15</f>
        <v/>
      </c>
      <c r="S789" s="19" t="n">
        <v>2.34</v>
      </c>
      <c r="T789" s="19">
        <f>S789*0.2</f>
        <v/>
      </c>
      <c r="U789" s="19" t="n">
        <v>0.400000000000002</v>
      </c>
      <c r="V789" s="19" t="n">
        <v>2.4</v>
      </c>
      <c r="W789" s="19">
        <f>V789*0.2</f>
        <v/>
      </c>
      <c r="X789" s="22">
        <f>O789-Q789-R789-S789-U789-V789+T789+W789</f>
        <v/>
      </c>
      <c r="Y789" s="18" t="n"/>
      <c r="Z789" s="19">
        <f>O789+1.5</f>
        <v/>
      </c>
      <c r="AA789" s="19" t="n"/>
      <c r="AB789" s="19" t="n"/>
      <c r="AC789" s="18" t="n"/>
      <c r="AD789" s="18" t="n"/>
      <c r="AE789" s="13" t="inlineStr">
        <is>
          <t>NOT_UPLOADED</t>
        </is>
      </c>
    </row>
    <row r="790" ht="16" customHeight="1">
      <c r="A790" s="12" t="n">
        <v>3154149818662</v>
      </c>
      <c r="B790" s="12" t="n">
        <v>3154149818662</v>
      </c>
      <c r="C790" s="13" t="n"/>
      <c r="D790" s="14" t="n"/>
      <c r="E790" s="14" t="inlineStr">
        <is>
          <t>MAP-3154149818662</t>
        </is>
      </c>
      <c r="F790" s="12" t="n"/>
      <c r="G790" s="14" t="inlineStr">
        <is>
          <t>ARGOPRIMA</t>
        </is>
      </c>
      <c r="H790" s="14" t="inlineStr">
        <is>
          <t>MAPED</t>
        </is>
      </c>
      <c r="I790" s="14" t="inlineStr">
        <is>
          <t>Maped - Geschenk-Box BARBIE - Mal-Zubehör mit Köcher zum Gestalten - 35-tlg.</t>
        </is>
      </c>
      <c r="J790" s="14" t="inlineStr">
        <is>
          <t>No</t>
        </is>
      </c>
      <c r="K790" s="14" t="inlineStr">
        <is>
          <t>https://www.amazon.de/dp/B0CPYQB35S</t>
        </is>
      </c>
      <c r="L790" s="14" t="inlineStr">
        <is>
          <t>B0CPYQB35S</t>
        </is>
      </c>
      <c r="M790" s="15" t="n"/>
      <c r="N790" s="15" t="n"/>
      <c r="O790" s="15" t="n">
        <v>15.77</v>
      </c>
      <c r="P790" s="15">
        <f>O790/1.19</f>
        <v/>
      </c>
      <c r="Q790" s="15">
        <f>O790-P790</f>
        <v/>
      </c>
      <c r="R790" s="15">
        <f>O790*0.15</f>
        <v/>
      </c>
      <c r="S790" s="15" t="n">
        <v>8.470000000000001</v>
      </c>
      <c r="T790" s="15">
        <f>S790*0.2</f>
        <v/>
      </c>
      <c r="U790" s="15" t="n">
        <v>0.400000000000002</v>
      </c>
      <c r="V790" s="15" t="n">
        <v>4.03</v>
      </c>
      <c r="W790" s="15">
        <f>V790*0.2</f>
        <v/>
      </c>
      <c r="X790" s="22">
        <f>O790-Q790-R790-S790-U790-V790+T790+W790</f>
        <v/>
      </c>
      <c r="Y790" s="14" t="n"/>
      <c r="Z790" s="15">
        <f>O790+1.5</f>
        <v/>
      </c>
      <c r="AA790" s="15" t="n"/>
      <c r="AB790" s="15" t="n"/>
      <c r="AC790" s="14" t="n"/>
      <c r="AD790" s="14" t="n"/>
      <c r="AE790" s="13" t="inlineStr">
        <is>
          <t>NOT_UPLOADED</t>
        </is>
      </c>
    </row>
    <row r="791" ht="16" customHeight="1">
      <c r="A791" s="17" t="n"/>
      <c r="B791" s="17" t="n">
        <v>4008600418719</v>
      </c>
      <c r="C791" s="13" t="n"/>
      <c r="D791" s="18" t="inlineStr">
        <is>
          <t>Approval required</t>
        </is>
      </c>
      <c r="E791" s="18" t="n"/>
      <c r="F791" s="17" t="n">
        <v>10741764</v>
      </c>
      <c r="G791" s="18" t="inlineStr">
        <is>
          <t>BEBOLINO</t>
        </is>
      </c>
      <c r="H791" s="18" t="inlineStr">
        <is>
          <t>NUK</t>
        </is>
      </c>
      <c r="I791" s="18" t="inlineStr">
        <is>
          <t>NUK Baby Bottle, 300 ml, Anti-Colic, Temperature Control, BPA Free, Silicone Teat, Disney First Choice+, 6-18 Months, Multi-Colour</t>
        </is>
      </c>
      <c r="J791" s="18" t="inlineStr">
        <is>
          <t>No</t>
        </is>
      </c>
      <c r="K791" s="18" t="inlineStr">
        <is>
          <t>https://www.amazon.de/-/en/Anti-Colic-Temperature-Control-Silicone-Multi-Colour/dp/B0BL1NKCGM/ref=sr_1_1?crid=3O5N7J7TOKH4M&amp;dib=eyJ2IjoiMSJ9.oxy1qBE_QL-75XEvKzUylA.kyLOJTrlfbj4r-Y_40DA7MsEdhcRgefLymvO-k7MtRE&amp;dib_tag=se&amp;keywords=4008600418719&amp;qid=1758107988&amp;s=baby&amp;sprefix=4008600418719%2Cbaby%2C98&amp;sr=1-1</t>
        </is>
      </c>
      <c r="L791" s="18" t="inlineStr">
        <is>
          <t>B0BL1NKCGM</t>
        </is>
      </c>
      <c r="M791" s="19" t="n"/>
      <c r="N791" s="19" t="n"/>
      <c r="O791" s="19" t="n">
        <v>16.77</v>
      </c>
      <c r="P791" s="19">
        <f>O791/1.19</f>
        <v/>
      </c>
      <c r="Q791" s="19">
        <f>O791-P791</f>
        <v/>
      </c>
      <c r="R791" s="19">
        <f>O791*0.15</f>
        <v/>
      </c>
      <c r="S791" s="19" t="n">
        <v>6.24</v>
      </c>
      <c r="T791" s="19">
        <f>S791*0.2</f>
        <v/>
      </c>
      <c r="U791" s="19" t="n">
        <v>0.400000000000002</v>
      </c>
      <c r="V791" s="19" t="n">
        <v>3</v>
      </c>
      <c r="W791" s="19">
        <f>V791*0.2</f>
        <v/>
      </c>
      <c r="X791" s="21">
        <f>O791-Q791-R791-S791-U791-V791+T791+W791</f>
        <v/>
      </c>
      <c r="Y791" s="18" t="n"/>
      <c r="Z791" s="19">
        <f>O791+1.5</f>
        <v/>
      </c>
      <c r="AA791" s="19" t="n"/>
      <c r="AB791" s="19" t="n"/>
      <c r="AC791" s="18" t="n"/>
      <c r="AD791" s="18" t="n"/>
      <c r="AE791" s="13" t="inlineStr">
        <is>
          <t>NOT_UPLOADED</t>
        </is>
      </c>
    </row>
    <row r="792" ht="16" customHeight="1">
      <c r="A792" s="12" t="n"/>
      <c r="B792" s="12" t="n">
        <v>4008600434368</v>
      </c>
      <c r="C792" s="20" t="inlineStr">
        <is>
          <t>PACK X 2</t>
        </is>
      </c>
      <c r="D792" s="14" t="inlineStr">
        <is>
          <t>Approval required</t>
        </is>
      </c>
      <c r="E792" s="14" t="n"/>
      <c r="F792" s="12" t="n">
        <v>10124028</v>
      </c>
      <c r="G792" s="14" t="inlineStr">
        <is>
          <t>BEBOLINO</t>
        </is>
      </c>
      <c r="H792" s="14" t="inlineStr">
        <is>
          <t>NUK</t>
        </is>
      </c>
      <c r="I792" s="14" t="inlineStr">
        <is>
          <t>NUK Perfect Match Baby Bottle Teat | From 0 Months | Adapts to Baby | Anti-Colic | BPA Free | Silicone Teat for Bottles, Small | Pack of 2 (Pack of 2)</t>
        </is>
      </c>
      <c r="J792" s="14" t="inlineStr">
        <is>
          <t>No</t>
        </is>
      </c>
      <c r="K792" s="14" t="inlineStr">
        <is>
          <t>https://www.amazon.de/-/en/Perfect-Bottle-Anti-Colic-Silicone-Bottles/dp/B0DZN7QVKK/ref=sr_1_4?dib=eyJ2IjoiMSJ9.OesR__6o-TrNKaFxTKOpMqxh3isYrOWUmPZZvBY-510fjRO46WUTJY1IUekVgZ5wxOMmajoGI18erXFglAO5l_T-rHRR8V77ozVhYnvNHarEz5ZJzAQHoMRF_8Cyza8Kttyu3GnltJIjiR0P5AerS11_FvLAAQBrzEqjb2msNUV00rqytU8u9kUZNsKGdF48jhDPQ9GBxAby-py3hIh4k02nrtAEWVd9aB1iUBr8iR6ObrIYJqH6QI5NKQWTog6Jv7gt2dNiYewpf6Xj8yOMX6Kf-2urHgNhNsbxA1qTFrA.DEgGFYceU9XcY2Vu9vJFZgC0JxNm4TrcL33aJ72lUJY&amp;dib_tag=se&amp;keywords=NUK+Perfect+Match+Baby+Bottle+Teat&amp;qid=1758109504&amp;s=baby&amp;sr=1-4</t>
        </is>
      </c>
      <c r="L792" s="14" t="inlineStr">
        <is>
          <t>B0DZN7QVKK</t>
        </is>
      </c>
      <c r="M792" s="15" t="n"/>
      <c r="N792" s="15" t="n"/>
      <c r="O792" s="15" t="n">
        <v>14</v>
      </c>
      <c r="P792" s="15">
        <f>O792/1.19</f>
        <v/>
      </c>
      <c r="Q792" s="15">
        <f>O792-P792</f>
        <v/>
      </c>
      <c r="R792" s="15">
        <f>O792*0.15</f>
        <v/>
      </c>
      <c r="S792" s="15" t="n">
        <v>4.1</v>
      </c>
      <c r="T792" s="15">
        <f>S792*0.2</f>
        <v/>
      </c>
      <c r="U792" s="15" t="n">
        <v>0.400000000000002</v>
      </c>
      <c r="V792" s="15" t="n">
        <v>2</v>
      </c>
      <c r="W792" s="15">
        <f>V792*0.2</f>
        <v/>
      </c>
      <c r="X792" s="21">
        <f>O792-Q792-R792-S792-U792-V792+T792+W792</f>
        <v/>
      </c>
      <c r="Y792" s="14" t="n"/>
      <c r="Z792" s="15">
        <f>O792+1.5</f>
        <v/>
      </c>
      <c r="AA792" s="15" t="n"/>
      <c r="AB792" s="15" t="n"/>
      <c r="AC792" s="14" t="n"/>
      <c r="AD792" s="14" t="n"/>
      <c r="AE792" s="13" t="inlineStr">
        <is>
          <t>NOT_UPLOADED</t>
        </is>
      </c>
    </row>
    <row r="793" ht="16" customHeight="1">
      <c r="A793" s="17" t="n">
        <v>4008600434238</v>
      </c>
      <c r="B793" s="17" t="n">
        <v>4008600434238</v>
      </c>
      <c r="C793" s="13" t="n"/>
      <c r="D793" s="18" t="inlineStr">
        <is>
          <t>Approval required</t>
        </is>
      </c>
      <c r="E793" s="18" t="inlineStr">
        <is>
          <t>BEB-4008600434238</t>
        </is>
      </c>
      <c r="F793" s="17" t="n">
        <v>10216016</v>
      </c>
      <c r="G793" s="18" t="inlineStr">
        <is>
          <t>BEBOLINO</t>
        </is>
      </c>
      <c r="H793" s="18" t="inlineStr">
        <is>
          <t>NUK</t>
        </is>
      </c>
      <c r="I793" s="18" t="inlineStr">
        <is>
          <t>NUK Perfect Match Baby Bottle, 260 ml, from 3 Months, Grey (1 Piece)</t>
        </is>
      </c>
      <c r="J793" s="18" t="inlineStr">
        <is>
          <t>No</t>
        </is>
      </c>
      <c r="K793" s="18" t="inlineStr">
        <is>
          <t>https://www.amazon.de/-/en/Perfect-Match-Bottle-Months-Piece/dp/B0F3FTRTD5/ref=sr_1_11?dib=eyJ2IjoiMSJ9.lpIpcmFZpP__7prI9Z7pkrd29My0JSCjT15X9cwT2eLCsD9_-dHvGevPSwMF9m_fXV08QJDcTAROwaKjjyORCl5IkOUn6y6liLp3HbTG6hHeddkrwk-TTdEaVSCEZ6hmtCvjlnu12IPBf7ENLxMaeV7bmQHBifDrDd5rErUYhG54x0dfKvjsvjDaaNylIVcYKUzyzQfPi5zzpMZw7l6jSIb9zUiBvWJlcc3tm4lgF7ELr-CMJHd81IgGLb57Hc82QOVhj7Jci5c5j1JDCisW5VVo9QEd8a_7Xpqajv2vWMU.SzbTB--f6M1_A6gIrlZRbuLLbiAxXjc33jbzEc1UA8g&amp;dib_tag=se&amp;keywords=NUK+Perfect+Match+%D0%A0%D0%A0+260&amp;qid=1758113963&amp;s=baby&amp;sr=1-11</t>
        </is>
      </c>
      <c r="L793" s="18" t="inlineStr">
        <is>
          <t>B0F3FTRTD5</t>
        </is>
      </c>
      <c r="M793" s="19" t="n"/>
      <c r="N793" s="19" t="n"/>
      <c r="O793" s="19" t="n">
        <v>14.9</v>
      </c>
      <c r="P793" s="19">
        <f>O793/1.19</f>
        <v/>
      </c>
      <c r="Q793" s="19">
        <f>O793-P793</f>
        <v/>
      </c>
      <c r="R793" s="19">
        <f>O793*0.15</f>
        <v/>
      </c>
      <c r="S793" s="19" t="n">
        <v>6.14</v>
      </c>
      <c r="T793" s="19">
        <f>S793*0.2</f>
        <v/>
      </c>
      <c r="U793" s="19" t="n">
        <v>0.400000000000002</v>
      </c>
      <c r="V793" s="19" t="n">
        <v>2.2</v>
      </c>
      <c r="W793" s="19">
        <f>V793*0.2</f>
        <v/>
      </c>
      <c r="X793" s="21">
        <f>O793-Q793-R793-S793-U793-V793+T793+W793</f>
        <v/>
      </c>
      <c r="Y793" s="18" t="n"/>
      <c r="Z793" s="19">
        <f>O793+1.5</f>
        <v/>
      </c>
      <c r="AA793" s="19" t="n"/>
      <c r="AB793" s="19" t="n"/>
      <c r="AC793" s="18" t="n"/>
      <c r="AD793" s="18" t="n"/>
      <c r="AE793" s="13" t="inlineStr">
        <is>
          <t>NOT_UPLOADED</t>
        </is>
      </c>
    </row>
    <row r="794" ht="16" customHeight="1">
      <c r="A794" s="12" t="n"/>
      <c r="B794" s="12" t="n">
        <v>4008600434566</v>
      </c>
      <c r="C794" s="13" t="n"/>
      <c r="D794" s="14" t="inlineStr">
        <is>
          <t>Approval required</t>
        </is>
      </c>
      <c r="E794" s="14" t="n"/>
      <c r="F794" s="12" t="n">
        <v>10225305</v>
      </c>
      <c r="G794" s="14" t="inlineStr">
        <is>
          <t>BEBOLINO</t>
        </is>
      </c>
      <c r="H794" s="14" t="inlineStr">
        <is>
          <t>NUK</t>
        </is>
      </c>
      <c r="I794" s="14" t="inlineStr">
        <is>
          <t>NUK Perfect Match Perfect Start Baby Bottle Set | From 0 Months | Adapts to Baby | 4 Anti-Colic Baby Bottles, Dummy, Bottle Brush and More | BPA Free | 9 Pieces</t>
        </is>
      </c>
      <c r="J794" s="14" t="inlineStr">
        <is>
          <t>No</t>
        </is>
      </c>
      <c r="K794" s="14" t="inlineStr">
        <is>
          <t>https://www.amazon.de/-/en/Perfect-Bottle-Months-Anti-Colic-Bottles/dp/B0CLRRYGCW/ref=sr_1_5?crid=1FKCXQ1JAFMBZ&amp;dib=eyJ2IjoiMSJ9.7z18AO0AC475ab9gRcQJexCO2uTEho-VRuXSd13Iz1R-UnMaYe9z2vgVkTwoIAHseAkEHt2pTikS5myPfIhmBVkHfQuT7xqhiRJTLmco0VZVu_6S5NPiJBVNwyePoxirKbLYQllQ8l1VLJCSeIK2y7IByM4S1SQQykvQ2eYC2v6aPBftLsrwmXQlQuwTiXUn5yDk93kw0HXYLvl7PsLolUWauNB_-xUqp57Dn_3TskZ7qWMktr7-g_pv3JgXVj3g4G-1-B1tRiDEMH1sGuXpw4eWJFcgEKwbfQ80wB-0qsM.64gGxiw8jbLBN9Ebj_53IeMKVVi3Y86wjP1EBGvHDCg&amp;dib_tag=se&amp;keywords=NUK%2BPerfect%2BMatch%2BSET&amp;qid=1758114795&amp;s=baby&amp;sprefix=nuk%2Bperfect%2Bmatch%2Bset%2Cbaby%2C195&amp;sr=1-5&amp;th=1</t>
        </is>
      </c>
      <c r="L794" s="14" t="inlineStr">
        <is>
          <t>B0CLRRYGCW</t>
        </is>
      </c>
      <c r="M794" s="15" t="n"/>
      <c r="N794" s="15" t="n"/>
      <c r="O794" s="15" t="n">
        <v>42.85</v>
      </c>
      <c r="P794" s="15">
        <f>O794/1.19</f>
        <v/>
      </c>
      <c r="Q794" s="15">
        <f>O794-P794</f>
        <v/>
      </c>
      <c r="R794" s="15">
        <f>O794*0.15</f>
        <v/>
      </c>
      <c r="S794" s="15" t="n">
        <v>22.5</v>
      </c>
      <c r="T794" s="15">
        <f>S794*0.2</f>
        <v/>
      </c>
      <c r="U794" s="15" t="n">
        <v>0.400000000000002</v>
      </c>
      <c r="V794" s="15" t="n">
        <v>5.5</v>
      </c>
      <c r="W794" s="15">
        <f>V794*0.2</f>
        <v/>
      </c>
      <c r="X794" s="21">
        <f>O794-Q794-R794-S794-U794-V794+T794+W794</f>
        <v/>
      </c>
      <c r="Y794" s="14" t="n"/>
      <c r="Z794" s="15">
        <f>O794+1.5</f>
        <v/>
      </c>
      <c r="AA794" s="15" t="n"/>
      <c r="AB794" s="15" t="n"/>
      <c r="AC794" s="14" t="n"/>
      <c r="AD794" s="14" t="n"/>
      <c r="AE794" s="13" t="inlineStr">
        <is>
          <t>NOT_UPLOADED</t>
        </is>
      </c>
    </row>
    <row r="795" ht="16" customHeight="1">
      <c r="A795" s="17" t="n"/>
      <c r="B795" s="17" t="n">
        <v>4008600434443</v>
      </c>
      <c r="C795" s="13" t="n"/>
      <c r="D795" s="18" t="inlineStr">
        <is>
          <t>Approval required</t>
        </is>
      </c>
      <c r="E795" s="18" t="n"/>
      <c r="F795" s="17" t="n">
        <v>10225315</v>
      </c>
      <c r="G795" s="18" t="inlineStr">
        <is>
          <t>BEBOLINO</t>
        </is>
      </c>
      <c r="H795" s="18" t="inlineStr">
        <is>
          <t>NUK</t>
        </is>
      </c>
      <c r="I795" s="18" t="inlineStr">
        <is>
          <t>NUK Perfect Match Baby Bottle Set | From 3 Months | Adapts to Baby | Temperature Control | Anti-Colic | 150 ml and 260 ml | BPA Free | Silicone Teat | Rainbow | Pack of 4</t>
        </is>
      </c>
      <c r="J795" s="18" t="inlineStr">
        <is>
          <t>No</t>
        </is>
      </c>
      <c r="K795" s="18" t="inlineStr">
        <is>
          <t>https://www.amazon.de/-/en/Perfect-Temperature-Control-Anti-Colic-Silicone/dp/B0CLRT1XW5/ref=sr_1_9?crid=2Y2L1NLTO9H1V&amp;dib=eyJ2IjoiMSJ9.7z18AO0AC475ab9gRcQJexCO2uTEho-VRuXSd13Iz1R-UnMaYe9z2vgVkTwoIAHseAkEHt2pTikS5myPfIhmBVkHfQuT7xqhiRJTLmco0VZVu_6S5NPiJBVNwyePoxirKbLYQllQ8l1VLJCSeIK2y7IByM4S1SQQykvQ2eYC2v6aPBftLsrwmXQlQuwTiXUn5yDk93kw0HXYLvl7PsLolUWauNB_-xUqp57Dn_3TskZ7qWMktr7-g_pv3JgXVj3g4G-1-B1tRiDEMH1sGuXpw4eWJFcgEKwbfQ80wB-0qsM.64gGxiw8jbLBN9Ebj_53IeMKVVi3Y86wjP1EBGvHDCg&amp;dib_tag=se&amp;keywords=NUK+PERFECT+MATCH+SET&amp;qid=1758115399&amp;s=baby&amp;sprefix=nuk+perfect+match+set%2Cbaby%2C114&amp;sr=1-9</t>
        </is>
      </c>
      <c r="L795" s="18" t="inlineStr">
        <is>
          <t>B0CLRT1XW5</t>
        </is>
      </c>
      <c r="M795" s="19" t="n"/>
      <c r="N795" s="19" t="n"/>
      <c r="O795" s="19" t="n">
        <v>31.95</v>
      </c>
      <c r="P795" s="19">
        <f>O795/1.19</f>
        <v/>
      </c>
      <c r="Q795" s="19">
        <f>O795-P795</f>
        <v/>
      </c>
      <c r="R795" s="19">
        <f>O795*0.15</f>
        <v/>
      </c>
      <c r="S795" s="19" t="n">
        <v>17.9</v>
      </c>
      <c r="T795" s="19">
        <f>S795*0.2</f>
        <v/>
      </c>
      <c r="U795" s="19" t="n">
        <v>0.400000000000002</v>
      </c>
      <c r="V795" s="19" t="n">
        <v>4</v>
      </c>
      <c r="W795" s="19">
        <f>V795*0.2</f>
        <v/>
      </c>
      <c r="X795" s="21">
        <f>O795-Q795-R795-S795-U795-V795+T795+W795</f>
        <v/>
      </c>
      <c r="Y795" s="18" t="n"/>
      <c r="Z795" s="19">
        <f>O795+1.5</f>
        <v/>
      </c>
      <c r="AA795" s="19" t="n"/>
      <c r="AB795" s="19" t="n"/>
      <c r="AC795" s="18" t="n"/>
      <c r="AD795" s="18" t="n"/>
      <c r="AE795" s="13" t="inlineStr">
        <is>
          <t>NOT_UPLOADED</t>
        </is>
      </c>
    </row>
    <row r="796" ht="16" customHeight="1">
      <c r="A796" s="12" t="n">
        <v>4008600434696</v>
      </c>
      <c r="B796" s="12" t="n">
        <v>4008600434696</v>
      </c>
      <c r="C796" s="20" t="inlineStr">
        <is>
          <t>FR</t>
        </is>
      </c>
      <c r="D796" s="14" t="n"/>
      <c r="E796" s="14" t="inlineStr">
        <is>
          <t>BEB-4008600434696</t>
        </is>
      </c>
      <c r="F796" s="12" t="n">
        <v>10225330</v>
      </c>
      <c r="G796" s="14" t="inlineStr">
        <is>
          <t>BEBOLINO</t>
        </is>
      </c>
      <c r="H796" s="14" t="inlineStr">
        <is>
          <t>NUK</t>
        </is>
      </c>
      <c r="I796" s="14" t="inlineStr">
        <is>
          <t>NUK Perfect Match Baby Bottle Set | From 0 Months | Adapts to Baby | 3 Anti-Colic Baby Bottles and Space Dummies | BPA Free | Disney's Mickey Mouse | Pack of 4</t>
        </is>
      </c>
      <c r="J796" s="14" t="inlineStr">
        <is>
          <t>No</t>
        </is>
      </c>
      <c r="K796" s="14" t="inlineStr">
        <is>
          <t>https://www.amazon.de/-/en/Perfect-Anti-Colic-Bottles-Dummies-Disneys/dp/B0CLS3Z9GH/ref=sr_1_4?crid=2PQOOP2D28XJN&amp;dib=eyJ2IjoiMSJ9.DpNGmfSgup-DECtjjRCRKg_-fXYhH_N9nX3oPGYma7snNUDaV-WKI0p88QnFUGHJ88Q1XUrDy3uZfOtRPyZvHxzbksRyoRmbm4L32ehDG8pkSTYOIQ8tZikXdeMg_mxDi6DrWOpYf_CNbED2MEiUKcqLuu7gRTFd0vJR7BVXAaIDUm7PcFyrb-acZ37dNLpSgUByI9JF7ZtYsCd6aq74-YWe3dYt5Hs8OvAxdMOutsTXB-4-hLr6qpoACiTVAYdOyXLZCAR1Qb5-h8kPXrw0SR3vGpEfAizcF4mNFMr6e1Q.18n6BiDsCVSXuQhkpcO7RVrlCJCV-vJRytHsK9Uhwos&amp;dib_tag=se&amp;keywords=NUK%2BPERFECT%2BMATCH%2BSET%2BMICKEY&amp;qid=1758115674&amp;s=baby&amp;sprefix=nuk%2Bperfect%2Bmatch%2Bset%2Bmickey%2Cbaby%2C110&amp;sr=1-4&amp;th=1</t>
        </is>
      </c>
      <c r="L796" s="14" t="inlineStr">
        <is>
          <t>B0CLS3Z9GH</t>
        </is>
      </c>
      <c r="M796" s="15" t="n"/>
      <c r="N796" s="15" t="n"/>
      <c r="O796" s="15" t="n">
        <v>33.7</v>
      </c>
      <c r="P796" s="15">
        <f>O796/1.19</f>
        <v/>
      </c>
      <c r="Q796" s="15">
        <f>O796-P796</f>
        <v/>
      </c>
      <c r="R796" s="15">
        <f>O796*0.15</f>
        <v/>
      </c>
      <c r="S796" s="15" t="n">
        <v>18.41</v>
      </c>
      <c r="T796" s="15">
        <f>S796*0.2</f>
        <v/>
      </c>
      <c r="U796" s="15" t="n">
        <v>0.400000000000002</v>
      </c>
      <c r="V796" s="15" t="n">
        <v>4</v>
      </c>
      <c r="W796" s="15">
        <f>V796*0.2</f>
        <v/>
      </c>
      <c r="X796" s="21">
        <f>O796-Q796-R796-S796-U796-V796+T796+W796</f>
        <v/>
      </c>
      <c r="Y796" s="14" t="n"/>
      <c r="Z796" s="15">
        <f>O796+1.5</f>
        <v/>
      </c>
      <c r="AA796" s="15" t="n"/>
      <c r="AB796" s="15" t="n"/>
      <c r="AC796" s="14" t="n"/>
      <c r="AD796" s="14" t="n"/>
      <c r="AE796" s="13" t="inlineStr">
        <is>
          <t>NOT_UPLOADED</t>
        </is>
      </c>
    </row>
    <row r="797" ht="16" customHeight="1">
      <c r="A797" s="17" t="n"/>
      <c r="B797" s="17" t="n">
        <v>4008600434702</v>
      </c>
      <c r="C797" s="13" t="n"/>
      <c r="D797" s="18" t="inlineStr">
        <is>
          <t>Approval required</t>
        </is>
      </c>
      <c r="E797" s="18" t="n"/>
      <c r="F797" s="17" t="n">
        <v>10225331</v>
      </c>
      <c r="G797" s="18" t="inlineStr">
        <is>
          <t>BEBOLINO</t>
        </is>
      </c>
      <c r="H797" s="18" t="inlineStr">
        <is>
          <t>NUK</t>
        </is>
      </c>
      <c r="I797" s="18" t="inlineStr">
        <is>
          <t>NUK Perfect Match Baby Bottle Set | From 0 Months | Adapts to Baby | 3 Anti-Colic Baby Bottles and Space Dummies | BPA-Free | Disney's Winnie the Pooh | Pack of 4</t>
        </is>
      </c>
      <c r="J797" s="18" t="inlineStr">
        <is>
          <t>No</t>
        </is>
      </c>
      <c r="K797" s="18" t="inlineStr">
        <is>
          <t>https://www.amazon.de/-/en/Perfect-Anti-Colic-Bottles-Dummies-BPA-Free/dp/B0CLRSBQ64/ref=sr_1_1?dib=eyJ2IjoiMSJ9.lQsxLJDwsbetce-83ENb7w.Wdl7vi8oMK2R4OtZ3dMiTJW_O6SSQ-92CWLnOgtiWTI&amp;dib_tag=se&amp;keywords=4008600434702&amp;qid=1758115894&amp;s=baby&amp;sr=1-1&amp;th=1</t>
        </is>
      </c>
      <c r="L797" s="18" t="inlineStr">
        <is>
          <t>B0CLRSBQ64</t>
        </is>
      </c>
      <c r="M797" s="19" t="n"/>
      <c r="N797" s="19" t="n"/>
      <c r="O797" s="19" t="n">
        <v>33.9</v>
      </c>
      <c r="P797" s="19">
        <f>O797/1.19</f>
        <v/>
      </c>
      <c r="Q797" s="19">
        <f>O797-P797</f>
        <v/>
      </c>
      <c r="R797" s="19">
        <f>O797*0.15</f>
        <v/>
      </c>
      <c r="S797" s="19" t="n">
        <v>18.41</v>
      </c>
      <c r="T797" s="19">
        <f>S797*0.2</f>
        <v/>
      </c>
      <c r="U797" s="19" t="n">
        <v>0.400000000000002</v>
      </c>
      <c r="V797" s="19" t="n">
        <v>4</v>
      </c>
      <c r="W797" s="19">
        <f>V797*0.2</f>
        <v/>
      </c>
      <c r="X797" s="21">
        <f>O797-Q797-R797-S797-U797-V797+T797+W797</f>
        <v/>
      </c>
      <c r="Y797" s="18" t="n"/>
      <c r="Z797" s="19">
        <f>O797+1.5</f>
        <v/>
      </c>
      <c r="AA797" s="19" t="n"/>
      <c r="AB797" s="19" t="n"/>
      <c r="AC797" s="18" t="n"/>
      <c r="AD797" s="18" t="n"/>
      <c r="AE797" s="13" t="inlineStr">
        <is>
          <t>NOT_UPLOADED</t>
        </is>
      </c>
    </row>
    <row r="798" ht="16" customHeight="1">
      <c r="A798" s="12" t="n">
        <v>4008600441656</v>
      </c>
      <c r="B798" s="12" t="n">
        <v>4008600441656</v>
      </c>
      <c r="C798" s="20" t="inlineStr">
        <is>
          <t>ES</t>
        </is>
      </c>
      <c r="D798" s="14" t="inlineStr">
        <is>
          <t>Approval required</t>
        </is>
      </c>
      <c r="E798" s="14" t="inlineStr">
        <is>
          <t>BEB-4008600441656</t>
        </is>
      </c>
      <c r="F798" s="12" t="n">
        <v>10175333</v>
      </c>
      <c r="G798" s="14" t="inlineStr">
        <is>
          <t>BEBOLINO</t>
        </is>
      </c>
      <c r="H798" s="14" t="inlineStr">
        <is>
          <t>NUK</t>
        </is>
      </c>
      <c r="I798" s="14" t="inlineStr">
        <is>
          <t>Nuk Star Peppa Pig Silicone Pacifier 0-6m X2</t>
        </is>
      </c>
      <c r="J798" s="14" t="inlineStr">
        <is>
          <t>No</t>
        </is>
      </c>
      <c r="K798" s="14" t="inlineStr">
        <is>
          <t>https://www.amazon.de/-/en/Star-Peppa-Silicone-Pacifier-0-6m/dp/B0DG8YQ14F/ref=sr_1_1?crid=1TORX0IK7K7II&amp;dib=eyJ2IjoiMSJ9.9F-0c3axg58SuPfi-s0fmQ.pspAiZfd9iobua_Qk-aJZuzUeVb6sxdRB8Uf_eu1Q44&amp;dib_tag=se&amp;keywords=4008600441656&amp;qid=1758116247&amp;s=baby&amp;sprefix=4008600441656%2Cbaby%2C208&amp;sr=1-1&amp;th=1</t>
        </is>
      </c>
      <c r="L798" s="14" t="inlineStr">
        <is>
          <t>B0DG8YQ14F</t>
        </is>
      </c>
      <c r="M798" s="15" t="n"/>
      <c r="N798" s="15" t="n"/>
      <c r="O798" s="15" t="n">
        <v>10.7</v>
      </c>
      <c r="P798" s="15">
        <f>O798/1.19</f>
        <v/>
      </c>
      <c r="Q798" s="15">
        <f>O798-P798</f>
        <v/>
      </c>
      <c r="R798" s="15">
        <f>O798*0.15</f>
        <v/>
      </c>
      <c r="S798" s="15" t="n">
        <v>4.91</v>
      </c>
      <c r="T798" s="15">
        <f>S798*0.2</f>
        <v/>
      </c>
      <c r="U798" s="15" t="n">
        <v>0.400000000000002</v>
      </c>
      <c r="V798" s="15" t="n">
        <v>2</v>
      </c>
      <c r="W798" s="15">
        <f>V798*0.2</f>
        <v/>
      </c>
      <c r="X798" s="16">
        <f>O798-Q798-R798-S798-U798-V798+T798+W798</f>
        <v/>
      </c>
      <c r="Y798" s="14" t="n"/>
      <c r="Z798" s="15">
        <f>O798+1.5</f>
        <v/>
      </c>
      <c r="AA798" s="15" t="n"/>
      <c r="AB798" s="15" t="n"/>
      <c r="AC798" s="14" t="n"/>
      <c r="AD798" s="14" t="n"/>
      <c r="AE798" s="13" t="inlineStr">
        <is>
          <t>NOT_UPLOADED</t>
        </is>
      </c>
    </row>
    <row r="799" ht="16" customHeight="1">
      <c r="A799" s="17" t="n">
        <v>4008600441649</v>
      </c>
      <c r="B799" s="17" t="n">
        <v>4008600441649</v>
      </c>
      <c r="C799" s="20" t="inlineStr">
        <is>
          <t>FR</t>
        </is>
      </c>
      <c r="D799" s="18" t="n"/>
      <c r="E799" s="18" t="inlineStr">
        <is>
          <t>BEB-4008600441649</t>
        </is>
      </c>
      <c r="F799" s="17" t="n">
        <v>10176335</v>
      </c>
      <c r="G799" s="18" t="inlineStr">
        <is>
          <t>BEBOLINO</t>
        </is>
      </c>
      <c r="H799" s="18" t="inlineStr">
        <is>
          <t>NUK</t>
        </is>
      </c>
      <c r="I799" s="18" t="inlineStr">
        <is>
          <t>Nuk Star Peppa Pig Pacifier 6-18m 2pcs</t>
        </is>
      </c>
      <c r="J799" s="18" t="inlineStr">
        <is>
          <t>No</t>
        </is>
      </c>
      <c r="K799" s="18" t="inlineStr">
        <is>
          <t>https://www.amazon.de/-/en/Star-Peppa-Pacifier-6-18m-2pcs/dp/B0DG8YL364/ref=sr_1_1?crid=2T7RWVADH42LN&amp;dib=eyJ2IjoiMSJ9.fpukgO5yLF-49zQnTtEFkw.ccZvczUgPdfRWWAsNsarp2PF8IU2eTYs7FUnUyw5Iqo&amp;dib_tag=se&amp;keywords=4008600441649&amp;qid=1758116436&amp;s=baby&amp;sprefix=4008600441649%2Cbaby%2C239&amp;sr=1-1</t>
        </is>
      </c>
      <c r="L799" s="18" t="inlineStr">
        <is>
          <t>B0DG8YL364</t>
        </is>
      </c>
      <c r="M799" s="19" t="n"/>
      <c r="N799" s="19" t="n"/>
      <c r="O799" s="19" t="n">
        <v>11.99</v>
      </c>
      <c r="P799" s="19">
        <f>O799/1.19</f>
        <v/>
      </c>
      <c r="Q799" s="19">
        <f>O799-P799</f>
        <v/>
      </c>
      <c r="R799" s="19">
        <f>O799*0.15</f>
        <v/>
      </c>
      <c r="S799" s="19" t="n">
        <v>4.91</v>
      </c>
      <c r="T799" s="19">
        <f>S799*0.2</f>
        <v/>
      </c>
      <c r="U799" s="19" t="n">
        <v>0.400000000000002</v>
      </c>
      <c r="V799" s="19" t="n">
        <v>2</v>
      </c>
      <c r="W799" s="19">
        <f>V799*0.2</f>
        <v/>
      </c>
      <c r="X799" s="21">
        <f>O799-Q799-R799-S799-U799-V799+T799+W799</f>
        <v/>
      </c>
      <c r="Y799" s="18" t="n"/>
      <c r="Z799" s="19">
        <f>O799+1.5</f>
        <v/>
      </c>
      <c r="AA799" s="19" t="n"/>
      <c r="AB799" s="19" t="n"/>
      <c r="AC799" s="18" t="n"/>
      <c r="AD799" s="18" t="n"/>
      <c r="AE799" s="13" t="inlineStr">
        <is>
          <t>NOT_UPLOADED</t>
        </is>
      </c>
    </row>
    <row r="800" ht="16" customHeight="1">
      <c r="A800" s="12" t="n"/>
      <c r="B800" s="12" t="n">
        <v>4008600441632</v>
      </c>
      <c r="C800" s="13" t="n"/>
      <c r="D800" s="14" t="inlineStr">
        <is>
          <t>Approval required</t>
        </is>
      </c>
      <c r="E800" s="14" t="n"/>
      <c r="F800" s="12" t="n">
        <v>10177219</v>
      </c>
      <c r="G800" s="14" t="inlineStr">
        <is>
          <t>BEBOLINO</t>
        </is>
      </c>
      <c r="H800" s="14" t="inlineStr">
        <is>
          <t>NUK</t>
        </is>
      </c>
      <c r="I800" s="14" t="inlineStr">
        <is>
          <t>Nuk Star Peppa Pig Pacifier 18-36m 2pcs</t>
        </is>
      </c>
      <c r="J800" s="14" t="inlineStr">
        <is>
          <t>No</t>
        </is>
      </c>
      <c r="K800" s="14" t="inlineStr">
        <is>
          <t>https://www.amazon.de/-/en/Star-Peppa-Pacifier-18-36m-2pcs/dp/B0DG8ZZVVC/ref=sr_1_1?crid=VPP3VGZRO3UK&amp;dib=eyJ2IjoiMSJ9.1dwdq7ZHYTaSlIIqoB4LLg.kzoh-9AnsmRniG9Q_3YMWFFQbtp4MCt95xh8pFcMOqM&amp;dib_tag=se&amp;keywords=4008600441632&amp;qid=1758116575&amp;s=baby&amp;sprefix=4008600441632%2Cbaby%2C215&amp;sr=1-1&amp;th=1</t>
        </is>
      </c>
      <c r="L800" s="14" t="inlineStr">
        <is>
          <t>B0DG8ZZVVC</t>
        </is>
      </c>
      <c r="M800" s="15" t="n"/>
      <c r="N800" s="15" t="n"/>
      <c r="O800" s="15" t="n">
        <v>11.8</v>
      </c>
      <c r="P800" s="15">
        <f>O800/1.19</f>
        <v/>
      </c>
      <c r="Q800" s="15">
        <f>O800-P800</f>
        <v/>
      </c>
      <c r="R800" s="15">
        <f>O800*0.15</f>
        <v/>
      </c>
      <c r="S800" s="15" t="n">
        <v>4.91</v>
      </c>
      <c r="T800" s="15">
        <f>S800*0.2</f>
        <v/>
      </c>
      <c r="U800" s="15" t="n">
        <v>0.400000000000002</v>
      </c>
      <c r="V800" s="15" t="n">
        <v>2</v>
      </c>
      <c r="W800" s="15">
        <f>V800*0.2</f>
        <v/>
      </c>
      <c r="X800" s="21">
        <f>O800-Q800-R800-S800-U800-V800+T800+W800</f>
        <v/>
      </c>
      <c r="Y800" s="14" t="n"/>
      <c r="Z800" s="15">
        <f>O800+1.5</f>
        <v/>
      </c>
      <c r="AA800" s="15" t="n"/>
      <c r="AB800" s="15" t="n"/>
      <c r="AC800" s="14" t="n"/>
      <c r="AD800" s="14" t="n"/>
      <c r="AE800" s="13" t="inlineStr">
        <is>
          <t>NOT_UPLOADED</t>
        </is>
      </c>
    </row>
    <row r="801" ht="16" customHeight="1">
      <c r="A801" s="17" t="n">
        <v>4008600419563</v>
      </c>
      <c r="B801" s="17" t="n">
        <v>4008600419563</v>
      </c>
      <c r="C801" s="13" t="n"/>
      <c r="D801" s="18" t="inlineStr">
        <is>
          <t>ONLY FR</t>
        </is>
      </c>
      <c r="E801" s="18" t="inlineStr">
        <is>
          <t>BEB-4008600419563</t>
        </is>
      </c>
      <c r="F801" s="17" t="n">
        <v>10124025</v>
      </c>
      <c r="G801" s="18" t="inlineStr">
        <is>
          <t>BEBOLINO</t>
        </is>
      </c>
      <c r="H801" s="18" t="inlineStr">
        <is>
          <t>NUK</t>
        </is>
      </c>
      <c r="I801" s="18" t="inlineStr">
        <is>
          <t>NUK for Nature Replacement Silicone Teat for Baby Bottle, Small (0-6 Months), Modelled on the Mother's Breast, Anti-Colic Valve, Sustainable and BPA-Free Materials, Pack of 2</t>
        </is>
      </c>
      <c r="J801" s="18" t="inlineStr">
        <is>
          <t>No</t>
        </is>
      </c>
      <c r="K801" s="18" t="inlineStr">
        <is>
          <t>https://www.amazon.de/-/en/Replacement-Silicone-Anti-Colic-Sustainable-Materials/dp/B0BB1QPTMM/ref=sr_1_1?crid=3LGS3V7MDD42L&amp;dib=eyJ2IjoiMSJ9.o8AtJM3JB30lCutJOwrLcg.dEnZ5IV-aJMo6yUVacqiCiJ4LiBQw6_BcvdMqut1xiM&amp;dib_tag=se&amp;keywords=4008600419563&amp;qid=1758117770&amp;sprefix=4008600419563%2Caps%2C279&amp;sr=8-1</t>
        </is>
      </c>
      <c r="L801" s="18" t="inlineStr">
        <is>
          <t>B0BB1QPTMM</t>
        </is>
      </c>
      <c r="M801" s="19" t="n"/>
      <c r="N801" s="19" t="n"/>
      <c r="O801" s="19" t="n">
        <v>10.2</v>
      </c>
      <c r="P801" s="19">
        <f>O801/1.19</f>
        <v/>
      </c>
      <c r="Q801" s="19">
        <f>O801-P801</f>
        <v/>
      </c>
      <c r="R801" s="19">
        <f>O801*0.15</f>
        <v/>
      </c>
      <c r="S801" s="19" t="n">
        <v>4.61</v>
      </c>
      <c r="T801" s="19">
        <f>S801*0.2</f>
        <v/>
      </c>
      <c r="U801" s="19" t="n">
        <v>0.400000000000002</v>
      </c>
      <c r="V801" s="19" t="n">
        <v>2</v>
      </c>
      <c r="W801" s="19">
        <f>V801*0.2</f>
        <v/>
      </c>
      <c r="X801" s="16">
        <f>O801-Q801-R801-S801-U801-V801+T801+W801</f>
        <v/>
      </c>
      <c r="Y801" s="18" t="n"/>
      <c r="Z801" s="19">
        <f>O801+1.5</f>
        <v/>
      </c>
      <c r="AA801" s="19" t="n"/>
      <c r="AB801" s="19" t="n"/>
      <c r="AC801" s="18" t="n"/>
      <c r="AD801" s="18" t="n"/>
      <c r="AE801" s="13" t="inlineStr">
        <is>
          <t>NOT_UPLOADED</t>
        </is>
      </c>
    </row>
    <row r="802" ht="16" customHeight="1">
      <c r="A802" s="12" t="n">
        <v>4008600419556</v>
      </c>
      <c r="B802" s="12" t="n">
        <v>4008600419556</v>
      </c>
      <c r="C802" s="13" t="n"/>
      <c r="D802" s="14" t="inlineStr">
        <is>
          <t>ONLY FR</t>
        </is>
      </c>
      <c r="E802" s="14" t="inlineStr">
        <is>
          <t>BEB-4008600419556</t>
        </is>
      </c>
      <c r="F802" s="12" t="n">
        <v>10124026</v>
      </c>
      <c r="G802" s="14" t="inlineStr">
        <is>
          <t>BEBOLINO</t>
        </is>
      </c>
      <c r="H802" s="14" t="inlineStr">
        <is>
          <t>NUK</t>
        </is>
      </c>
      <c r="I802" s="14" t="inlineStr">
        <is>
          <t>NUK for Nature Replacement Silicone Teat for Baby Bottle, Medium Size (6-18 Months), Modelled on the Mother's Breast, Anti-Colic Valve, Sustainable and BPA-Free Materials, Pack of 2</t>
        </is>
      </c>
      <c r="J802" s="14" t="inlineStr">
        <is>
          <t>No</t>
        </is>
      </c>
      <c r="K802" s="14" t="inlineStr">
        <is>
          <t>https://www.amazon.de/-/en/Replacement-Silicone-Anti-Colic-Sustainable-Materials/dp/B0BB1QVQVH/ref=sr_1_1?crid=OP0LELDEFBM8&amp;dib=eyJ2IjoiMSJ9.nLKRtbmm40Xm51q1w89uAw.2feCFBlf2TTwjD4l5Pl3myfj5KSptCthedxWz9D9yKI&amp;dib_tag=se&amp;keywords=4008600419556&amp;qid=1758117949&amp;sprefix=4008600419556%2Caps%2C215&amp;sr=8-1&amp;th=1</t>
        </is>
      </c>
      <c r="L802" s="14" t="inlineStr">
        <is>
          <t>B0BB1QVQVH</t>
        </is>
      </c>
      <c r="M802" s="15" t="n"/>
      <c r="N802" s="15" t="n"/>
      <c r="O802" s="15" t="n">
        <v>10.95</v>
      </c>
      <c r="P802" s="15">
        <f>O802/1.19</f>
        <v/>
      </c>
      <c r="Q802" s="15">
        <f>O802-P802</f>
        <v/>
      </c>
      <c r="R802" s="15">
        <f>O802*0.15</f>
        <v/>
      </c>
      <c r="S802" s="15" t="n">
        <v>4.61</v>
      </c>
      <c r="T802" s="15">
        <f>S802*0.2</f>
        <v/>
      </c>
      <c r="U802" s="15" t="n">
        <v>0.400000000000002</v>
      </c>
      <c r="V802" s="15" t="n">
        <v>2</v>
      </c>
      <c r="W802" s="15">
        <f>V802*0.2</f>
        <v/>
      </c>
      <c r="X802" s="16">
        <f>O802-Q802-R802-S802-U802-V802+T802+W802</f>
        <v/>
      </c>
      <c r="Y802" s="14" t="n"/>
      <c r="Z802" s="15">
        <f>O802+1.5</f>
        <v/>
      </c>
      <c r="AA802" s="15" t="n"/>
      <c r="AB802" s="15" t="n"/>
      <c r="AC802" s="14" t="n"/>
      <c r="AD802" s="14" t="n"/>
      <c r="AE802" s="13" t="inlineStr">
        <is>
          <t>NOT_UPLOADED</t>
        </is>
      </c>
    </row>
    <row r="803" ht="16" customHeight="1">
      <c r="A803" s="17" t="n">
        <v>4008600424345</v>
      </c>
      <c r="B803" s="17" t="n">
        <v>4008600420668</v>
      </c>
      <c r="C803" s="20" t="inlineStr">
        <is>
          <t>ЗАЕК GREEN</t>
        </is>
      </c>
      <c r="D803" s="18" t="inlineStr">
        <is>
          <t>ONLY FR</t>
        </is>
      </c>
      <c r="E803" s="18" t="inlineStr">
        <is>
          <t>BEB-4008600424345</t>
        </is>
      </c>
      <c r="F803" s="17" t="n">
        <v>10743074</v>
      </c>
      <c r="G803" s="18" t="inlineStr">
        <is>
          <t>BEBOLINO</t>
        </is>
      </c>
      <c r="H803" s="18" t="inlineStr">
        <is>
          <t>NUK</t>
        </is>
      </c>
      <c r="I803" s="18" t="inlineStr">
        <is>
          <t>NUK for Nature Babyflaschen | Kleiner Trinksauger | 150 ml | Der Mutterbrust nachempfundener Anti-Colic Trinksauger aus Silikon | Temperature Control | Nachhaltige und BPA-freie Materialien | Grün</t>
        </is>
      </c>
      <c r="J803" s="18" t="inlineStr">
        <is>
          <t>No</t>
        </is>
      </c>
      <c r="K803" s="18" t="inlineStr">
        <is>
          <t>https://www.amazon.de/NUK-Babyflasche-Trinksauger-nachempfundener-Anti-Colic-Ventil/dp/B0BLNSNYM4/ref=sr_1_1?__mk_de_DE=%C3%85M%C3%85%C5%BD%C3%95%C3%91&amp;crid=2YZTHZ4AU9A70&amp;dib=eyJ2IjoiMSJ9.dh59CJr3DBov12M-a9m9hA.uH8iaGqbpc2gK4uIsczLAex9x1nJmVOhrmYSAuQQCBU&amp;dib_tag=se&amp;keywords=B0BLNSNYM4&amp;qid=1771862362&amp;sprefix=b0blnsnym4%2Caps%2C166&amp;sr=8-1</t>
        </is>
      </c>
      <c r="L803" s="18" t="inlineStr">
        <is>
          <t>B0BLNSNYM4</t>
        </is>
      </c>
      <c r="M803" s="19" t="n"/>
      <c r="N803" s="19" t="n"/>
      <c r="O803" s="19" t="n">
        <v>13.35</v>
      </c>
      <c r="P803" s="19">
        <f>O803/1.19</f>
        <v/>
      </c>
      <c r="Q803" s="19">
        <f>O803-P803</f>
        <v/>
      </c>
      <c r="R803" s="19">
        <f>O803*0.15</f>
        <v/>
      </c>
      <c r="S803" s="19" t="n">
        <v>5.63</v>
      </c>
      <c r="T803" s="19">
        <f>S803*0.2</f>
        <v/>
      </c>
      <c r="U803" s="19" t="n">
        <v>0.400000000000002</v>
      </c>
      <c r="V803" s="19" t="n">
        <v>2.4</v>
      </c>
      <c r="W803" s="19">
        <f>V803*0.2</f>
        <v/>
      </c>
      <c r="X803" s="21">
        <f>O803-Q803-R803-S803-U803-V803+T803+W803</f>
        <v/>
      </c>
      <c r="Y803" s="18" t="n"/>
      <c r="Z803" s="19">
        <f>O803+1.5</f>
        <v/>
      </c>
      <c r="AA803" s="19" t="n"/>
      <c r="AB803" s="19" t="n"/>
      <c r="AC803" s="18" t="n"/>
      <c r="AD803" s="18" t="n"/>
      <c r="AE803" s="13" t="inlineStr">
        <is>
          <t>NOT_UPLOADED</t>
        </is>
      </c>
    </row>
    <row r="804" ht="16" customHeight="1">
      <c r="A804" s="12" t="n">
        <v>4008600419600</v>
      </c>
      <c r="B804" s="12" t="n">
        <v>4008600420668</v>
      </c>
      <c r="C804" s="20" t="inlineStr">
        <is>
          <t>ЗАЕК BEIGE</t>
        </is>
      </c>
      <c r="D804" s="14" t="inlineStr">
        <is>
          <t>ONLY FR</t>
        </is>
      </c>
      <c r="E804" s="14" t="inlineStr">
        <is>
          <t>BEB-4008600419600</t>
        </is>
      </c>
      <c r="F804" s="12" t="n">
        <v>10743074</v>
      </c>
      <c r="G804" s="14" t="inlineStr">
        <is>
          <t>BEBOLINO</t>
        </is>
      </c>
      <c r="H804" s="14" t="inlineStr">
        <is>
          <t>NUK</t>
        </is>
      </c>
      <c r="I804" s="14" t="inlineStr">
        <is>
          <t>NUK for Nature Baby Bottles, Small Teat, 150 ml, Anti-Colic Silicone Teat Modeled on Mother's Breast, Temperature Control, Sustainable and BPA-Free Materials, Beige</t>
        </is>
      </c>
      <c r="J804" s="14" t="inlineStr">
        <is>
          <t>No</t>
        </is>
      </c>
      <c r="K804" s="14" t="inlineStr">
        <is>
          <t>https://www.amazon.de/-/en/Anti-Colic-Silicone-Temperature-Sustainable-Materials/dp/B0BB1SZWDT/ref=sr_1_2?crid=1JZGE82DF66OI&amp;dib=eyJ2IjoiMSJ9.gNkCPsCDrWOxcwjnxyPfeWB9iisXzDwTtykKg3MzRO1pVC5FqEFXTtYBUkzeCo-nVMsEjZ8UieIOnc7jXcTPWbkTSFMRWRR1dYUZTML8zFDzgtmiqmgsO2H-g9QqDPr5nr-cUYZ0DvBRoNvVDy_Gce3X20krAhVv8egXTNwrd4DXcq_04y2PapasVZENAzIgu2LvPR9SIuJcm2At6Yxwx_w-PfJHH-sfrMt8f45FUxiVS96gNS_efhC7jtiWR7bOiuAZJzC3wWBnfA1iRO3K5BbuXkcDFaHmq0N_g4zQkGc.txPKL-DsD01JUq9_2Va1InlmFRHlk7hlGgNU4OhiZKc&amp;dib_tag=se&amp;keywords=NUK%2BFOR%2BNATURE%2B150ML&amp;qid=1758118335&amp;sprefix=nuk%2Bfor%2Bnature%2B150ml%2Caps%2C148&amp;sr=8-2&amp;th=1</t>
        </is>
      </c>
      <c r="L804" s="14" t="inlineStr">
        <is>
          <t>B0BB1SZWDT</t>
        </is>
      </c>
      <c r="M804" s="15" t="n"/>
      <c r="N804" s="15" t="n"/>
      <c r="O804" s="15" t="n">
        <v>16.4</v>
      </c>
      <c r="P804" s="15">
        <f>O804/1.19</f>
        <v/>
      </c>
      <c r="Q804" s="15">
        <f>O804-P804</f>
        <v/>
      </c>
      <c r="R804" s="15">
        <f>O804*0.15</f>
        <v/>
      </c>
      <c r="S804" s="15" t="n">
        <v>5.63</v>
      </c>
      <c r="T804" s="15">
        <f>S804*0.2</f>
        <v/>
      </c>
      <c r="U804" s="15" t="n">
        <v>0.400000000000002</v>
      </c>
      <c r="V804" s="15" t="n">
        <v>2.4</v>
      </c>
      <c r="W804" s="15">
        <f>V804*0.2</f>
        <v/>
      </c>
      <c r="X804" s="21">
        <f>O804-Q804-R804-S804-U804-V804+T804+W804</f>
        <v/>
      </c>
      <c r="Y804" s="14" t="n"/>
      <c r="Z804" s="15">
        <f>O804+1.5</f>
        <v/>
      </c>
      <c r="AA804" s="15" t="n"/>
      <c r="AB804" s="15" t="n"/>
      <c r="AC804" s="14" t="n"/>
      <c r="AD804" s="14" t="n"/>
      <c r="AE804" s="13" t="inlineStr">
        <is>
          <t>NOT_UPLOADED</t>
        </is>
      </c>
    </row>
    <row r="805" ht="16" customHeight="1">
      <c r="A805" s="17" t="n">
        <v>4008600424338</v>
      </c>
      <c r="B805" s="17" t="n">
        <v>4008600420729</v>
      </c>
      <c r="C805" s="13" t="n"/>
      <c r="D805" s="18" t="inlineStr">
        <is>
          <t>ONLY FR</t>
        </is>
      </c>
      <c r="E805" s="18" t="inlineStr">
        <is>
          <t>BEB-4008600424338</t>
        </is>
      </c>
      <c r="F805" s="17" t="n">
        <v>10742003</v>
      </c>
      <c r="G805" s="18" t="inlineStr">
        <is>
          <t>BEBOLINO</t>
        </is>
      </c>
      <c r="H805" s="18" t="inlineStr">
        <is>
          <t>NUK</t>
        </is>
      </c>
      <c r="I805" s="18" t="inlineStr">
        <is>
          <t>NUK for Nature Baby Bottles, Medium Teat, 260 ml, Anti-Colic Teat Modeled on Mother's Breast (Silicone), Temperature Control, Sustainable Materials, Green</t>
        </is>
      </c>
      <c r="J805" s="18" t="inlineStr">
        <is>
          <t>No</t>
        </is>
      </c>
      <c r="K805" s="18" t="inlineStr">
        <is>
          <t>https://www.amazon.de/-/en/Anti-Colic-Silicone-Temperature-Sustainable-Materials/dp/B0BLNRHHB4/ref=sr_1_1?crid=331HO0LEMJPGD&amp;dib=eyJ2IjoiMSJ9.omdaFhksj1nn-tbqNuXUBdQKERAkS4Qgyw1VtI9ZsqJnaMTeV3GEcsyRzGqqZ980m4ZFds7gcLU1qkZjo_1aRI4n3A35johS1NEiTY2kER4zZDFMOeIzoFEoP2L_xH7sEDEoYIaTLlti42k2v3TzaaPkobyT251Im1ohCnKRbh8U1qZfBRNsifqPGFNhdRbqo6wx6EJj4BkL5sELtbtgkGPrMtzvqyH0Hb-NJHBxIa3132y34j643ULuSgZYXO4SdRyFZ6hBbb_X3tcsCo81vM7nJ0qDu7UYZflcUb9mztc.hjfB5WkQpxWJ9EzBt1btJNO1vEaSL9AOkcwia5jTyKQ&amp;dib_tag=se&amp;keywords=NUK%2BFOR%2BNATURE%2B260ML&amp;qid=1758118981&amp;sprefix=nuk%2Bfor%2Bnature%2B260ml%2Caps%2C145&amp;sr=8-1&amp;th=1</t>
        </is>
      </c>
      <c r="L805" s="18" t="inlineStr">
        <is>
          <t>B0BLNRHHB4</t>
        </is>
      </c>
      <c r="M805" s="19" t="n"/>
      <c r="N805" s="19" t="n"/>
      <c r="O805" s="19" t="n">
        <v>13.7</v>
      </c>
      <c r="P805" s="19">
        <f>O805/1.19</f>
        <v/>
      </c>
      <c r="Q805" s="19">
        <f>O805-P805</f>
        <v/>
      </c>
      <c r="R805" s="19">
        <f>O805*0.15</f>
        <v/>
      </c>
      <c r="S805" s="19" t="n">
        <v>6.14</v>
      </c>
      <c r="T805" s="19">
        <f>S805*0.2</f>
        <v/>
      </c>
      <c r="U805" s="19" t="n">
        <v>0.400000000000002</v>
      </c>
      <c r="V805" s="19" t="n">
        <v>2.4</v>
      </c>
      <c r="W805" s="19">
        <f>V805*0.2</f>
        <v/>
      </c>
      <c r="X805" s="21">
        <f>O805-Q805-R805-S805-U805-V805+T805+W805</f>
        <v/>
      </c>
      <c r="Y805" s="18" t="n"/>
      <c r="Z805" s="19">
        <f>O805+1.5</f>
        <v/>
      </c>
      <c r="AA805" s="19" t="n"/>
      <c r="AB805" s="19" t="n"/>
      <c r="AC805" s="18" t="n"/>
      <c r="AD805" s="18" t="n"/>
      <c r="AE805" s="13" t="inlineStr">
        <is>
          <t>NOT_UPLOADED</t>
        </is>
      </c>
    </row>
    <row r="806" ht="16" customHeight="1">
      <c r="A806" s="12" t="n">
        <v>4008600419594</v>
      </c>
      <c r="B806" s="12" t="n">
        <v>4008600419594</v>
      </c>
      <c r="C806" s="13" t="n"/>
      <c r="D806" s="14" t="n"/>
      <c r="E806" s="14" t="inlineStr">
        <is>
          <t>BEB-4008600419594</t>
        </is>
      </c>
      <c r="F806" s="12" t="n">
        <v>10215368</v>
      </c>
      <c r="G806" s="14" t="inlineStr">
        <is>
          <t>BEBOLINO</t>
        </is>
      </c>
      <c r="H806" s="14" t="inlineStr">
        <is>
          <t>NUK</t>
        </is>
      </c>
      <c r="I806" s="14" t="inlineStr">
        <is>
          <t>NUK for Nature Learning to Drink Cup, 150 ml, Handles and Breast-like Drinking Spout, Leak-Proof, 6-18 m, Anti-Colic, Temperature Control, Sustainable, BPA-Free Materials, Beige</t>
        </is>
      </c>
      <c r="J806" s="14" t="inlineStr">
        <is>
          <t>No</t>
        </is>
      </c>
      <c r="K806" s="14" t="inlineStr">
        <is>
          <t>https://www.amazon.de/-/en/Breast-like-Leak-Proof-Anti-Colic-Temperature-Sustainable/dp/B0BB1PZPJC/ref=sr_1_1?crid=3T1T7PZ2U1ORX&amp;dib=eyJ2IjoiMSJ9.rbsCMnd9amjmAPlEJDa5Ew.NQ-wfrVU_aFwQjFsNpwxrvAPiX6iftdztc_VnnEc8pA&amp;dib_tag=se&amp;keywords=4008600419594&amp;qid=1758120677&amp;sprefix=4008600419594%2Caps%2C1310&amp;sr=8-1&amp;th=1</t>
        </is>
      </c>
      <c r="L806" s="14" t="inlineStr">
        <is>
          <t>B0BB1PZPJC</t>
        </is>
      </c>
      <c r="M806" s="15" t="n"/>
      <c r="N806" s="15" t="n"/>
      <c r="O806" s="15" t="n">
        <v>21.99</v>
      </c>
      <c r="P806" s="15">
        <f>O806/1.19</f>
        <v/>
      </c>
      <c r="Q806" s="15">
        <f>O806-P806</f>
        <v/>
      </c>
      <c r="R806" s="15">
        <f>O806*0.15</f>
        <v/>
      </c>
      <c r="S806" s="15" t="n">
        <v>9.4</v>
      </c>
      <c r="T806" s="15">
        <f>S806*0.2</f>
        <v/>
      </c>
      <c r="U806" s="15" t="n">
        <v>0.376</v>
      </c>
      <c r="V806" s="15" t="n">
        <v>3.15</v>
      </c>
      <c r="W806" s="15">
        <f>V806*0.2</f>
        <v/>
      </c>
      <c r="X806" s="21">
        <f>O806-Q806-R806-S806-U806-V806+T806+W806</f>
        <v/>
      </c>
      <c r="Y806" s="14" t="n"/>
      <c r="Z806" s="15">
        <f>O806+1.5</f>
        <v/>
      </c>
      <c r="AA806" s="15" t="n"/>
      <c r="AB806" s="15" t="n"/>
      <c r="AC806" s="14" t="n"/>
      <c r="AD806" s="14" t="n"/>
      <c r="AE806" s="13" t="inlineStr">
        <is>
          <t>NOT_UPLOADED</t>
        </is>
      </c>
    </row>
    <row r="807" ht="16" customHeight="1">
      <c r="A807" s="17" t="n"/>
      <c r="B807" s="17" t="n">
        <v>4008600423188</v>
      </c>
      <c r="C807" s="13" t="n"/>
      <c r="D807" s="18" t="inlineStr">
        <is>
          <t>Approval required</t>
        </is>
      </c>
      <c r="E807" s="18" t="n"/>
      <c r="F807" s="17" t="n">
        <v>10225680</v>
      </c>
      <c r="G807" s="18" t="inlineStr">
        <is>
          <t>BEBOLINO</t>
        </is>
      </c>
      <c r="H807" s="18" t="inlineStr">
        <is>
          <t>NUK</t>
        </is>
      </c>
      <c r="I807" s="18" t="inlineStr">
        <is>
          <t>NUK for Nature Perfect Start Set Baby Bottle and Dummy | 0-6 Months | 100% Natural Raw Materials | 4 x Bottles (150 ml + 260 ml) | 2 x Silicone Dummies | BPA-Free | Pack of 6</t>
        </is>
      </c>
      <c r="J807" s="18" t="inlineStr">
        <is>
          <t>No</t>
        </is>
      </c>
      <c r="K807" s="18" t="inlineStr">
        <is>
          <t>https://www.amazon.de/-/en/Perfect-Natural-Materials-Silicone-BPA-Free/dp/B0BNNS31QG/ref=sr_1_1?crid=3BHNTQSXILJHE&amp;dib=eyJ2IjoiMSJ9.TIQMv52QqrWawLIrYp4OwA.NdsPCL3poEVlasFJVhrsg_b5oTzvlMAx9ymCdd-hmNM&amp;dib_tag=se&amp;keywords=4008600423188&amp;qid=1758120956&amp;sprefix=4008600423188%2Caps%2C267&amp;sr=8-1</t>
        </is>
      </c>
      <c r="L807" s="18" t="inlineStr">
        <is>
          <t>B0BNNS31QG</t>
        </is>
      </c>
      <c r="M807" s="19" t="n"/>
      <c r="N807" s="19" t="n"/>
      <c r="O807" s="19" t="n">
        <v>42.7</v>
      </c>
      <c r="P807" s="19">
        <f>O807/1.19</f>
        <v/>
      </c>
      <c r="Q807" s="19">
        <f>O807-P807</f>
        <v/>
      </c>
      <c r="R807" s="19">
        <f>O807*0.15</f>
        <v/>
      </c>
      <c r="S807" s="19" t="n">
        <v>25.57</v>
      </c>
      <c r="T807" s="19">
        <f>S807*0.2</f>
        <v/>
      </c>
      <c r="U807" s="19" t="n">
        <v>0.400000000000002</v>
      </c>
      <c r="V807" s="19" t="n">
        <v>5.5</v>
      </c>
      <c r="W807" s="19">
        <f>V807*0.2</f>
        <v/>
      </c>
      <c r="X807" s="21">
        <f>O807-Q807-R807-S807-U807-V807+T807+W807</f>
        <v/>
      </c>
      <c r="Y807" s="18" t="n"/>
      <c r="Z807" s="19">
        <f>O807+1.5</f>
        <v/>
      </c>
      <c r="AA807" s="19" t="n"/>
      <c r="AB807" s="19" t="n"/>
      <c r="AC807" s="18" t="n"/>
      <c r="AD807" s="18" t="n"/>
      <c r="AE807" s="13" t="inlineStr">
        <is>
          <t>NOT_UPLOADED</t>
        </is>
      </c>
    </row>
    <row r="808" ht="16" customHeight="1">
      <c r="A808" s="12" t="n">
        <v>4008600372639</v>
      </c>
      <c r="B808" s="12" t="n">
        <v>4008600372639</v>
      </c>
      <c r="C808" s="20" t="inlineStr">
        <is>
          <t>PINK</t>
        </is>
      </c>
      <c r="D808" s="14" t="n"/>
      <c r="E808" s="14" t="inlineStr">
        <is>
          <t>BEB-4008600372639</t>
        </is>
      </c>
      <c r="F808" s="12" t="n">
        <v>10215326</v>
      </c>
      <c r="G808" s="14" t="inlineStr">
        <is>
          <t>BEBOLINO</t>
        </is>
      </c>
      <c r="H808" s="14" t="inlineStr">
        <is>
          <t>NUK</t>
        </is>
      </c>
      <c r="I808" s="14" t="inlineStr">
        <is>
          <t>NUK First Choice Drinking Bottle with Luminous Effect, 6–18 Months, 150 ml, Anti-Colic Valve, Leak-Proof Drinking Spout, Ergonomic Handles, BPA-Free, Rabbit (Pink), 1 Piece (1 Pack) 10215373</t>
        </is>
      </c>
      <c r="J808" s="14" t="inlineStr">
        <is>
          <t>No</t>
        </is>
      </c>
      <c r="K808" s="14" t="inlineStr">
        <is>
          <t>https://www.amazon.de/-/en/Drinking-Anti-Colic-Leak-Proof-Ergonomic-10215373/dp/B0BB1V6ZPR/ref=sr_1_3?crid=22PTZPWMRU19Q&amp;dib=eyJ2IjoiMSJ9.6IF7qFvq42TxMAwOTrwvEoIXdN79VNbJwdNXfWASfG2XaG9KBWdJ1IuBL2q2nmg8qmIHgvuau_6L_Aeu_qnnXMvJ-YPNzLiXYeTl8nf9D950t6x3KANr9QiNYBnLFWm2m54ZLAB38lanFbcLt8VP9qbeDhLKljTujqI8GoIeSmOQ41yB9gzzaJi2Ii5ENz4jWSSoTfMAb3q80JDz2vTmXKO42Tbx7OPrh6dBQBS8Ui-pEpnT-CoXFkyKCTT4JzAe28d8kEx3eGmH8d8fAecRTUrTF5nNFr4mIZL96idM4Ks.IURQJhCDbGRCGwLV0jO6P9u0T_h-kp72GVowbPv9jcQ&amp;dib_tag=se&amp;keywords=NUK+FIRST+CHOICE+150&amp;qid=1758121244&amp;sprefix=nuk+first+choice+150%2Caps%2C732&amp;sr=8-3</t>
        </is>
      </c>
      <c r="L808" s="14" t="inlineStr">
        <is>
          <t>B0BB1V6ZPR</t>
        </is>
      </c>
      <c r="M808" s="15" t="n"/>
      <c r="N808" s="15" t="n"/>
      <c r="O808" s="15" t="n">
        <v>15.95</v>
      </c>
      <c r="P808" s="15">
        <f>O808/1.19</f>
        <v/>
      </c>
      <c r="Q808" s="15">
        <f>O808-P808</f>
        <v/>
      </c>
      <c r="R808" s="15">
        <f>O808*0.15</f>
        <v/>
      </c>
      <c r="S808" s="15" t="n">
        <v>8.19</v>
      </c>
      <c r="T808" s="15">
        <f>S808*0.2</f>
        <v/>
      </c>
      <c r="U808" s="15" t="n">
        <v>0.400000000000002</v>
      </c>
      <c r="V808" s="15" t="n">
        <v>2.4</v>
      </c>
      <c r="W808" s="15">
        <f>V808*0.2</f>
        <v/>
      </c>
      <c r="X808" s="21">
        <f>O808-Q808-R808-S808-U808-V808+T808+W808</f>
        <v/>
      </c>
      <c r="Y808" s="14" t="n"/>
      <c r="Z808" s="15">
        <f>O808+1.5</f>
        <v/>
      </c>
      <c r="AA808" s="15" t="n"/>
      <c r="AB808" s="15" t="n"/>
      <c r="AC808" s="14" t="n"/>
      <c r="AD808" s="14" t="n"/>
      <c r="AE808" s="13" t="inlineStr">
        <is>
          <t>NOT_UPLOADED</t>
        </is>
      </c>
    </row>
    <row r="809" ht="16" customHeight="1">
      <c r="A809" s="17" t="n">
        <v>4008600372639</v>
      </c>
      <c r="B809" s="17" t="n">
        <v>4008600372639</v>
      </c>
      <c r="C809" s="20" t="inlineStr">
        <is>
          <t>BLUE</t>
        </is>
      </c>
      <c r="D809" s="18" t="inlineStr">
        <is>
          <t>PRICE CORECTION</t>
        </is>
      </c>
      <c r="E809" s="18" t="inlineStr">
        <is>
          <t>BEB-4008600372639</t>
        </is>
      </c>
      <c r="F809" s="17" t="n">
        <v>10215326</v>
      </c>
      <c r="G809" s="18" t="inlineStr">
        <is>
          <t>BEBOLINO</t>
        </is>
      </c>
      <c r="H809" s="18" t="inlineStr">
        <is>
          <t>NUK</t>
        </is>
      </c>
      <c r="I809" s="18" t="inlineStr">
        <is>
          <t>NUK First Choice Polypropylene Drinking Bottle with Luminous Effect, 6–18 Months, 150 ml, Anti-Colic Valve, Leak-Proof Drinking Spout, Ergonomic Handles, BPA-Free, Koala (Blue) 10215374</t>
        </is>
      </c>
      <c r="J809" s="18" t="inlineStr">
        <is>
          <t>No</t>
        </is>
      </c>
      <c r="K809" s="18" t="inlineStr">
        <is>
          <t>https://www.amazon.de/-/en/Polypropylene-Anti-Colic-Leak-Proof-Ergonomic-10215374/dp/B0BB1TVSSB/ref=sr_1_9?crid=22PTZPWMRU19Q&amp;dib=eyJ2IjoiMSJ9.6IF7qFvq42TxMAwOTrwvEoIXdN79VNbJwdNXfWASfG2XaG9KBWdJ1IuBL2q2nmg8qmIHgvuau_6L_Aeu_qnnXMvJ-YPNzLiXYeTl8nf9D950t6x3KANr9QiNYBnLFWm2m54ZLAB38lanFbcLt8VP9qbeDhLKljTujqI8GoIeSmOQ41yB9gzzaJi2Ii5ENz4jWSSoTfMAb3q80JDz2vTmXKO42Tbx7OPrh6dBQBS8Ui_1vTzDtej_OEpGAmCYkm5uhS5HwGpI7fRGjJZMy7hQ8zUiYwNdxTDZXe_JV78SqoE.emKs3VwrfKWVqPpTVT2s5ntMsqzklGhYMIugzxpkzvw&amp;dib_tag=se&amp;keywords=NUK+FIRST+CHOICE+150&amp;qid=1758121463&amp;sprefix=nuk+first+choice+150%2Caps%2C732&amp;sr=8-9</t>
        </is>
      </c>
      <c r="L809" s="18" t="inlineStr">
        <is>
          <t>B0BB1TVSSB</t>
        </is>
      </c>
      <c r="M809" s="19" t="n"/>
      <c r="N809" s="19" t="n"/>
      <c r="O809" s="19" t="n">
        <v>15.99</v>
      </c>
      <c r="P809" s="19">
        <f>O809/1.19</f>
        <v/>
      </c>
      <c r="Q809" s="19">
        <f>O809-P809</f>
        <v/>
      </c>
      <c r="R809" s="19">
        <f>O809*0.15</f>
        <v/>
      </c>
      <c r="S809" s="19" t="n">
        <v>8.19</v>
      </c>
      <c r="T809" s="19">
        <f>S809*0.2</f>
        <v/>
      </c>
      <c r="U809" s="19" t="n">
        <v>0.400000000000002</v>
      </c>
      <c r="V809" s="19" t="n">
        <v>2.4</v>
      </c>
      <c r="W809" s="19">
        <f>V809*0.2</f>
        <v/>
      </c>
      <c r="X809" s="21">
        <f>O809-Q809-R809-S809-U809-V809+T809+W809</f>
        <v/>
      </c>
      <c r="Y809" s="18" t="n"/>
      <c r="Z809" s="19">
        <f>O809+1.5</f>
        <v/>
      </c>
      <c r="AA809" s="19" t="n"/>
      <c r="AB809" s="19" t="n"/>
      <c r="AC809" s="18" t="n"/>
      <c r="AD809" s="18" t="n"/>
      <c r="AE809" s="13" t="inlineStr">
        <is>
          <t>NOT_UPLOADED</t>
        </is>
      </c>
    </row>
    <row r="810" ht="16" customHeight="1">
      <c r="A810" s="12" t="n">
        <v>4008600382690</v>
      </c>
      <c r="B810" s="12" t="n">
        <v>4008600382690</v>
      </c>
      <c r="C810" s="13" t="n"/>
      <c r="D810" s="14" t="n"/>
      <c r="E810" s="14" t="inlineStr">
        <is>
          <t>BEB-4008600382690</t>
        </is>
      </c>
      <c r="F810" s="12" t="n">
        <v>10215336</v>
      </c>
      <c r="G810" s="14" t="inlineStr">
        <is>
          <t>BEBOLINO</t>
        </is>
      </c>
      <c r="H810" s="14" t="inlineStr">
        <is>
          <t>NUK</t>
        </is>
      </c>
      <c r="I810" s="14" t="inlineStr">
        <is>
          <t>NUK Disney First Choice Learner Cup Sippy Cup | 6-18 Months | Temperature Control | Leak-Proof Silicone Spout | Anti-Colic Vent | BPA-Free | 150 ml | Minnie Mouse (Red)</t>
        </is>
      </c>
      <c r="J810" s="14" t="inlineStr">
        <is>
          <t>No</t>
        </is>
      </c>
      <c r="K810" s="14" t="inlineStr">
        <is>
          <t>https://www.amazon.de/-/en/Temperature-Leak-Proof-Silicone-Anti-Colic-BPA-Free/dp/B093KF6L38/ref=sr_1_1?dib=eyJ2IjoiMSJ9.ZX3nsCdbPWvrQnuE5xxrDg.SyVO2QOpL7dXQwftdMuCp_Of-8AmDeLc9r7Y_Roz0Kk&amp;dib_tag=se&amp;keywords=4008600382690&amp;qid=1758121740&amp;sr=8-1&amp;th=1</t>
        </is>
      </c>
      <c r="L810" s="14" t="inlineStr">
        <is>
          <t>B093KF6L38</t>
        </is>
      </c>
      <c r="M810" s="15" t="n"/>
      <c r="N810" s="15" t="n"/>
      <c r="O810" s="15" t="n">
        <v>16.55</v>
      </c>
      <c r="P810" s="15">
        <f>O810/1.19</f>
        <v/>
      </c>
      <c r="Q810" s="15">
        <f>O810-P810</f>
        <v/>
      </c>
      <c r="R810" s="15">
        <f>O810*0.15</f>
        <v/>
      </c>
      <c r="S810" s="15" t="n">
        <v>8.19</v>
      </c>
      <c r="T810" s="15">
        <f>S810*0.2</f>
        <v/>
      </c>
      <c r="U810" s="15" t="n">
        <v>0.400000000000002</v>
      </c>
      <c r="V810" s="15" t="n">
        <v>2.4</v>
      </c>
      <c r="W810" s="15">
        <f>V810*0.2</f>
        <v/>
      </c>
      <c r="X810" s="21">
        <f>O810-Q810-R810-S810-U810-V810+T810+W810</f>
        <v/>
      </c>
      <c r="Y810" s="14" t="n"/>
      <c r="Z810" s="15">
        <f>O810+1.5</f>
        <v/>
      </c>
      <c r="AA810" s="15" t="n"/>
      <c r="AB810" s="15" t="n"/>
      <c r="AC810" s="14" t="n"/>
      <c r="AD810" s="14" t="n"/>
      <c r="AE810" s="13" t="inlineStr">
        <is>
          <t>NOT_UPLOADED</t>
        </is>
      </c>
    </row>
    <row r="811" ht="16" customHeight="1">
      <c r="A811" s="17" t="n">
        <v>4008600405580</v>
      </c>
      <c r="B811" s="17" t="n">
        <v>4008600382720</v>
      </c>
      <c r="C811" s="13" t="n"/>
      <c r="D811" s="18" t="n"/>
      <c r="E811" s="18" t="inlineStr">
        <is>
          <t>BEB-4008600405580</t>
        </is>
      </c>
      <c r="F811" s="17" t="n">
        <v>10215337</v>
      </c>
      <c r="G811" s="18" t="inlineStr">
        <is>
          <t>BEBOLINO</t>
        </is>
      </c>
      <c r="H811" s="18" t="inlineStr">
        <is>
          <t>NUK</t>
        </is>
      </c>
      <c r="I811" s="18" t="inlineStr">
        <is>
          <t>NUK First Choice+ Drinking Bottle, 6–18 Months, 150 ml, Anti-Colic Valve, Leak-proof Drinking Spout, Ergonomic Handles, BPA-Free, Disney Mickey Mouse, Grey</t>
        </is>
      </c>
      <c r="J811" s="18" t="inlineStr">
        <is>
          <t>No</t>
        </is>
      </c>
      <c r="K811" s="18" t="inlineStr">
        <is>
          <t>https://www.amazon.de/-/en/Drinking-Anti-Colic-Leak-proof-Ergonomic-BPA-Free/dp/B09BD57NQQ/ref=sr_1_1?crid=REESB89E1H0E&amp;dib=eyJ2IjoiMSJ9.DMZpDBBm8eYbJr_C1p3_krb8xZYcXkJnbt0jf_2Jano7CSBnviuTN7KmYtijoakRt_nlCZlRnvohKEdIU2jQcw83GmpGDKPpNT9QHE2Kjh0crVOqQSPpGbyOnFOzZ6j1ScAfPSXeNcCUYTGGghn3NNFaCVGGuXaPhG7UmKeSF5oucr9u3e6Lr9DA27Rg1Ubnb2Hb04PMN1oCkBYFsOV6c8_fz6xmQhmUfzuj51bGEseCCvQ3wlbKq4IucJyCPQlVoKABGwXdtvcZ-N2ivvBESftMehzKlYxN82T0k_BYqWo.FSOK1ClrwAaLWSoE3ov3pIrwu5aaQaPQqXimIPsc2cE&amp;dib_tag=se&amp;keywords=NUK+FIRST+CHOICE+150+mickey&amp;qid=1758204846&amp;sprefix=nuk+first+choice+150+mickey%2Caps%2C180&amp;sr=8-1</t>
        </is>
      </c>
      <c r="L811" s="18" t="inlineStr">
        <is>
          <t>B09BD57NQQ</t>
        </is>
      </c>
      <c r="M811" s="19" t="n"/>
      <c r="N811" s="19" t="n"/>
      <c r="O811" s="19" t="n">
        <v>16.55</v>
      </c>
      <c r="P811" s="19">
        <f>O811/1.19</f>
        <v/>
      </c>
      <c r="Q811" s="19">
        <f>O811-P811</f>
        <v/>
      </c>
      <c r="R811" s="19">
        <f>O811*0.15</f>
        <v/>
      </c>
      <c r="S811" s="19" t="n">
        <v>8.19</v>
      </c>
      <c r="T811" s="19">
        <f>S811*0.2</f>
        <v/>
      </c>
      <c r="U811" s="19" t="n">
        <v>0.400000000000002</v>
      </c>
      <c r="V811" s="19" t="n">
        <v>2.4</v>
      </c>
      <c r="W811" s="19">
        <f>V811*0.2</f>
        <v/>
      </c>
      <c r="X811" s="21">
        <f>O811-Q811-R811-S811-U811-V811+T811+W811</f>
        <v/>
      </c>
      <c r="Y811" s="18" t="n"/>
      <c r="Z811" s="19">
        <f>O811+1.5</f>
        <v/>
      </c>
      <c r="AA811" s="19" t="n"/>
      <c r="AB811" s="19" t="n"/>
      <c r="AC811" s="18" t="n"/>
      <c r="AD811" s="18" t="n"/>
      <c r="AE811" s="13" t="inlineStr">
        <is>
          <t>NOT_UPLOADED</t>
        </is>
      </c>
    </row>
    <row r="812" ht="16" customHeight="1">
      <c r="A812" s="12" t="n">
        <v>4008600382720</v>
      </c>
      <c r="B812" s="12" t="n">
        <v>4008600382720</v>
      </c>
      <c r="C812" s="13" t="n"/>
      <c r="D812" s="14" t="n"/>
      <c r="E812" s="14" t="inlineStr">
        <is>
          <t>BEB-4008600382720</t>
        </is>
      </c>
      <c r="F812" s="12" t="n">
        <v>10215337</v>
      </c>
      <c r="G812" s="14" t="inlineStr">
        <is>
          <t>BEBOLINO</t>
        </is>
      </c>
      <c r="H812" s="14" t="inlineStr">
        <is>
          <t>NUK</t>
        </is>
      </c>
      <c r="I812" s="14" t="inlineStr">
        <is>
          <t>NUK Disney First Choice Learner Cup Sippy Cup | 6-18 Months | Temperature Control | Leak-Proof Silicone Spout | Anti-Colic Vent | BPA-Free | 150 ml | Mickey Mouse (Grey)</t>
        </is>
      </c>
      <c r="J812" s="14" t="inlineStr">
        <is>
          <t>No</t>
        </is>
      </c>
      <c r="K812" s="14" t="inlineStr">
        <is>
          <t>https://www.amazon.de/-/en/Temperature-Leak-Proof-Silicone-Anti-Colic-BPA-Free/dp/B093K6DKSY/ref=sr_1_3?crid=REESB89E1H0E&amp;dib=eyJ2IjoiMSJ9.DMZpDBBm8eYbJr_C1p3_krb8xZYcXkJnbt0jf_2Jano7CSBnviuTN7KmYtijoakRt_nlCZlRnvohKEdIU2jQcw83GmpGDKPpNT9QHE2Kjh0crVOqQSPpGbyOnFOzZ6j1ScAfPSXeNcCUYTGGghn3NNFaCVGGuXaPhG7UmKeSF5oucr9u3e6Lr9DA27Rg1Ubnb2Hb04PMN1oCkBYFsOV6c8_fz6xmQhmUfzuj51bGEseCCvQ3wlbKq4IucJyCPQlVoKABGwXdtvcZ-N2ivvBESftMehzKlYxN82T0k_BYqWo.FSOK1ClrwAaLWSoE3ov3pIrwu5aaQaPQqXimIPsc2cE&amp;dib_tag=se&amp;keywords=NUK%2BFIRST%2BCHOICE%2B150%2Bmickey&amp;qid=1758204846&amp;sprefix=nuk%2Bfirst%2Bchoice%2B150%2Bmickey%2Caps%2C180&amp;sr=8-3&amp;th=1</t>
        </is>
      </c>
      <c r="L812" s="14" t="inlineStr">
        <is>
          <t>B093K6DKSY</t>
        </is>
      </c>
      <c r="M812" s="15" t="n"/>
      <c r="N812" s="15" t="n"/>
      <c r="O812" s="15" t="n">
        <v>16.45</v>
      </c>
      <c r="P812" s="15">
        <f>O812/1.19</f>
        <v/>
      </c>
      <c r="Q812" s="15">
        <f>O812-P812</f>
        <v/>
      </c>
      <c r="R812" s="15">
        <f>O812*0.15</f>
        <v/>
      </c>
      <c r="S812" s="15" t="n">
        <v>8.19</v>
      </c>
      <c r="T812" s="15">
        <f>S812*0.2</f>
        <v/>
      </c>
      <c r="U812" s="15" t="n">
        <v>0.400000000000002</v>
      </c>
      <c r="V812" s="15" t="n">
        <v>2.4</v>
      </c>
      <c r="W812" s="15">
        <f>V812*0.2</f>
        <v/>
      </c>
      <c r="X812" s="21">
        <f>O812-Q812-R812-S812-U812-V812+T812+W812</f>
        <v/>
      </c>
      <c r="Y812" s="14" t="n"/>
      <c r="Z812" s="15">
        <f>O812+1.5</f>
        <v/>
      </c>
      <c r="AA812" s="15" t="n"/>
      <c r="AB812" s="15" t="n"/>
      <c r="AC812" s="14" t="n"/>
      <c r="AD812" s="14" t="n"/>
      <c r="AE812" s="13" t="inlineStr">
        <is>
          <t>NOT_UPLOADED</t>
        </is>
      </c>
    </row>
    <row r="813" ht="16" customHeight="1">
      <c r="A813" s="17" t="n">
        <v>4008600389057</v>
      </c>
      <c r="B813" s="17" t="n">
        <v>4008600382638</v>
      </c>
      <c r="C813" s="20" t="inlineStr">
        <is>
          <t>BLUE</t>
        </is>
      </c>
      <c r="D813" s="18" t="n"/>
      <c r="E813" s="18" t="inlineStr">
        <is>
          <t>BEB-4008600389057</t>
        </is>
      </c>
      <c r="F813" s="17" t="n">
        <v>10215340</v>
      </c>
      <c r="G813" s="18" t="inlineStr">
        <is>
          <t>BEBOLINO</t>
        </is>
      </c>
      <c r="H813" s="18" t="inlineStr">
        <is>
          <t>NUK</t>
        </is>
      </c>
      <c r="I813" s="18" t="inlineStr">
        <is>
          <t>NUK First Choice+ Drinking Bottle, 6–18 Months, 150 ml, Temperature Control Display, Anti-Colic Valve, Ergonomic Handles, BPA Free, Disney Winnie the Pooh (Blue)</t>
        </is>
      </c>
      <c r="J813" s="18" t="inlineStr">
        <is>
          <t>No</t>
        </is>
      </c>
      <c r="K813" s="18" t="inlineStr">
        <is>
          <t>https://www.amazon.de/-/en/Drinking-Temperature-Control-Anti-Colic-Ergonomic/dp/B08V6T19PM/ref=sr_1_9?crid=3LMVW9GU3POEG&amp;dib=eyJ2IjoiMSJ9.zD2jPzJodM_XtEaSflPq3dh1rlSmILYmYPF-g7CjfyuanD76B6-jb3DxI61uCK6yP6ttuKXxqMz0l_OJYmMwi3eJ1rseIrV_TxcBkzte5w6fhwbg4O3cT36j1mjzMnzNnXO-9mWRAt_gvEDYzZT45uTI2SMBnyy-1qEvEZR1vuEXM3xxl_B20S_lqb5aKjp8CZnmD64htnXal2lzXxw8eRa2UU4pEsmjRTi5EUYIUTLzBmfoJGAFeZ0HurIlhxDAY_fBrN3XfRRWu98bwaQcBssydO_Mdu1dRxP6AgF8pZE.f1MQi5nuKV_XZdQy9_iNgLrXE5qyQNpaOO1ilnJ_mBo&amp;dib_tag=se&amp;keywords=NUK+FIRST+CHOICE+150+minnie&amp;qid=1758205308&amp;sprefix=nuk+first+choice+150+minnie%2Caps%2C1125&amp;sr=8-9</t>
        </is>
      </c>
      <c r="L813" s="18" t="inlineStr">
        <is>
          <t>B08V6T19PM</t>
        </is>
      </c>
      <c r="M813" s="19" t="n"/>
      <c r="N813" s="19" t="n"/>
      <c r="O813" s="19" t="n">
        <v>15.79</v>
      </c>
      <c r="P813" s="19">
        <f>O813/1.19</f>
        <v/>
      </c>
      <c r="Q813" s="19">
        <f>O813-P813</f>
        <v/>
      </c>
      <c r="R813" s="19">
        <f>O813*0.15</f>
        <v/>
      </c>
      <c r="S813" s="19" t="n">
        <v>8.19</v>
      </c>
      <c r="T813" s="19">
        <f>S813*0.2</f>
        <v/>
      </c>
      <c r="U813" s="19" t="n">
        <v>0.400000000000002</v>
      </c>
      <c r="V813" s="19" t="n">
        <v>2.4</v>
      </c>
      <c r="W813" s="19">
        <f>V813*0.2</f>
        <v/>
      </c>
      <c r="X813" s="21">
        <f>O813-Q813-R813-S813-U813-V813+T813+W813</f>
        <v/>
      </c>
      <c r="Y813" s="18" t="n"/>
      <c r="Z813" s="19">
        <f>O813+1.5</f>
        <v/>
      </c>
      <c r="AA813" s="19" t="n"/>
      <c r="AB813" s="19" t="n"/>
      <c r="AC813" s="18" t="n"/>
      <c r="AD813" s="18" t="n"/>
      <c r="AE813" s="13" t="inlineStr">
        <is>
          <t>NOT_UPLOADED</t>
        </is>
      </c>
    </row>
    <row r="814" ht="16" customHeight="1">
      <c r="A814" s="12" t="n">
        <v>4008600382638</v>
      </c>
      <c r="B814" s="12" t="n">
        <v>4008600382638</v>
      </c>
      <c r="C814" s="20" t="inlineStr">
        <is>
          <t>PINK</t>
        </is>
      </c>
      <c r="D814" s="14" t="n"/>
      <c r="E814" s="14" t="inlineStr">
        <is>
          <t>BEB-4008600382638</t>
        </is>
      </c>
      <c r="F814" s="12" t="n">
        <v>10215340</v>
      </c>
      <c r="G814" s="14" t="inlineStr">
        <is>
          <t>BEBOLINO</t>
        </is>
      </c>
      <c r="H814" s="14" t="inlineStr">
        <is>
          <t>NUK</t>
        </is>
      </c>
      <c r="I814" s="14" t="inlineStr">
        <is>
          <t>NUK First Choice+ Drinking Bottle, 6–18 Months, 150 ml, Temperature Control Display, Anti-Colic Valve, Leak-Proof Drinking Spout, Ergonomic Handles, BPA Free, Disney Winnie the Pooh (Pink)</t>
        </is>
      </c>
      <c r="J814" s="14" t="inlineStr">
        <is>
          <t>No</t>
        </is>
      </c>
      <c r="K814" s="14" t="inlineStr">
        <is>
          <t>https://www.amazon.de/-/en/Drinking-Temperature-Anti-Colic-Leak-Proof-Ergonomic/dp/B08V6MT2MV/ref=sr_1_2?crid=MHNOILMF20RT&amp;dib=eyJ2IjoiMSJ9.Yu1B__BVOfVg9LVISxS2kGXITSlm3-q9QeLvqD86sp-V4C4whQN-LGSJz32Lo4FTbFqoGDV0OqMY-VM5RcLoyU1y5XJUlAITMfNFtZK7_kH8yRl02JbaFHEmeJCEhExq9r4ZZ3jz_IODhRGJkDSussiPcYjnHJRm5Z5Am5vs31TX9qLGHEo1HVYyeB29_V772XKmWQK3aTimaIP6uG1XTMNbcbTb8NSmhT7kfyTLrw7L59s1dmBXOy7MZd2nuiaPsoJ7kj5Zw_kD9CwnDzdyhcDfyNBzuQeGUED8VnrgtMo.1Is85BzyqMsTqvAO3tuvXK1ge2MNXg7Es4FfZ-UpBvQ&amp;dib_tag=se&amp;keywords=NUK+FIRST+CHOICE+PP150+DISNEY&amp;qid=1758220168&amp;sprefix=nuk+first+choice+pp150+disney%2Caps%2C187&amp;sr=8-2</t>
        </is>
      </c>
      <c r="L814" s="14" t="inlineStr">
        <is>
          <t>B08V6MT2MV</t>
        </is>
      </c>
      <c r="M814" s="15" t="n"/>
      <c r="N814" s="15" t="n"/>
      <c r="O814" s="15" t="n">
        <v>16.45</v>
      </c>
      <c r="P814" s="15">
        <f>O814/1.19</f>
        <v/>
      </c>
      <c r="Q814" s="15">
        <f>O814-P814</f>
        <v/>
      </c>
      <c r="R814" s="15">
        <f>O814*0.15</f>
        <v/>
      </c>
      <c r="S814" s="15" t="n">
        <v>8.19</v>
      </c>
      <c r="T814" s="15">
        <f>S814*0.2</f>
        <v/>
      </c>
      <c r="U814" s="15" t="n">
        <v>0.400000000000002</v>
      </c>
      <c r="V814" s="15" t="n">
        <v>3.14</v>
      </c>
      <c r="W814" s="15">
        <f>V814*0.2</f>
        <v/>
      </c>
      <c r="X814" s="16">
        <f>O814-Q814-R814-S814-U814-V814+T814+W814</f>
        <v/>
      </c>
      <c r="Y814" s="14" t="n"/>
      <c r="Z814" s="15">
        <f>O814+1.5</f>
        <v/>
      </c>
      <c r="AA814" s="15" t="n"/>
      <c r="AB814" s="15" t="n"/>
      <c r="AC814" s="14" t="n"/>
      <c r="AD814" s="14" t="n"/>
      <c r="AE814" s="13" t="inlineStr">
        <is>
          <t>NOT_UPLOADED</t>
        </is>
      </c>
    </row>
    <row r="815" ht="16" customHeight="1">
      <c r="A815" s="17" t="n">
        <v>799891511633</v>
      </c>
      <c r="B815" s="17" t="n">
        <v>4008600115915</v>
      </c>
      <c r="C815" s="13" t="n"/>
      <c r="D815" s="18" t="n"/>
      <c r="E815" s="18" t="inlineStr">
        <is>
          <t>BEB-799891511633</t>
        </is>
      </c>
      <c r="F815" s="17" t="n">
        <v>10750408</v>
      </c>
      <c r="G815" s="18" t="inlineStr">
        <is>
          <t>BEBOLINO</t>
        </is>
      </c>
      <c r="H815" s="18" t="inlineStr">
        <is>
          <t>NUK</t>
        </is>
      </c>
      <c r="I815" s="18" t="inlineStr">
        <is>
          <t>NUK First Choice Learner Cup Silicone Replacement Non-Spill Spout 6mths+ (1 Pack)</t>
        </is>
      </c>
      <c r="J815" s="18" t="inlineStr">
        <is>
          <t>No</t>
        </is>
      </c>
      <c r="K815" s="18" t="inlineStr">
        <is>
          <t>https://www.amazon.de/-/en/Choice-Learner-Silicone-Replacement-Non-Spill/dp/B00ALO349O/ref=sr_1_1?crid=12VVY3XYL7HGL&amp;dib=eyJ2IjoiMSJ9.RaQC4Bof6m1X35XHj0099EkM2Zupoj129OuB7UyE42U.tT9HPhvlB_pxwYcOfW4tkXTDrGTLLAtZb2710FTK06I&amp;dib_tag=se&amp;keywords=4008600115915&amp;qid=1758222149&amp;sprefix=4008600206439%2Caps%2C2715&amp;sr=8-1&amp;th=1</t>
        </is>
      </c>
      <c r="L815" s="18" t="inlineStr">
        <is>
          <t>B00ALO349O</t>
        </is>
      </c>
      <c r="M815" s="19" t="n">
        <v>7.2</v>
      </c>
      <c r="N815" s="19" t="n"/>
      <c r="O815" s="19" t="n">
        <v>7</v>
      </c>
      <c r="P815" s="19">
        <f>O815/1.19</f>
        <v/>
      </c>
      <c r="Q815" s="19">
        <f>O815-P815</f>
        <v/>
      </c>
      <c r="R815" s="19">
        <f>O815*0.15</f>
        <v/>
      </c>
      <c r="S815" s="19" t="n">
        <v>2.05</v>
      </c>
      <c r="T815" s="19">
        <f>S815*0.2</f>
        <v/>
      </c>
      <c r="U815" s="19" t="n">
        <v>0.400000000000002</v>
      </c>
      <c r="V815" s="19" t="n">
        <v>1.92</v>
      </c>
      <c r="W815" s="19">
        <f>V815*0.2</f>
        <v/>
      </c>
      <c r="X815" s="16">
        <f>O815-Q815-R815-S815-U815-V815+T815+W815</f>
        <v/>
      </c>
      <c r="Y815" s="18" t="n"/>
      <c r="Z815" s="19">
        <f>O815+1.5</f>
        <v/>
      </c>
      <c r="AA815" s="19" t="n"/>
      <c r="AB815" s="19" t="n"/>
      <c r="AC815" s="18" t="n"/>
      <c r="AD815" s="18" t="n"/>
      <c r="AE815" s="13" t="inlineStr">
        <is>
          <t>NOT_UPLOADED</t>
        </is>
      </c>
    </row>
    <row r="816" ht="16" customHeight="1">
      <c r="A816" s="12" t="n">
        <v>4008600115915</v>
      </c>
      <c r="B816" s="12" t="n">
        <v>4008600115915</v>
      </c>
      <c r="C816" s="20" t="inlineStr">
        <is>
          <t>PACK X 3</t>
        </is>
      </c>
      <c r="D816" s="14" t="n"/>
      <c r="E816" s="14" t="inlineStr">
        <is>
          <t>BEB-4008600115915</t>
        </is>
      </c>
      <c r="F816" s="12" t="n">
        <v>10750408</v>
      </c>
      <c r="G816" s="14" t="inlineStr">
        <is>
          <t>BEBOLINO</t>
        </is>
      </c>
      <c r="H816" s="14" t="inlineStr">
        <is>
          <t>NUK</t>
        </is>
      </c>
      <c r="I816" s="14" t="inlineStr">
        <is>
          <t>NUK FST C Learner REPL SIL Teat</t>
        </is>
      </c>
      <c r="J816" s="14" t="inlineStr">
        <is>
          <t>No</t>
        </is>
      </c>
      <c r="K816" s="14" t="inlineStr">
        <is>
          <t>https://www.amazon.de/-/en/NUK-FST-Learner-REPL-Teat/dp/B00RX451AK/ref=sr_1_2?crid=12VVY3XYL7HGL&amp;dib=eyJ2IjoiMSJ9.RaQC4Bof6m1X35XHj0099EkM2Zupoj129OuB7UyE42U.tT9HPhvlB_pxwYcOfW4tkXTDrGTLLAtZb2710FTK06I&amp;dib_tag=se&amp;keywords=4008600115915&amp;qid=1758222149&amp;sprefix=4008600206439%2Caps%2C2715&amp;sr=8-2</t>
        </is>
      </c>
      <c r="L816" s="14" t="inlineStr">
        <is>
          <t>B00RX451AK</t>
        </is>
      </c>
      <c r="M816" s="15" t="n"/>
      <c r="N816" s="15" t="n"/>
      <c r="O816" s="15" t="n">
        <v>14.15</v>
      </c>
      <c r="P816" s="15">
        <f>O816/1.19</f>
        <v/>
      </c>
      <c r="Q816" s="15">
        <f>O816-P816</f>
        <v/>
      </c>
      <c r="R816" s="15">
        <f>O816*0.15</f>
        <v/>
      </c>
      <c r="S816" s="15" t="n">
        <v>6.15</v>
      </c>
      <c r="T816" s="15">
        <f>S816*0.2</f>
        <v/>
      </c>
      <c r="U816" s="15" t="n">
        <v>0.400000000000002</v>
      </c>
      <c r="V816" s="15" t="n">
        <v>2.2</v>
      </c>
      <c r="W816" s="15">
        <f>V816*0.2</f>
        <v/>
      </c>
      <c r="X816" s="21">
        <f>O816-Q816-R816-S816-U816-V816+T816+W816</f>
        <v/>
      </c>
      <c r="Y816" s="14" t="n"/>
      <c r="Z816" s="15">
        <f>O816+1.5</f>
        <v/>
      </c>
      <c r="AA816" s="15" t="n"/>
      <c r="AB816" s="15" t="n"/>
      <c r="AC816" s="14" t="n"/>
      <c r="AD816" s="14" t="n"/>
      <c r="AE816" s="13" t="inlineStr">
        <is>
          <t>NOT_UPLOADED</t>
        </is>
      </c>
    </row>
    <row r="817" ht="16" customHeight="1">
      <c r="A817" s="17" t="n">
        <v>4008600398417</v>
      </c>
      <c r="B817" s="17" t="n">
        <v>4008600398417</v>
      </c>
      <c r="C817" s="13" t="n"/>
      <c r="D817" s="18" t="n"/>
      <c r="E817" s="18" t="inlineStr">
        <is>
          <t>BEB-4008600398417</t>
        </is>
      </c>
      <c r="F817" s="17" t="n">
        <v>10255609</v>
      </c>
      <c r="G817" s="18" t="inlineStr">
        <is>
          <t>BEBOLINO</t>
        </is>
      </c>
      <c r="H817" s="18" t="inlineStr">
        <is>
          <t>NUK</t>
        </is>
      </c>
      <c r="I817" s="18" t="inlineStr">
        <is>
          <t>NUK Trainer Cup Trinklernbecher, auslaufsicherer Becher mit weichem Trinkschnabel &amp; ergonomischen Griffen, 6+ Monate, 230 ml, BPA-frei, rosa Pinguin</t>
        </is>
      </c>
      <c r="J817" s="18" t="inlineStr">
        <is>
          <t>No</t>
        </is>
      </c>
      <c r="K817" s="18" t="inlineStr">
        <is>
          <t>https://www.amazon.de/NUK-Trinklernbecher-auslaufsicherer-Trinkschnabel-ergonomischen/dp/B099RTSZDZ/ref=sr_1_1?__mk_de_DE=%C3%85M%C3%85%C5%BD%C3%95%C3%91&amp;crid=3KUKZRXTZRP7L&amp;dib=eyJ2IjoiMSJ9.4rWQis2HqWkA8jwElf-rJw.usKM4v49Stm-E8Y3hdlNX5D7vAX8w8KLQfxYOLLV1p0&amp;dib_tag=se&amp;keywords=4008600398417&amp;qid=1758388947&amp;s=drugstore&amp;sprefix=4008600398417%2Cdrugstore%2C112&amp;sr=1-1&amp;th=1</t>
        </is>
      </c>
      <c r="L817" s="18" t="inlineStr">
        <is>
          <t>B099RTSZDZ</t>
        </is>
      </c>
      <c r="M817" s="19" t="n"/>
      <c r="N817" s="19" t="n"/>
      <c r="O817" s="19" t="n">
        <v>14.55</v>
      </c>
      <c r="P817" s="19">
        <f>O817/1.19</f>
        <v/>
      </c>
      <c r="Q817" s="19">
        <f>O817-P817</f>
        <v/>
      </c>
      <c r="R817" s="19">
        <f>O817*0.15</f>
        <v/>
      </c>
      <c r="S817" s="19" t="n">
        <v>6.24</v>
      </c>
      <c r="T817" s="19">
        <f>S817*0.2</f>
        <v/>
      </c>
      <c r="U817" s="19" t="n">
        <v>0.400000000000002</v>
      </c>
      <c r="V817" s="19" t="n">
        <v>2.4</v>
      </c>
      <c r="W817" s="19">
        <f>V817*0.2</f>
        <v/>
      </c>
      <c r="X817" s="21">
        <f>O817-Q817-R817-S817-U817-V817+T817+W817</f>
        <v/>
      </c>
      <c r="Y817" s="18" t="n"/>
      <c r="Z817" s="19">
        <f>O817+1.5</f>
        <v/>
      </c>
      <c r="AA817" s="19" t="n"/>
      <c r="AB817" s="19" t="n"/>
      <c r="AC817" s="18" t="n"/>
      <c r="AD817" s="18" t="n"/>
      <c r="AE817" s="13" t="inlineStr">
        <is>
          <t>NOT_UPLOADED</t>
        </is>
      </c>
    </row>
    <row r="818" ht="16" customHeight="1">
      <c r="A818" s="12" t="n">
        <v>4008600398448</v>
      </c>
      <c r="B818" s="12" t="n">
        <v>4008600398448</v>
      </c>
      <c r="C818" s="13" t="n"/>
      <c r="D818" s="14" t="n"/>
      <c r="E818" s="14" t="inlineStr">
        <is>
          <t>BEB-4008600398448</t>
        </is>
      </c>
      <c r="F818" s="12" t="n">
        <v>10255610</v>
      </c>
      <c r="G818" s="14" t="inlineStr">
        <is>
          <t>BEBOLINO</t>
        </is>
      </c>
      <c r="H818" s="14" t="inlineStr">
        <is>
          <t>NUK</t>
        </is>
      </c>
      <c r="I818" s="14" t="inlineStr">
        <is>
          <t>NUK Trainer Cup Trinklernbecher | auslaufsicherer Becher mit weichem Trinkschnabel &amp; ergonomischen Griffen | 6+ Monate | 230 ml | BPA-frei | grüner Frosch, 1 Stück (1er Pack)</t>
        </is>
      </c>
      <c r="J818" s="14" t="inlineStr">
        <is>
          <t>No</t>
        </is>
      </c>
      <c r="K818" s="14" t="inlineStr">
        <is>
          <t>https://www.amazon.de/NUK-Trinklernbecher-auslaufsicherer-Trinkschnabel-ergonomischen/dp/B099RVLPSY/ref=sr_1_1?__mk_de_DE=%C3%85M%C3%85%C5%BD%C3%95%C3%91&amp;crid=3KUKZRXTZRP7L&amp;dib=eyJ2IjoiMSJ9.4rWQis2HqWkA8jwElf-rJw.usKM4v49Stm-E8Y3hdlNX5D7vAX8w8KLQfxYOLLV1p0&amp;dib_tag=se&amp;keywords=4008600398417&amp;qid=1758388947&amp;s=drugstore&amp;sprefix=4008600398417%2Cdrugstore%2C112&amp;sr=1-1&amp;th=1</t>
        </is>
      </c>
      <c r="L818" s="14" t="inlineStr">
        <is>
          <t>B099RVLPSY</t>
        </is>
      </c>
      <c r="M818" s="15" t="n"/>
      <c r="N818" s="15" t="n"/>
      <c r="O818" s="15" t="n">
        <v>14.55</v>
      </c>
      <c r="P818" s="15">
        <f>O818/1.19</f>
        <v/>
      </c>
      <c r="Q818" s="15">
        <f>O818-P818</f>
        <v/>
      </c>
      <c r="R818" s="15">
        <f>O818*0.15</f>
        <v/>
      </c>
      <c r="S818" s="15" t="n">
        <v>6.24</v>
      </c>
      <c r="T818" s="15">
        <f>S818*0.2</f>
        <v/>
      </c>
      <c r="U818" s="15" t="n">
        <v>0.400000000000002</v>
      </c>
      <c r="V818" s="15" t="n">
        <v>2.4</v>
      </c>
      <c r="W818" s="15">
        <f>V818*0.2</f>
        <v/>
      </c>
      <c r="X818" s="21">
        <f>O818-Q818-R818-S818-U818-V818+T818+W818</f>
        <v/>
      </c>
      <c r="Y818" s="14" t="n"/>
      <c r="Z818" s="15">
        <f>O818+1.5</f>
        <v/>
      </c>
      <c r="AA818" s="15" t="n"/>
      <c r="AB818" s="15" t="n"/>
      <c r="AC818" s="14" t="n"/>
      <c r="AD818" s="14" t="n"/>
      <c r="AE818" s="13" t="inlineStr">
        <is>
          <t>NOT_UPLOADED</t>
        </is>
      </c>
    </row>
    <row r="819" ht="16" customHeight="1">
      <c r="A819" s="17" t="n">
        <v>4008600398462</v>
      </c>
      <c r="B819" s="17" t="n">
        <v>4008600398462</v>
      </c>
      <c r="C819" s="13" t="n"/>
      <c r="D819" s="18" t="n"/>
      <c r="E819" s="18" t="inlineStr">
        <is>
          <t>BEB-4008600398462</t>
        </is>
      </c>
      <c r="F819" s="17" t="n">
        <v>10255603</v>
      </c>
      <c r="G819" s="18" t="inlineStr">
        <is>
          <t>BEBOLINO</t>
        </is>
      </c>
      <c r="H819" s="18" t="inlineStr">
        <is>
          <t>NUK</t>
        </is>
      </c>
      <c r="I819" s="18" t="inlineStr">
        <is>
          <t>NUK Magic Cup Trinklernbecher | 8+ Monate | 230 ml | auslaufsicherer 360°-Trinkrand | BPA-frei | rote Krabbe</t>
        </is>
      </c>
      <c r="J819" s="18" t="inlineStr">
        <is>
          <t>No</t>
        </is>
      </c>
      <c r="K819" s="18" t="inlineStr">
        <is>
          <t>https://www.amazon.de/NUK-Trinklernbecher-auslaufsicherer-360%C2%B0-Trinkrand-BPA-frei/dp/B099RVTRQK/ref=sr_1_1?__mk_de_DE=%C3%85M%C3%85%C5%BD%C3%95%C3%91&amp;crid=2S1GONTJKBFEL&amp;dib=eyJ2IjoiMSJ9.Fp43H1OhSAu2o7H48wrm3zpYOR9WBwxNHGrCDStIhyXGjHj071QN20LucGBJIEps.yiDKEHPPLWGABtQOxo4RB-eI6XfRTskoJLm8797ntRY&amp;dib_tag=se&amp;keywords=4008600398462&amp;qid=1758390819&amp;sprefix=4008600398462%2Caps%2C59&amp;sr=8-1&amp;th=1</t>
        </is>
      </c>
      <c r="L819" s="18" t="inlineStr">
        <is>
          <t>B099RVTRQK</t>
        </is>
      </c>
      <c r="M819" s="19" t="n"/>
      <c r="N819" s="19" t="n"/>
      <c r="O819" s="19" t="n">
        <v>14.5</v>
      </c>
      <c r="P819" s="19">
        <f>O819/1.19</f>
        <v/>
      </c>
      <c r="Q819" s="19">
        <f>O819-P819</f>
        <v/>
      </c>
      <c r="R819" s="19">
        <f>O819*0.15</f>
        <v/>
      </c>
      <c r="S819" s="19" t="n">
        <v>6.24</v>
      </c>
      <c r="T819" s="19">
        <f>S819*0.2</f>
        <v/>
      </c>
      <c r="U819" s="19" t="n">
        <v>0.400000000000002</v>
      </c>
      <c r="V819" s="19" t="n">
        <v>2.4</v>
      </c>
      <c r="W819" s="19">
        <f>V819*0.2</f>
        <v/>
      </c>
      <c r="X819" s="21">
        <f>O819-Q819-R819-S819-U819-V819+T819+W819</f>
        <v/>
      </c>
      <c r="Y819" s="18" t="n"/>
      <c r="Z819" s="19">
        <f>O819+1.5</f>
        <v/>
      </c>
      <c r="AA819" s="19" t="n"/>
      <c r="AB819" s="19" t="n"/>
      <c r="AC819" s="18" t="n"/>
      <c r="AD819" s="18" t="n"/>
      <c r="AE819" s="13" t="inlineStr">
        <is>
          <t>NOT_UPLOADED</t>
        </is>
      </c>
    </row>
    <row r="820" ht="16" customHeight="1">
      <c r="A820" s="12" t="n"/>
      <c r="B820" s="12" t="n">
        <v>4008600398516</v>
      </c>
      <c r="C820" s="20" t="inlineStr">
        <is>
          <t>изчерпан</t>
        </is>
      </c>
      <c r="D820" s="14" t="n"/>
      <c r="E820" s="14" t="n"/>
      <c r="F820" s="12" t="n">
        <v>10255599</v>
      </c>
      <c r="G820" s="14" t="inlineStr">
        <is>
          <t>BEBOLINO</t>
        </is>
      </c>
      <c r="H820" s="14" t="inlineStr">
        <is>
          <t>NUK</t>
        </is>
      </c>
      <c r="I820" s="14" t="inlineStr">
        <is>
          <t>NUK Action Cup Trinkbecher Kinder | 12+ Monate | 230 ml | Drehdeckel mit weichem Strohhalm | auslaufsicher | BPA-frei | grüner Leopard</t>
        </is>
      </c>
      <c r="J820" s="14" t="inlineStr">
        <is>
          <t>No</t>
        </is>
      </c>
      <c r="K820" s="14" t="inlineStr">
        <is>
          <t>https://www.amazon.de/NUK-Trinkbecher-Drehdeckel-Strohhalm-auslaufsicher/dp/B099RV5KR8/ref=sr_1_1?__mk_de_DE=%C3%85M%C3%85%C5%BD%C3%95%C3%91&amp;crid=3BHLTIZCFO6ZV&amp;dib=eyJ2IjoiMSJ9.KW54qtJqIcN44D-z62FLIw.iahCpOBoEm9Ua6jdTtD-nICfO3zz36gJNoGqTKT74cY&amp;dib_tag=se&amp;keywords=4008600398516&amp;qid=1758391270&amp;sprefix=4008600398516%2Caps%2C131&amp;sr=8-1&amp;th=1</t>
        </is>
      </c>
      <c r="L820" s="14" t="inlineStr">
        <is>
          <t>B099RV5KR8</t>
        </is>
      </c>
      <c r="M820" s="15" t="n"/>
      <c r="N820" s="15" t="n"/>
      <c r="O820" s="15" t="n"/>
      <c r="P820" s="15" t="n"/>
      <c r="Q820" s="15" t="n"/>
      <c r="R820" s="15" t="n"/>
      <c r="S820" s="15" t="n">
        <v>6.24</v>
      </c>
      <c r="T820" s="15">
        <f>S820*0.2</f>
        <v/>
      </c>
      <c r="U820" s="15" t="n">
        <v>0.400000000000002</v>
      </c>
      <c r="V820" s="15" t="n">
        <v>2.4</v>
      </c>
      <c r="W820" s="15">
        <f>V820*0.2</f>
        <v/>
      </c>
      <c r="X820" s="22" t="n"/>
      <c r="Y820" s="14" t="n"/>
      <c r="Z820" s="15" t="n"/>
      <c r="AA820" s="15" t="n"/>
      <c r="AB820" s="15" t="n"/>
      <c r="AC820" s="14" t="n"/>
      <c r="AD820" s="14" t="n"/>
      <c r="AE820" s="13" t="inlineStr">
        <is>
          <t>NOT_UPLOADED</t>
        </is>
      </c>
    </row>
    <row r="821" ht="16" customHeight="1">
      <c r="A821" s="17" t="n"/>
      <c r="B821" s="17" t="n">
        <v>4008600398523</v>
      </c>
      <c r="C821" s="13" t="n"/>
      <c r="D821" s="18" t="inlineStr">
        <is>
          <t>Approval required</t>
        </is>
      </c>
      <c r="E821" s="18" t="n"/>
      <c r="F821" s="17" t="n">
        <v>10255600</v>
      </c>
      <c r="G821" s="18" t="inlineStr">
        <is>
          <t>BEBOLINO</t>
        </is>
      </c>
      <c r="H821" s="18" t="inlineStr">
        <is>
          <t>NUK</t>
        </is>
      </c>
      <c r="I821" s="18" t="inlineStr">
        <is>
          <t>NUK Action Cup Trinkbecher Kinder | 12+ Monate | 230 ml | Drehdeckel mit weichem Strohhalm | auslaufsicher | BPA-frei | lila Krabbe</t>
        </is>
      </c>
      <c r="J821" s="18" t="inlineStr">
        <is>
          <t>No</t>
        </is>
      </c>
      <c r="K821" s="18" t="inlineStr">
        <is>
          <t>https://www.amazon.de/NUK-Trinkbecher-Drehdeckel-Strohhalm-auslaufsicher/dp/B099RX25CH/ref=sr_1_1?__mk_de_DE=%C3%85M%C3%85%C5%BD%C3%95%C3%91&amp;crid=3BHLTIZCFO6ZV&amp;dib=eyJ2IjoiMSJ9.KW54qtJqIcN44D-z62FLIw.iahCpOBoEm9Ua6jdTtD-nICfO3zz36gJNoGqTKT74cY&amp;dib_tag=se&amp;keywords=4008600398516&amp;qid=1758391270&amp;sprefix=4008600398516%2Caps%2C131&amp;sr=8-1&amp;th=1</t>
        </is>
      </c>
      <c r="L821" s="18" t="inlineStr">
        <is>
          <t>B099RX25CH</t>
        </is>
      </c>
      <c r="M821" s="19" t="n"/>
      <c r="N821" s="19" t="n"/>
      <c r="O821" s="19" t="n">
        <v>14.55</v>
      </c>
      <c r="P821" s="19">
        <f>O821/1.19</f>
        <v/>
      </c>
      <c r="Q821" s="19">
        <f>O821-P821</f>
        <v/>
      </c>
      <c r="R821" s="19">
        <f>O821*0.15</f>
        <v/>
      </c>
      <c r="S821" s="19" t="n">
        <v>6.24</v>
      </c>
      <c r="T821" s="19">
        <f>S821*0.2</f>
        <v/>
      </c>
      <c r="U821" s="19" t="n">
        <v>0.400000000000002</v>
      </c>
      <c r="V821" s="19" t="n">
        <v>2.4</v>
      </c>
      <c r="W821" s="19">
        <f>V821*0.2</f>
        <v/>
      </c>
      <c r="X821" s="21">
        <f>O821-Q821-R821-S821-U821-V821+T821+W821</f>
        <v/>
      </c>
      <c r="Y821" s="18" t="n"/>
      <c r="Z821" s="19">
        <f>O821+1.5</f>
        <v/>
      </c>
      <c r="AA821" s="19" t="n"/>
      <c r="AB821" s="19" t="n"/>
      <c r="AC821" s="18" t="n"/>
      <c r="AD821" s="18" t="n"/>
      <c r="AE821" s="13" t="inlineStr">
        <is>
          <t>NOT_UPLOADED</t>
        </is>
      </c>
    </row>
    <row r="822" ht="16" customHeight="1">
      <c r="A822" s="12" t="n"/>
      <c r="B822" s="12" t="n">
        <v>4008600398486</v>
      </c>
      <c r="C822" s="13" t="n"/>
      <c r="D822" s="14" t="inlineStr">
        <is>
          <t>Approval required</t>
        </is>
      </c>
      <c r="E822" s="14" t="n"/>
      <c r="F822" s="12" t="n">
        <v>10255601</v>
      </c>
      <c r="G822" s="14" t="inlineStr">
        <is>
          <t>BEBOLINO</t>
        </is>
      </c>
      <c r="H822" s="14" t="inlineStr">
        <is>
          <t>NUK</t>
        </is>
      </c>
      <c r="I822" s="14" t="inlineStr">
        <is>
          <t>NUK Action Cup Trinkbecher Kinder | 12+ Monate | 230 ml | Drehdeckel mit weichem Strohhalm | auslaufsicher | BPA-frei | gelbe Katze</t>
        </is>
      </c>
      <c r="J822" s="14" t="inlineStr">
        <is>
          <t>No</t>
        </is>
      </c>
      <c r="K822" s="14" t="inlineStr">
        <is>
          <t>https://www.amazon.de/NUK-Trinkbecher-Drehdeckel-Strohhalm-auslaufsicher/dp/B099RWXLL4/ref=sr_1_1?__mk_de_DE=%C3%85M%C3%85%C5%BD%C3%95%C3%91&amp;crid=3BHLTIZCFO6ZV&amp;dib=eyJ2IjoiMSJ9.KW54qtJqIcN44D-z62FLIw.iahCpOBoEm9Ua6jdTtD-nICfO3zz36gJNoGqTKT74cY&amp;dib_tag=se&amp;keywords=4008600398516&amp;qid=1758391270&amp;sprefix=4008600398516%2Caps%2C131&amp;sr=8-1&amp;th=1</t>
        </is>
      </c>
      <c r="L822" s="14" t="inlineStr">
        <is>
          <t>B099RWXLL4</t>
        </is>
      </c>
      <c r="M822" s="15" t="n"/>
      <c r="N822" s="15" t="n"/>
      <c r="O822" s="15" t="n">
        <v>14.55</v>
      </c>
      <c r="P822" s="15">
        <f>O822/1.19</f>
        <v/>
      </c>
      <c r="Q822" s="15">
        <f>O822-P822</f>
        <v/>
      </c>
      <c r="R822" s="15">
        <f>O822*0.15</f>
        <v/>
      </c>
      <c r="S822" s="15" t="n">
        <v>6.24</v>
      </c>
      <c r="T822" s="15">
        <f>S822*0.2</f>
        <v/>
      </c>
      <c r="U822" s="15" t="n">
        <v>0.400000000000002</v>
      </c>
      <c r="V822" s="15" t="n">
        <v>2.4</v>
      </c>
      <c r="W822" s="15">
        <f>V822*0.2</f>
        <v/>
      </c>
      <c r="X822" s="21">
        <f>O822-Q822-R822-S822-U822-V822+T822+W822</f>
        <v/>
      </c>
      <c r="Y822" s="14" t="n"/>
      <c r="Z822" s="15">
        <f>O822+1.5</f>
        <v/>
      </c>
      <c r="AA822" s="15" t="n"/>
      <c r="AB822" s="15" t="n"/>
      <c r="AC822" s="14" t="n"/>
      <c r="AD822" s="14" t="n"/>
      <c r="AE822" s="13" t="inlineStr">
        <is>
          <t>NOT_UPLOADED</t>
        </is>
      </c>
    </row>
    <row r="823" ht="16" customHeight="1">
      <c r="A823" s="17" t="n"/>
      <c r="B823" s="17" t="n">
        <v>4008600406204</v>
      </c>
      <c r="C823" s="13" t="n"/>
      <c r="D823" s="18" t="inlineStr">
        <is>
          <t>Approval required</t>
        </is>
      </c>
      <c r="E823" s="18" t="n"/>
      <c r="F823" s="17" t="n">
        <v>10255637</v>
      </c>
      <c r="G823" s="18" t="inlineStr">
        <is>
          <t>BEBOLINO</t>
        </is>
      </c>
      <c r="H823" s="18" t="inlineStr">
        <is>
          <t>NUK</t>
        </is>
      </c>
      <c r="I823" s="18" t="inlineStr">
        <is>
          <t>NUK 3-in-1 Trinklernset mit Trainer Cup Schnabeltasse (6+ Monate), Magic Cup 360° Trinklernbecher (8+ M) &amp; Action Cup Trinkflasche Kinder (12+ M) | 230 ml | BPA-frei | lila Krabbe</t>
        </is>
      </c>
      <c r="J823" s="18" t="inlineStr">
        <is>
          <t>No</t>
        </is>
      </c>
      <c r="K823" s="18" t="inlineStr">
        <is>
          <t>https://www.amazon.de/NUK-Trinklernset-Schnabeltasse-Trinklernbecher-Trinkflasche/dp/B099RXLLQB/ref=sr_1_1?__mk_de_DE=%C3%85M%C3%85%C5%BD%C3%95%C3%91&amp;crid=2BZ15GT9WJD0Z&amp;dib=eyJ2IjoiMSJ9.Noq8SBeqiC5qTYILyr28MA.4pp5PXttD2f1Y_S_UtZ4gJ7IuVam6SCFV7MEGsKF3Rs&amp;dib_tag=se&amp;keywords=B099RVMJ4M&amp;qid=1750196697&amp;s=baby&amp;sprefix=b099rvmj4m%2Cbaby%2C100&amp;sr=1-1&amp;th=1</t>
        </is>
      </c>
      <c r="L823" s="18" t="inlineStr">
        <is>
          <t>B099RXLLQB</t>
        </is>
      </c>
      <c r="M823" s="19" t="n"/>
      <c r="N823" s="19" t="n"/>
      <c r="O823" s="19" t="n">
        <v>27.5</v>
      </c>
      <c r="P823" s="19">
        <f>O823/1.19</f>
        <v/>
      </c>
      <c r="Q823" s="19">
        <f>O823-P823</f>
        <v/>
      </c>
      <c r="R823" s="19">
        <f>O823*0.15</f>
        <v/>
      </c>
      <c r="S823" s="19" t="n">
        <v>14.32</v>
      </c>
      <c r="T823" s="19">
        <f>S823*0.2</f>
        <v/>
      </c>
      <c r="U823" s="19" t="n">
        <v>0.400000000000002</v>
      </c>
      <c r="V823" s="19" t="n">
        <v>3.5</v>
      </c>
      <c r="W823" s="19">
        <f>V823*0.2</f>
        <v/>
      </c>
      <c r="X823" s="21">
        <f>O823-Q823-R823-S823-U823-V823+T823+W823</f>
        <v/>
      </c>
      <c r="Y823" s="18" t="n"/>
      <c r="Z823" s="19">
        <f>O823+1.5</f>
        <v/>
      </c>
      <c r="AA823" s="19" t="n"/>
      <c r="AB823" s="19" t="n"/>
      <c r="AC823" s="18" t="n"/>
      <c r="AD823" s="18" t="n"/>
      <c r="AE823" s="13" t="inlineStr">
        <is>
          <t>NOT_UPLOADED</t>
        </is>
      </c>
    </row>
    <row r="824" ht="16" customHeight="1">
      <c r="A824" s="12" t="n"/>
      <c r="B824" s="12" t="n">
        <v>4008600406198</v>
      </c>
      <c r="C824" s="13" t="n"/>
      <c r="D824" s="14" t="inlineStr">
        <is>
          <t>Approval required</t>
        </is>
      </c>
      <c r="E824" s="14" t="n"/>
      <c r="F824" s="12" t="n">
        <v>10255638</v>
      </c>
      <c r="G824" s="14" t="inlineStr">
        <is>
          <t>BEBOLINO</t>
        </is>
      </c>
      <c r="H824" s="14" t="inlineStr">
        <is>
          <t>NUK</t>
        </is>
      </c>
      <c r="I824" s="14" t="inlineStr">
        <is>
          <t>NUK 3-in-1 Trinklernset mit Trainer Cup Schnabeltasse (6+ Monate), Magic Cup 360° Trinklernbecher (8+ M) &amp; Action Cup Trinkflasche Kinder (12+ M) | 230 ml | BPA-frei | gelbe Katze</t>
        </is>
      </c>
      <c r="J824" s="14" t="inlineStr">
        <is>
          <t>No</t>
        </is>
      </c>
      <c r="K824" s="14" t="inlineStr">
        <is>
          <t>https://www.amazon.de/NUK-Trinklernset-Schnabeltasse-Trinklernbecher-Trinkflasche/dp/B099RX46JL/ref=sr_1_1?__mk_de_DE=%C3%85M%C3%85%C5%BD%C3%95%C3%91&amp;crid=2BZ15GT9WJD0Z&amp;dib=eyJ2IjoiMSJ9.Noq8SBeqiC5qTYILyr28MA.4pp5PXttD2f1Y_S_UtZ4gJ7IuVam6SCFV7MEGsKF3Rs&amp;dib_tag=se&amp;keywords=B099RVMJ4M&amp;qid=1750196697&amp;s=baby&amp;sprefix=b099rvmj4m%2Cbaby%2C100&amp;sr=1-1&amp;th=1</t>
        </is>
      </c>
      <c r="L824" s="14" t="inlineStr">
        <is>
          <t>B099RX46JL</t>
        </is>
      </c>
      <c r="M824" s="15" t="n"/>
      <c r="N824" s="15" t="n"/>
      <c r="O824" s="15" t="n">
        <v>26</v>
      </c>
      <c r="P824" s="15">
        <f>O824/1.19</f>
        <v/>
      </c>
      <c r="Q824" s="15">
        <f>O824-P824</f>
        <v/>
      </c>
      <c r="R824" s="15">
        <f>O824*0.15</f>
        <v/>
      </c>
      <c r="S824" s="15" t="n">
        <v>14.32</v>
      </c>
      <c r="T824" s="15">
        <f>S824*0.2</f>
        <v/>
      </c>
      <c r="U824" s="15" t="n">
        <v>0.400000000000002</v>
      </c>
      <c r="V824" s="15" t="n">
        <v>3.5</v>
      </c>
      <c r="W824" s="15">
        <f>V824*0.2</f>
        <v/>
      </c>
      <c r="X824" s="21">
        <f>O824-Q824-R824-S824-U824-V824+T824+W824</f>
        <v/>
      </c>
      <c r="Y824" s="14" t="n"/>
      <c r="Z824" s="15">
        <f>O824+1.5</f>
        <v/>
      </c>
      <c r="AA824" s="15" t="n"/>
      <c r="AB824" s="15" t="n"/>
      <c r="AC824" s="14" t="n"/>
      <c r="AD824" s="14" t="n"/>
      <c r="AE824" s="13" t="inlineStr">
        <is>
          <t>NOT_UPLOADED</t>
        </is>
      </c>
    </row>
    <row r="825" ht="16" customHeight="1">
      <c r="A825" s="17" t="n">
        <v>4008600418276</v>
      </c>
      <c r="B825" s="17" t="n">
        <v>4008600418276</v>
      </c>
      <c r="C825" s="13" t="n"/>
      <c r="D825" s="18" t="n"/>
      <c r="E825" s="18" t="inlineStr">
        <is>
          <t>BEB-4008600418276</t>
        </is>
      </c>
      <c r="F825" s="17" t="n">
        <v>10255649</v>
      </c>
      <c r="G825" s="18" t="inlineStr">
        <is>
          <t>BEBOLINO</t>
        </is>
      </c>
      <c r="H825" s="18" t="inlineStr">
        <is>
          <t>NUK</t>
        </is>
      </c>
      <c r="I825" s="18" t="inlineStr">
        <is>
          <t>NUK Disney Bambi Kiddy Cup mit harter Trinktülle, 300ml, auslaufsicher, ab 12 Monaten, BPA frei, rosa, 1 Stück</t>
        </is>
      </c>
      <c r="J825" s="18" t="inlineStr">
        <is>
          <t>No</t>
        </is>
      </c>
      <c r="K825" s="18" t="inlineStr">
        <is>
          <t>https://www.amazon.de/NUK-Disney-Trinkt%C3%BClle-auslaufsicher-Monaten/dp/B0B96T8MQL/ref=sr_1_1?__mk_de_DE=%C3%85M%C3%85%C5%BD%C3%95%C3%91&amp;crid=2AZXTKMT1GETD&amp;dib=eyJ2IjoiMSJ9.ahVFI85QFgCszb-jbAehyw.ULPnWk2gFHkztL9IXSoLOsxgCwneYcWLuDar3e0m8Qo&amp;dib_tag=se&amp;keywords=4008600418276&amp;qid=1758465790&amp;s=baby&amp;sprefix=4008600418276%2Cbaby%2C115&amp;sr=1-1</t>
        </is>
      </c>
      <c r="L825" s="18" t="inlineStr">
        <is>
          <t>B0B96T8MQL</t>
        </is>
      </c>
      <c r="M825" s="19" t="n"/>
      <c r="N825" s="19" t="n"/>
      <c r="O825" s="19" t="n">
        <v>15.95</v>
      </c>
      <c r="P825" s="19">
        <f>O825/1.19</f>
        <v/>
      </c>
      <c r="Q825" s="19">
        <f>O825-P825</f>
        <v/>
      </c>
      <c r="R825" s="19">
        <f>O825*0.15</f>
        <v/>
      </c>
      <c r="S825" s="19" t="n">
        <v>7.16</v>
      </c>
      <c r="T825" s="19">
        <f>S825*0.2</f>
        <v/>
      </c>
      <c r="U825" s="19" t="n">
        <v>0.400000000000002</v>
      </c>
      <c r="V825" s="19" t="n">
        <v>2.75</v>
      </c>
      <c r="W825" s="19">
        <f>V825*0.2</f>
        <v/>
      </c>
      <c r="X825" s="21">
        <f>O825-Q825-R825-S825-U825-V825+T825+W825</f>
        <v/>
      </c>
      <c r="Y825" s="18" t="n"/>
      <c r="Z825" s="19">
        <f>O825+1.5</f>
        <v/>
      </c>
      <c r="AA825" s="19" t="n"/>
      <c r="AB825" s="19" t="n"/>
      <c r="AC825" s="18" t="n"/>
      <c r="AD825" s="18" t="n"/>
      <c r="AE825" s="13" t="inlineStr">
        <is>
          <t>NOT_UPLOADED</t>
        </is>
      </c>
    </row>
    <row r="826" ht="16" customHeight="1">
      <c r="A826" s="12" t="n">
        <v>4008600417200</v>
      </c>
      <c r="B826" s="12" t="n">
        <v>4008600417200</v>
      </c>
      <c r="C826" s="13" t="n"/>
      <c r="D826" s="14" t="n"/>
      <c r="E826" s="14" t="inlineStr">
        <is>
          <t>BEB-4008600417200</t>
        </is>
      </c>
      <c r="F826" s="12" t="n">
        <v>10255643</v>
      </c>
      <c r="G826" s="14" t="inlineStr">
        <is>
          <t>BEBOLINO</t>
        </is>
      </c>
      <c r="H826" s="14" t="inlineStr">
        <is>
          <t>NUK</t>
        </is>
      </c>
      <c r="I826" s="14" t="inlineStr">
        <is>
          <t>NUK Disney König der Löwen Kiddy Cup mit harter Trinktülle, 300ml, auslaufsicher, ab 12 Monaten, BPA frei, beige, 1 Stück</t>
        </is>
      </c>
      <c r="J826" s="14" t="inlineStr">
        <is>
          <t>No</t>
        </is>
      </c>
      <c r="K826" s="14" t="inlineStr">
        <is>
          <t>https://www.amazon.de/NUK-Disney-Trinkt%C3%BClle-auslaufsicher-Monaten/dp/B0B96SBWFH/ref=sr_1_1?__mk_de_DE=%C3%85M%C3%85%C5%BD%C3%95%C3%91&amp;crid=1PGNIOE4NLAQ5&amp;dib=eyJ2IjoiMSJ9.V6_Hi4FJUcTymhw-eKr6mQ.AsZWet18qrSf4xM7z2BUgj9NfL4JRBZWaIxIlF04VAo&amp;dib_tag=se&amp;keywords=4008600417200&amp;qid=1758465969&amp;s=baby&amp;sprefix=4008600417200%2Cbaby%2C91&amp;sr=1-1</t>
        </is>
      </c>
      <c r="L826" s="14" t="inlineStr">
        <is>
          <t>B0B96SBWFH</t>
        </is>
      </c>
      <c r="M826" s="15" t="n"/>
      <c r="N826" s="15" t="n"/>
      <c r="O826" s="15" t="n">
        <v>15.7</v>
      </c>
      <c r="P826" s="15">
        <f>O826/1.19</f>
        <v/>
      </c>
      <c r="Q826" s="15">
        <f>O826-P826</f>
        <v/>
      </c>
      <c r="R826" s="15">
        <f>O826*0.15</f>
        <v/>
      </c>
      <c r="S826" s="15" t="n">
        <v>7.16</v>
      </c>
      <c r="T826" s="15">
        <f>S826*0.2</f>
        <v/>
      </c>
      <c r="U826" s="15" t="n">
        <v>0.400000000000002</v>
      </c>
      <c r="V826" s="15" t="n">
        <v>3.15</v>
      </c>
      <c r="W826" s="15">
        <f>V826*0.2</f>
        <v/>
      </c>
      <c r="X826" s="21">
        <f>O826-Q826-R826-S826-U826-V826+T826+W826</f>
        <v/>
      </c>
      <c r="Y826" s="14" t="n"/>
      <c r="Z826" s="15">
        <f>O826+1.5</f>
        <v/>
      </c>
      <c r="AA826" s="15" t="n"/>
      <c r="AB826" s="15" t="n"/>
      <c r="AC826" s="14" t="n"/>
      <c r="AD826" s="14" t="n"/>
      <c r="AE826" s="13" t="inlineStr">
        <is>
          <t>NOT_UPLOADED</t>
        </is>
      </c>
    </row>
    <row r="827" ht="16" customHeight="1">
      <c r="A827" s="17" t="n"/>
      <c r="B827" s="17" t="n">
        <v>4008600413516</v>
      </c>
      <c r="C827" s="13" t="n"/>
      <c r="D827" s="18" t="inlineStr">
        <is>
          <t>Approval required</t>
        </is>
      </c>
      <c r="E827" s="18" t="n"/>
      <c r="F827" s="17" t="n">
        <v>10255641</v>
      </c>
      <c r="G827" s="18" t="inlineStr">
        <is>
          <t>BEBOLINO</t>
        </is>
      </c>
      <c r="H827" s="18" t="inlineStr">
        <is>
          <t>NUK</t>
        </is>
      </c>
      <c r="I827" s="18" t="inlineStr">
        <is>
          <t>NUK Polypropylen (PP) Motion Cup Trinklernbecher | 230ml | auslaufsicherer, weicher Strohhalm | ergonomisch geformte Griffe | 8+ Monate | BPA frei | Gelb</t>
        </is>
      </c>
      <c r="J827" s="18" t="inlineStr">
        <is>
          <t>No</t>
        </is>
      </c>
      <c r="K827" s="18" t="inlineStr">
        <is>
          <t>https://www.amazon.de/NUK-Trinklernbecher-auslaufsicherer-Strohhalm-ergonomisch/dp/B09WF4BTHP/ref=sr_1_1?__mk_de_DE=%C3%85M%C3%85%C5%BD%C3%95%C3%91&amp;crid=37F9EJ05CFVHE&amp;dib=eyJ2IjoiMSJ9.ljKD5jbZ5_JE5oxJQn2GNA.uL4fZ2JCBE1XkCUOVnfdt-T73dn_dMwY1-TozWmeDYM&amp;dib_tag=se&amp;keywords=4008600413516&amp;qid=1758467730&amp;s=baby&amp;sprefix=4008600413516%2Cbaby%2C96&amp;sr=1-1&amp;th=1</t>
        </is>
      </c>
      <c r="L827" s="18" t="inlineStr">
        <is>
          <t>B09WF4BTHP</t>
        </is>
      </c>
      <c r="M827" s="19" t="n"/>
      <c r="N827" s="19" t="n"/>
      <c r="O827" s="19" t="n">
        <v>17.37</v>
      </c>
      <c r="P827" s="19">
        <f>O827/1.19</f>
        <v/>
      </c>
      <c r="Q827" s="19">
        <f>O827-P827</f>
        <v/>
      </c>
      <c r="R827" s="19">
        <f>O827*0.15</f>
        <v/>
      </c>
      <c r="S827" s="19" t="n">
        <v>8.19</v>
      </c>
      <c r="T827" s="19">
        <f>S827*0.2</f>
        <v/>
      </c>
      <c r="U827" s="19" t="n">
        <v>0.400000000000002</v>
      </c>
      <c r="V827" s="19" t="n">
        <v>2.5</v>
      </c>
      <c r="W827" s="19">
        <f>V827*0.2</f>
        <v/>
      </c>
      <c r="X827" s="21">
        <f>O827-Q827-R827-S827-U827-V827+T827+W827</f>
        <v/>
      </c>
      <c r="Y827" s="18" t="n"/>
      <c r="Z827" s="19">
        <f>O827+1.5</f>
        <v/>
      </c>
      <c r="AA827" s="19" t="n"/>
      <c r="AB827" s="19" t="n"/>
      <c r="AC827" s="18" t="n"/>
      <c r="AD827" s="18" t="n"/>
      <c r="AE827" s="13" t="inlineStr">
        <is>
          <t>NOT_UPLOADED</t>
        </is>
      </c>
    </row>
    <row r="828" ht="16" customHeight="1">
      <c r="A828" s="12" t="n"/>
      <c r="B828" s="12" t="n">
        <v>4008600413523</v>
      </c>
      <c r="C828" s="13" t="n"/>
      <c r="D828" s="14" t="inlineStr">
        <is>
          <t>Approval required</t>
        </is>
      </c>
      <c r="E828" s="14" t="n"/>
      <c r="F828" s="12" t="n">
        <v>10255640</v>
      </c>
      <c r="G828" s="14" t="inlineStr">
        <is>
          <t>BEBOLINO</t>
        </is>
      </c>
      <c r="H828" s="14" t="inlineStr">
        <is>
          <t>NUK</t>
        </is>
      </c>
      <c r="I828" s="14" t="inlineStr">
        <is>
          <t>NUK Motion Cup Trinklernbecher | 230ml | auslaufsicherer, weicher Strohhalm | ergonomisch geformte Griffe | 8+ Monate | BPA frei | grün</t>
        </is>
      </c>
      <c r="J828" s="14" t="inlineStr">
        <is>
          <t>No</t>
        </is>
      </c>
      <c r="K828" s="14" t="inlineStr">
        <is>
          <t>https://www.amazon.de/NUK-Trinklernbecher-auslaufsicherer-Strohhalm-ergonomisch/dp/B09WF7QM89/ref=sr_1_1?__mk_de_DE=%C3%85M%C3%85%C5%BD%C3%95%C3%91&amp;crid=37F9EJ05CFVHE&amp;dib=eyJ2IjoiMSJ9.ljKD5jbZ5_JE5oxJQn2GNA.uL4fZ2JCBE1XkCUOVnfdt-T73dn_dMwY1-TozWmeDYM&amp;dib_tag=se&amp;keywords=4008600413516&amp;qid=1758467730&amp;s=baby&amp;sprefix=4008600413516%2Cbaby%2C96&amp;sr=1-1&amp;th=1</t>
        </is>
      </c>
      <c r="L828" s="14" t="inlineStr">
        <is>
          <t>B09WF7QM89</t>
        </is>
      </c>
      <c r="M828" s="15" t="n"/>
      <c r="N828" s="15" t="n"/>
      <c r="O828" s="15" t="n">
        <v>17.37</v>
      </c>
      <c r="P828" s="15">
        <f>O828/1.19</f>
        <v/>
      </c>
      <c r="Q828" s="15">
        <f>O828-P828</f>
        <v/>
      </c>
      <c r="R828" s="15">
        <f>O828*0.15</f>
        <v/>
      </c>
      <c r="S828" s="15" t="n">
        <v>8.19</v>
      </c>
      <c r="T828" s="15">
        <f>S828*0.2</f>
        <v/>
      </c>
      <c r="U828" s="15" t="n">
        <v>0.400000000000002</v>
      </c>
      <c r="V828" s="15" t="n">
        <v>2.5</v>
      </c>
      <c r="W828" s="15">
        <f>V828*0.2</f>
        <v/>
      </c>
      <c r="X828" s="21">
        <f>O828-Q828-R828-S828-U828-V828+T828+W828</f>
        <v/>
      </c>
      <c r="Y828" s="14" t="n"/>
      <c r="Z828" s="15">
        <f>O828+1.5</f>
        <v/>
      </c>
      <c r="AA828" s="15" t="n"/>
      <c r="AB828" s="15" t="n"/>
      <c r="AC828" s="14" t="n"/>
      <c r="AD828" s="14" t="n"/>
      <c r="AE828" s="13" t="inlineStr">
        <is>
          <t>NOT_UPLOADED</t>
        </is>
      </c>
    </row>
    <row r="829" ht="16" customHeight="1">
      <c r="A829" s="17" t="n"/>
      <c r="B829" s="17" t="n">
        <v>4008600382430</v>
      </c>
      <c r="C829" s="13" t="n"/>
      <c r="D829" s="18" t="inlineStr">
        <is>
          <t>Approval required</t>
        </is>
      </c>
      <c r="E829" s="18" t="n"/>
      <c r="F829" s="17" t="n">
        <v>10255576</v>
      </c>
      <c r="G829" s="18" t="inlineStr">
        <is>
          <t>BEBOLINO</t>
        </is>
      </c>
      <c r="H829" s="18" t="inlineStr">
        <is>
          <t>NUK</t>
        </is>
      </c>
      <c r="I829" s="18" t="inlineStr">
        <is>
          <t>NUK Junior Cup Kinder Trinkflasche mit Chamäleon-Effekt | 18+ Monate | mit Farbwechsel | auslaufsicherer Trinklernbecher mit Push-Pull-Trinksauger | Clip &amp; Schutzkappe | BPA-frei | 300 ml | blaugrün</t>
        </is>
      </c>
      <c r="J829" s="18" t="inlineStr">
        <is>
          <t>No</t>
        </is>
      </c>
      <c r="K829" s="18" t="inlineStr">
        <is>
          <t>https://www.amazon.de/NUK-Trinklernflasche-Push-Pull-T%C3%BClle-Cham%C3%A4leon-auslaufsicher/dp/B08R4BJ7XB/ref=sr_1_1?__mk_de_DE=%C3%85M%C3%85%C5%BD%C3%95%C3%91&amp;crid=13GHYAS36X3CQ&amp;dib=eyJ2IjoiMSJ9.w7PgPDLERMRLmow_78pYDQNQI1DMQspZBz0lWejA-OqSBfT4LfBpY-53lpTB3dhIfF8MOWrWj_CsCL8v2S6fsapV_HYR1NJ3lAjxLHUAaepCyUECHAJwDbtxhfMHvRsUmRvV8w_0j9dfEpgQwtlLF6khSFqdY77PYoSYH2CtudYnQ24ecaoXrnm5Q7AwqZe_lXYQBohEqhz6oU_jceSiflwo2R83PiexB_UzXAHTPYtUHWMYODLFFM_-0uCoGCCGelzWeJWKHGo0so4VtqTCPLDf-gKbDdU2I7Bpw0PW6YE.m0r2gdpaYZNAnl4TRGAHqftzVZR-iwcdXN-H6cclBq4&amp;dib_tag=se&amp;keywords=nuk%2Bjunior%2Bcup300&amp;qid=1758468045&amp;sprefix=nuk%2Bjunior%2Bcup300%2Caps%2C101&amp;sr=8-1&amp;th=1</t>
        </is>
      </c>
      <c r="L829" s="18" t="inlineStr">
        <is>
          <t>B08R4BJ7XB</t>
        </is>
      </c>
      <c r="M829" s="19" t="n"/>
      <c r="N829" s="19" t="n"/>
      <c r="O829" s="19" t="n">
        <v>14.77</v>
      </c>
      <c r="P829" s="19">
        <f>O829/1.19</f>
        <v/>
      </c>
      <c r="Q829" s="19">
        <f>O829-P829</f>
        <v/>
      </c>
      <c r="R829" s="19">
        <f>O829*0.15</f>
        <v/>
      </c>
      <c r="S829" s="19" t="n">
        <v>5.88</v>
      </c>
      <c r="T829" s="19">
        <f>S829*0.2</f>
        <v/>
      </c>
      <c r="U829" s="19" t="n">
        <v>0.400000000000002</v>
      </c>
      <c r="V829" s="19" t="n">
        <v>3</v>
      </c>
      <c r="W829" s="19">
        <f>V829*0.2</f>
        <v/>
      </c>
      <c r="X829" s="21">
        <f>O829-Q829-R829-S829-U829-V829+T829+W829</f>
        <v/>
      </c>
      <c r="Y829" s="18" t="n"/>
      <c r="Z829" s="19">
        <f>O829+1.5</f>
        <v/>
      </c>
      <c r="AA829" s="19" t="n"/>
      <c r="AB829" s="19" t="n"/>
      <c r="AC829" s="18" t="n"/>
      <c r="AD829" s="18" t="n"/>
      <c r="AE829" s="13" t="inlineStr">
        <is>
          <t>NOT_UPLOADED</t>
        </is>
      </c>
    </row>
    <row r="830" ht="16" customHeight="1">
      <c r="A830" s="12" t="n">
        <v>4008600311713</v>
      </c>
      <c r="B830" s="12" t="n">
        <v>4008600311713</v>
      </c>
      <c r="C830" s="20" t="inlineStr">
        <is>
          <t>СИВО</t>
        </is>
      </c>
      <c r="D830" s="14" t="n"/>
      <c r="E830" s="14" t="inlineStr">
        <is>
          <t>BEB-4008600311713</t>
        </is>
      </c>
      <c r="F830" s="12" t="n">
        <v>10255413</v>
      </c>
      <c r="G830" s="14" t="inlineStr">
        <is>
          <t>BEBOLINO</t>
        </is>
      </c>
      <c r="H830" s="14" t="inlineStr">
        <is>
          <t>NUK</t>
        </is>
      </c>
      <c r="I830" s="14" t="inlineStr">
        <is>
          <t>Nuk Sports Cup Disney 450ml</t>
        </is>
      </c>
      <c r="J830" s="14" t="inlineStr">
        <is>
          <t>No</t>
        </is>
      </c>
      <c r="K830" s="14" t="inlineStr">
        <is>
          <t>https://www.amazon.de/Nuk-Sports-Cup-Disney-450ml/dp/B07MNKVS8V/ref=sr_1_1?__mk_de_DE=%C3%85M%C3%85%C5%BD%C3%95%C3%91&amp;crid=2H4G9Y85C04F4&amp;dib=eyJ2IjoiMSJ9.p6vD01qOPaYfhkjHKdGsKA.1LKoAtEyPrjVBWQdydYqBvvo6taU4CYmGJ37TOIJN0I&amp;dib_tag=se&amp;keywords=4008600311713&amp;qid=1758468292&amp;s=baby&amp;sprefix=4008600311713%2Cbaby%2C107&amp;sr=1-1</t>
        </is>
      </c>
      <c r="L830" s="14" t="inlineStr">
        <is>
          <t>B07MNKVS8V</t>
        </is>
      </c>
      <c r="M830" s="15" t="n"/>
      <c r="N830" s="15" t="n"/>
      <c r="O830" s="15" t="n">
        <v>16.11</v>
      </c>
      <c r="P830" s="15">
        <f>O830/1.19</f>
        <v/>
      </c>
      <c r="Q830" s="15">
        <f>O830-P830</f>
        <v/>
      </c>
      <c r="R830" s="15">
        <f>O830*0.15</f>
        <v/>
      </c>
      <c r="S830" s="15" t="n">
        <v>7.16</v>
      </c>
      <c r="T830" s="15">
        <f>S830*0.2</f>
        <v/>
      </c>
      <c r="U830" s="15" t="n">
        <v>0.400000000000002</v>
      </c>
      <c r="V830" s="15" t="n">
        <v>4</v>
      </c>
      <c r="W830" s="15">
        <f>V830*0.2</f>
        <v/>
      </c>
      <c r="X830" s="16">
        <f>O830-Q830-R830-S830-U830-V830+T830+W830</f>
        <v/>
      </c>
      <c r="Y830" s="14" t="n"/>
      <c r="Z830" s="15">
        <f>O830+1.5</f>
        <v/>
      </c>
      <c r="AA830" s="15" t="n"/>
      <c r="AB830" s="15" t="n"/>
      <c r="AC830" s="14" t="n"/>
      <c r="AD830" s="14" t="n"/>
      <c r="AE830" s="13" t="inlineStr">
        <is>
          <t>NOT_UPLOADED</t>
        </is>
      </c>
    </row>
    <row r="831" ht="16" customHeight="1">
      <c r="A831" s="17" t="n">
        <v>4008600387190</v>
      </c>
      <c r="B831" s="17" t="n">
        <v>4008600382447</v>
      </c>
      <c r="C831" s="20" t="inlineStr">
        <is>
          <t>PINK</t>
        </is>
      </c>
      <c r="D831" s="18" t="n"/>
      <c r="E831" s="18" t="inlineStr">
        <is>
          <t>BEB-4008600387190</t>
        </is>
      </c>
      <c r="F831" s="17" t="n">
        <v>10255577</v>
      </c>
      <c r="G831" s="18" t="inlineStr">
        <is>
          <t>BEBOLINO</t>
        </is>
      </c>
      <c r="H831" s="18" t="inlineStr">
        <is>
          <t>NUK</t>
        </is>
      </c>
      <c r="I831" s="18" t="inlineStr">
        <is>
          <t>NUK Sports Cup Kinder Trinkflasche mit Chamäleon-Effekt | 24+ Monate | mit Farbwechsel | auslaufsichere Push-Pull-Trinktülle | Clip &amp; Schutzkappe | BPA-frei | 450 ml | Pfau (lila)</t>
        </is>
      </c>
      <c r="J831" s="18" t="inlineStr">
        <is>
          <t>No</t>
        </is>
      </c>
      <c r="K831" s="18" t="inlineStr">
        <is>
          <t>https://www.amazon.de/NUK-Cham%C3%A4leon-Effekt-Farbwechsel-auslaufsichere-Push-Pull-Trinkt%C3%BClle/dp/B094SK7CSS/ref=sr_1_1?__mk_de_DE=%C3%85M%C3%85%C5%BD%C3%95%C3%91&amp;crid=1RHDDWUVV575Z&amp;dib=eyJ2IjoiMSJ9.esej_SxgjuztyMRza8Rn-Vww7jMMWa50LAUJQtBXZtpj9tI00NpkWRGMPkmK6rIewPNLNch-e0FKVY33UPTmoviNIJcn4pLUbXaxJvDzmTsm-LUIHd_eV4qzawpuzSZPWc1uX-UbeiwsIT-kfqjuCt4bjQ_smjdR-vKWZAe5My0RxbNl5u_Ew6Ak4uaamLNuABpkavEc2KKrAdOLJrL7CVxHXB6io7owVyX1-zqcT7kBS7MpK355kP8YH0D2X22pJXWoCHRbcpYLK_-bLZIbPdslG-atlnVXbZRTrkTJMvM.bgou_PmoE3KStMJv0YgnahobdN7wCgAl5BUn5RpsSwE&amp;dib_tag=se&amp;keywords=nuk%2BSPORTS%2BCUP%2B450&amp;qid=1758468511&amp;sprefix=nuk%2Bsports%2Bcup%2B450%2Caps%2C105&amp;sr=8-1&amp;th=1</t>
        </is>
      </c>
      <c r="L831" s="18" t="inlineStr">
        <is>
          <t>B094SK7CSS</t>
        </is>
      </c>
      <c r="M831" s="19" t="n"/>
      <c r="N831" s="19" t="n"/>
      <c r="O831" s="19" t="n">
        <v>16.65</v>
      </c>
      <c r="P831" s="19">
        <f>O831/1.19</f>
        <v/>
      </c>
      <c r="Q831" s="19">
        <f>O831-P831</f>
        <v/>
      </c>
      <c r="R831" s="19">
        <f>O831*0.15</f>
        <v/>
      </c>
      <c r="S831" s="19" t="n">
        <v>6.52</v>
      </c>
      <c r="T831" s="19">
        <f>S831*0.2</f>
        <v/>
      </c>
      <c r="U831" s="19" t="n">
        <v>0.400000000000002</v>
      </c>
      <c r="V831" s="19" t="n">
        <v>3.3</v>
      </c>
      <c r="W831" s="19">
        <f>V831*0.2</f>
        <v/>
      </c>
      <c r="X831" s="21">
        <f>O831-Q831-R831-S831-U831-V831+T831+W831</f>
        <v/>
      </c>
      <c r="Y831" s="18" t="n"/>
      <c r="Z831" s="19">
        <f>O831+1.5</f>
        <v/>
      </c>
      <c r="AA831" s="19" t="n"/>
      <c r="AB831" s="19" t="n"/>
      <c r="AC831" s="18" t="n"/>
      <c r="AD831" s="18" t="n"/>
      <c r="AE831" s="13" t="inlineStr">
        <is>
          <t>NOT_UPLOADED</t>
        </is>
      </c>
    </row>
    <row r="832" ht="16" customHeight="1">
      <c r="A832" s="12" t="n">
        <v>4008600387206</v>
      </c>
      <c r="B832" s="12" t="n">
        <v>4008600382447</v>
      </c>
      <c r="C832" s="20" t="inlineStr">
        <is>
          <t>GREEN</t>
        </is>
      </c>
      <c r="D832" s="14" t="n"/>
      <c r="E832" s="14" t="inlineStr">
        <is>
          <t>BEB-4008600387206</t>
        </is>
      </c>
      <c r="F832" s="12" t="n">
        <v>10255577</v>
      </c>
      <c r="G832" s="14" t="inlineStr">
        <is>
          <t>BEBOLINO</t>
        </is>
      </c>
      <c r="H832" s="14" t="inlineStr">
        <is>
          <t>NUK</t>
        </is>
      </c>
      <c r="I832" s="14" t="inlineStr">
        <is>
          <t>NUK Sports Cup Kinder Trinkflasche mit Chamäleon-Effekt | 24+ Monate | mit Farbwechsel | auslaufsichere Push-Pull-Trinktülle | Clip &amp; Schutzkappe | BPA-frei | 450 ml | Chamäleon (grün)</t>
        </is>
      </c>
      <c r="J832" s="14" t="inlineStr">
        <is>
          <t>No</t>
        </is>
      </c>
      <c r="K832" s="14" t="inlineStr">
        <is>
          <t>https://www.amazon.de/NUK-Cham%C3%A4leon-Effekt-Farbwechsel-auslaufsichere-Push-Pull-Trinkt%C3%BClle/dp/B094SMVYBS/ref=sr_1_1?__mk_de_DE=%C3%85M%C3%85%C5%BD%C3%95%C3%91&amp;crid=1RHDDWUVV575Z&amp;dib=eyJ2IjoiMSJ9.esej_SxgjuztyMRza8Rn-Vww7jMMWa50LAUJQtBXZtpj9tI00NpkWRGMPkmK6rIewPNLNch-e0FKVY33UPTmoviNIJcn4pLUbXaxJvDzmTsm-LUIHd_eV4qzawpuzSZPWc1uX-UbeiwsIT-kfqjuCt4bjQ_smjdR-vKWZAe5My0RxbNl5u_Ew6Ak4uaamLNuABpkavEc2KKrAdOLJrL7CVxHXB6io7owVyX1-zqcT7kBS7MpK355kP8YH0D2X22pJXWoCHRbcpYLK_-bLZIbPdslG-atlnVXbZRTrkTJMvM.bgou_PmoE3KStMJv0YgnahobdN7wCgAl5BUn5RpsSwE&amp;dib_tag=se&amp;keywords=nuk%2BSPORTS%2BCUP%2B450&amp;qid=1758468511&amp;sprefix=nuk%2Bsports%2Bcup%2B450%2Caps%2C105&amp;sr=8-1&amp;th=1</t>
        </is>
      </c>
      <c r="L832" s="14" t="inlineStr">
        <is>
          <t>B094SMVYBS</t>
        </is>
      </c>
      <c r="M832" s="15" t="n"/>
      <c r="N832" s="15" t="n"/>
      <c r="O832" s="15" t="n">
        <v>16.55</v>
      </c>
      <c r="P832" s="15">
        <f>O832/1.19</f>
        <v/>
      </c>
      <c r="Q832" s="15">
        <f>O832-P832</f>
        <v/>
      </c>
      <c r="R832" s="15">
        <f>O832*0.15</f>
        <v/>
      </c>
      <c r="S832" s="15" t="n">
        <v>6.52</v>
      </c>
      <c r="T832" s="15">
        <f>S832*0.2</f>
        <v/>
      </c>
      <c r="U832" s="15" t="n">
        <v>0.400000000000002</v>
      </c>
      <c r="V832" s="15" t="n">
        <v>3.3</v>
      </c>
      <c r="W832" s="15">
        <f>V832*0.2</f>
        <v/>
      </c>
      <c r="X832" s="21">
        <f>O832-Q832-R832-S832-U832-V832+T832+W832</f>
        <v/>
      </c>
      <c r="Y832" s="14" t="n"/>
      <c r="Z832" s="15">
        <f>O832+1.5</f>
        <v/>
      </c>
      <c r="AA832" s="15" t="n"/>
      <c r="AB832" s="15" t="n"/>
      <c r="AC832" s="14" t="n"/>
      <c r="AD832" s="14" t="n"/>
      <c r="AE832" s="13" t="inlineStr">
        <is>
          <t>NOT_UPLOADED</t>
        </is>
      </c>
    </row>
    <row r="833" ht="16" customHeight="1">
      <c r="A833" s="17" t="n">
        <v>4008600405474</v>
      </c>
      <c r="B833" s="17" t="n">
        <v>4008600311713</v>
      </c>
      <c r="C833" s="13" t="n"/>
      <c r="D833" s="18" t="n"/>
      <c r="E833" s="18" t="inlineStr">
        <is>
          <t>BEB-4008600405474</t>
        </is>
      </c>
      <c r="F833" s="17" t="n">
        <v>10255710</v>
      </c>
      <c r="G833" s="18" t="inlineStr">
        <is>
          <t>BEBOLINO</t>
        </is>
      </c>
      <c r="H833" s="18" t="inlineStr">
        <is>
          <t>NUK</t>
        </is>
      </c>
      <c r="I833" s="18" t="inlineStr">
        <is>
          <t>NUK Sports Cup Kinder Trinkflasche | 24+ Monate | auslaufsichere Push-Pull-Tülle | Clip und Schutzkappe | BPA-frei | 450 ml | Disney Minnie Maus (grau)</t>
        </is>
      </c>
      <c r="J833" s="18" t="inlineStr">
        <is>
          <t>No</t>
        </is>
      </c>
      <c r="K833" s="18" t="inlineStr">
        <is>
          <t>https://www.amazon.de/NUK-Cham%C3%A4leon-Effekt-Farbwechsel-auslaufsichere-Push-Pull-Trinkt%C3%BClle/dp/B09BD3RB9P/ref=sr_1_1?__mk_de_DE=%C3%85M%C3%85%C5%BD%C3%95%C3%91&amp;crid=1RHDDWUVV575Z&amp;dib=eyJ2IjoiMSJ9.esej_SxgjuztyMRza8Rn-Vww7jMMWa50LAUJQtBXZtpj9tI00NpkWRGMPkmK6rIewPNLNch-e0FKVY33UPTmoviNIJcn4pLUbXaxJvDzmTsm-LUIHd_eV4qzawpuzSZPWc1uX-UbeiwsIT-kfqjuCt4bjQ_smjdR-vKWZAe5My0RxbNl5u_Ew6Ak4uaamLNuABpkavEc2KKrAdOLJrL7CVxHXB6io7owVyX1-zqcT7kBS7MpK355kP8YH0D2X22pJXWoCHRbcpYLK_-bLZIbPdslG-atlnVXbZRTrkTJMvM.bgou_PmoE3KStMJv0YgnahobdN7wCgAl5BUn5RpsSwE&amp;dib_tag=se&amp;keywords=nuk%2BSPORTS%2BCUP%2B450&amp;qid=1758468511&amp;sprefix=nuk%2Bsports%2Bcup%2B450%2Caps%2C105&amp;sr=8-1&amp;th=1</t>
        </is>
      </c>
      <c r="L833" s="18" t="inlineStr">
        <is>
          <t>B09BD3RB9P</t>
        </is>
      </c>
      <c r="M833" s="19" t="n"/>
      <c r="N833" s="19" t="n"/>
      <c r="O833" s="19" t="n">
        <v>16.99</v>
      </c>
      <c r="P833" s="19">
        <f>O833/1.19</f>
        <v/>
      </c>
      <c r="Q833" s="19">
        <f>O833-P833</f>
        <v/>
      </c>
      <c r="R833" s="19">
        <f>O833*0.15</f>
        <v/>
      </c>
      <c r="S833" s="19" t="n">
        <v>7.16</v>
      </c>
      <c r="T833" s="19">
        <f>S833*0.2</f>
        <v/>
      </c>
      <c r="U833" s="19" t="n">
        <v>0.400000000000002</v>
      </c>
      <c r="V833" s="19" t="n">
        <v>3.3</v>
      </c>
      <c r="W833" s="19">
        <f>V833*0.2</f>
        <v/>
      </c>
      <c r="X833" s="21">
        <f>O833-Q833-R833-S833-U833-V833+T833+W833</f>
        <v/>
      </c>
      <c r="Y833" s="18" t="n"/>
      <c r="Z833" s="19">
        <f>O833+1.5</f>
        <v/>
      </c>
      <c r="AA833" s="19" t="n"/>
      <c r="AB833" s="19" t="n"/>
      <c r="AC833" s="18" t="n"/>
      <c r="AD833" s="18" t="n"/>
      <c r="AE833" s="13" t="inlineStr">
        <is>
          <t>NOT_UPLOADED</t>
        </is>
      </c>
    </row>
    <row r="834" ht="16" customHeight="1">
      <c r="A834" s="12" t="n">
        <v>4008600434634</v>
      </c>
      <c r="B834" s="12" t="n">
        <v>4008600434634</v>
      </c>
      <c r="C834" s="13" t="n"/>
      <c r="D834" s="14" t="inlineStr">
        <is>
          <t>FR</t>
        </is>
      </c>
      <c r="E834" s="14" t="inlineStr">
        <is>
          <t>BEB-4008600434634</t>
        </is>
      </c>
      <c r="F834" s="12" t="n">
        <v>10225323</v>
      </c>
      <c r="G834" s="14" t="inlineStr">
        <is>
          <t>BEBOLINO</t>
        </is>
      </c>
      <c r="H834" s="14" t="inlineStr">
        <is>
          <t>NUK</t>
        </is>
      </c>
      <c r="I834" s="14" t="inlineStr">
        <is>
          <t>NUK Mini-Me Sip für Kleinkinder | ab 9 Monate | 300 ml | Kinderwasserflasche | auslaufsichere stabile Trinköffnung | bruchsicher | rosa Schmetterling</t>
        </is>
      </c>
      <c r="J834" s="14" t="inlineStr">
        <is>
          <t>No</t>
        </is>
      </c>
      <c r="K834" s="14" t="inlineStr">
        <is>
          <t>https://www.amazon.de/NUK-Kinderwasserflasche-auslaufsichere-Trink%C3%B6ffnung-Schmetterling/dp/B0CNXX1B7X/ref=sr_1_1?__mk_de_DE=%C3%85M%C3%85%C5%BD%C3%95%C3%91&amp;crid=11VM2S9VCCCKV&amp;dib=eyJ2IjoiMSJ9.2PC7Q-k0WRDUHAY3LaICAA.3EBx2lIxQdu6RU4OuHgkYPitC9nAlH6Px-r-mWAFgOA&amp;dib_tag=se&amp;keywords=4008600434634&amp;qid=1758469414&amp;s=baby&amp;sprefix=4008600434634%2Cbaby%2C62&amp;sr=1-1</t>
        </is>
      </c>
      <c r="L834" s="14" t="inlineStr">
        <is>
          <t>B0CNXX1B7X</t>
        </is>
      </c>
      <c r="M834" s="15" t="n"/>
      <c r="N834" s="15" t="n"/>
      <c r="O834" s="15" t="n">
        <v>15.95</v>
      </c>
      <c r="P834" s="15">
        <f>O834/1.19</f>
        <v/>
      </c>
      <c r="Q834" s="15">
        <f>O834-P834</f>
        <v/>
      </c>
      <c r="R834" s="15">
        <f>O834*0.15</f>
        <v/>
      </c>
      <c r="S834" s="15" t="n">
        <v>6.65</v>
      </c>
      <c r="T834" s="15">
        <f>S834*0.2</f>
        <v/>
      </c>
      <c r="U834" s="15" t="n">
        <v>0.400000000000002</v>
      </c>
      <c r="V834" s="15" t="n">
        <v>3.3</v>
      </c>
      <c r="W834" s="15">
        <f>V834*0.2</f>
        <v/>
      </c>
      <c r="X834" s="21">
        <f>O834-Q834-R834-S834-U834-V834+T834+W834</f>
        <v/>
      </c>
      <c r="Y834" s="14" t="n"/>
      <c r="Z834" s="15">
        <f>O834+1.5</f>
        <v/>
      </c>
      <c r="AA834" s="15" t="n"/>
      <c r="AB834" s="15" t="n"/>
      <c r="AC834" s="14" t="n"/>
      <c r="AD834" s="14" t="n"/>
      <c r="AE834" s="13" t="inlineStr">
        <is>
          <t>NOT_UPLOADED</t>
        </is>
      </c>
    </row>
    <row r="835" ht="16" customHeight="1">
      <c r="A835" s="17" t="n">
        <v>4008600434603</v>
      </c>
      <c r="B835" s="17" t="n">
        <v>4008600434603</v>
      </c>
      <c r="C835" s="13" t="n"/>
      <c r="D835" s="18" t="inlineStr">
        <is>
          <t>FR</t>
        </is>
      </c>
      <c r="E835" s="18" t="inlineStr">
        <is>
          <t>BEB-4008600434603</t>
        </is>
      </c>
      <c r="F835" s="17" t="n">
        <v>10225326</v>
      </c>
      <c r="G835" s="18" t="inlineStr">
        <is>
          <t>BEBOLINO</t>
        </is>
      </c>
      <c r="H835" s="18" t="inlineStr">
        <is>
          <t>NUK</t>
        </is>
      </c>
      <c r="I835" s="18" t="inlineStr">
        <is>
          <t>NUK Mini-Me Flip mit Strohhalm für Kleinkinder | ab 12 Monate | 450 ml | Kinderwasserflasche | auslaufsichere stabile Trinköffnung | bruchsicher | Minze/Pünktchen</t>
        </is>
      </c>
      <c r="J835" s="18" t="inlineStr">
        <is>
          <t>No</t>
        </is>
      </c>
      <c r="K835" s="18" t="inlineStr">
        <is>
          <t>https://www.amazon.de/NUK-Kleinkinder-Kinderwasserflasche-auslaufsichere-Trink%C3%B6ffnung/dp/B0CNXWMTV5/ref=sr_1_1?__mk_de_DE=%C3%85M%C3%85%C5%BD%C3%95%C3%91&amp;crid=11HI4XB3P3DCE&amp;dib=eyJ2IjoiMSJ9.mdmpmgjyiABZtcn4_kRd7g.TCEgRssHJGM5X9L3zk-X3kWvJ95LthApFzVEC7AGvhQ&amp;dib_tag=se&amp;keywords=4008600434603&amp;qid=1758469526&amp;s=baby&amp;sprefix=4008600434603%2Cbaby%2C93&amp;sr=1-1</t>
        </is>
      </c>
      <c r="L835" s="18" t="inlineStr">
        <is>
          <t>B0CNXWMTV5</t>
        </is>
      </c>
      <c r="M835" s="19" t="n"/>
      <c r="N835" s="19" t="n"/>
      <c r="O835" s="19" t="n">
        <v>17.3</v>
      </c>
      <c r="P835" s="19">
        <f>O835/1.19</f>
        <v/>
      </c>
      <c r="Q835" s="19">
        <f>O835-P835</f>
        <v/>
      </c>
      <c r="R835" s="19">
        <f>O835*0.15</f>
        <v/>
      </c>
      <c r="S835" s="19" t="n">
        <v>7.88</v>
      </c>
      <c r="T835" s="19">
        <f>S835*0.2</f>
        <v/>
      </c>
      <c r="U835" s="19" t="n">
        <v>0.400000000000002</v>
      </c>
      <c r="V835" s="19" t="n">
        <v>3.3</v>
      </c>
      <c r="W835" s="19">
        <f>V835*0.2</f>
        <v/>
      </c>
      <c r="X835" s="21">
        <f>O835-Q835-R835-S835-U835-V835+T835+W835</f>
        <v/>
      </c>
      <c r="Y835" s="18" t="n"/>
      <c r="Z835" s="19">
        <f>O835+1.5</f>
        <v/>
      </c>
      <c r="AA835" s="19" t="n"/>
      <c r="AB835" s="19" t="n"/>
      <c r="AC835" s="18" t="n"/>
      <c r="AD835" s="18" t="n"/>
      <c r="AE835" s="13" t="inlineStr">
        <is>
          <t>NOT_UPLOADED</t>
        </is>
      </c>
    </row>
    <row r="836" ht="16" customHeight="1">
      <c r="A836" s="12" t="n">
        <v>4008600434597</v>
      </c>
      <c r="B836" s="12" t="n">
        <v>4008600434597</v>
      </c>
      <c r="C836" s="13" t="n"/>
      <c r="D836" s="14" t="inlineStr">
        <is>
          <t>FR</t>
        </is>
      </c>
      <c r="E836" s="14" t="inlineStr">
        <is>
          <t>BEB-4008600434597</t>
        </is>
      </c>
      <c r="F836" s="12" t="n">
        <v>10225327</v>
      </c>
      <c r="G836" s="14" t="inlineStr">
        <is>
          <t>BEBOLINO</t>
        </is>
      </c>
      <c r="H836" s="14" t="inlineStr">
        <is>
          <t>NUK</t>
        </is>
      </c>
      <c r="I836" s="14" t="inlineStr">
        <is>
          <t>NUK Mini-Me Flip mit Strohhalm für Kleinkinder | ab 12 Monate | 450 ml | Kinderwasserflasche | auslaufsichere stabile Trinköffnung | bruchsicher | rosa Farbkleckse</t>
        </is>
      </c>
      <c r="J836" s="14" t="inlineStr">
        <is>
          <t>No</t>
        </is>
      </c>
      <c r="K836" s="14" t="inlineStr">
        <is>
          <t>https://www.amazon.de/NUK-Kleinkinder-Kinderwasserflasche-auslaufsichere-Trink%C3%B6ffnung/dp/B0CNXVR4CR/ref=sr_1_1?__mk_de_DE=%C3%85M%C3%85%C5%BD%C3%95%C3%91&amp;crid=1NIRNWOZWH3BA&amp;dib=eyJ2IjoiMSJ9.4oKqumYRR8PGTABwF9KSnQ.WnbxT8Ubh0TmQgbHcVaT9iiyYHPCOC_BGkiwHb57Sog&amp;dib_tag=se&amp;keywords=4008600434597&amp;qid=1758469635&amp;s=baby&amp;sprefix=4008600434597%2Cbaby%2C97&amp;sr=1-1&amp;th=1</t>
        </is>
      </c>
      <c r="L836" s="14" t="inlineStr">
        <is>
          <t>B0CNXVR4CR</t>
        </is>
      </c>
      <c r="M836" s="15" t="n"/>
      <c r="N836" s="15" t="n"/>
      <c r="O836" s="15" t="n">
        <v>17.2</v>
      </c>
      <c r="P836" s="15">
        <f>O836/1.19</f>
        <v/>
      </c>
      <c r="Q836" s="15">
        <f>O836-P836</f>
        <v/>
      </c>
      <c r="R836" s="15">
        <f>O836*0.15</f>
        <v/>
      </c>
      <c r="S836" s="15" t="n">
        <v>7.88</v>
      </c>
      <c r="T836" s="15">
        <f>S836*0.2</f>
        <v/>
      </c>
      <c r="U836" s="15" t="n">
        <v>0.400000000000002</v>
      </c>
      <c r="V836" s="15" t="n">
        <v>3.3</v>
      </c>
      <c r="W836" s="15">
        <f>V836*0.2</f>
        <v/>
      </c>
      <c r="X836" s="21">
        <f>O836-Q836-R836-S836-U836-V836+T836+W836</f>
        <v/>
      </c>
      <c r="Y836" s="14" t="n"/>
      <c r="Z836" s="15">
        <f>O836+1.5</f>
        <v/>
      </c>
      <c r="AA836" s="15" t="n"/>
      <c r="AB836" s="15" t="n"/>
      <c r="AC836" s="14" t="n"/>
      <c r="AD836" s="14" t="n"/>
      <c r="AE836" s="13" t="inlineStr">
        <is>
          <t>NOT_UPLOADED</t>
        </is>
      </c>
    </row>
    <row r="837" ht="16" customHeight="1">
      <c r="A837" s="17" t="n">
        <v>4008600434627</v>
      </c>
      <c r="B837" s="17" t="n">
        <v>4008600434627</v>
      </c>
      <c r="C837" s="13" t="n"/>
      <c r="D837" s="18" t="inlineStr">
        <is>
          <t>FR</t>
        </is>
      </c>
      <c r="E837" s="18" t="inlineStr">
        <is>
          <t>BEB-4008600434627</t>
        </is>
      </c>
      <c r="F837" s="17" t="n">
        <v>10225324</v>
      </c>
      <c r="G837" s="18" t="inlineStr">
        <is>
          <t>BEBOLINO</t>
        </is>
      </c>
      <c r="H837" s="18" t="inlineStr">
        <is>
          <t>NUK</t>
        </is>
      </c>
      <c r="I837" s="18" t="inlineStr">
        <is>
          <t>NUK Mini-Me Flip mit Strohhalm für Kleinkinder | ab 12 Monate | 450 ml | Kinderwasserflasche | auslaufsichere stabile Trinköffnung | bruchsicher | Minze/Pünktchen</t>
        </is>
      </c>
      <c r="J837" s="18" t="inlineStr">
        <is>
          <t>No</t>
        </is>
      </c>
      <c r="K837" s="18" t="inlineStr">
        <is>
          <t>https://www.amazon.de/NUK-Kleinkinder-Edelstahl-Wasserflasche-auslaufsichere-Trink%C3%B6ffnung/dp/B0CNXWBJJ2/ref=sr_1_1?__mk_de_DE=%C3%85M%C3%85%C5%BD%C3%95%C3%91&amp;crid=8SVUDWK1W8PS&amp;dib=eyJ2IjoiMSJ9.BfvHXuKLqpd1MnlSen-cCw.hh6GDq8AyQF0IQKz_pCS9fnehUprmn208IZaFlDotr4&amp;dib_tag=se&amp;keywords=4008600434627&amp;qid=1758469779&amp;s=baby&amp;sprefix=4008600434627%2Cbaby%2C71&amp;sr=1-1&amp;th=1</t>
        </is>
      </c>
      <c r="L837" s="18" t="inlineStr">
        <is>
          <t>B0CNXWBJJ2</t>
        </is>
      </c>
      <c r="M837" s="19" t="n"/>
      <c r="N837" s="19" t="n"/>
      <c r="O837" s="19" t="n">
        <v>23.99</v>
      </c>
      <c r="P837" s="19">
        <f>O837/1.19</f>
        <v/>
      </c>
      <c r="Q837" s="19">
        <f>O837-P837</f>
        <v/>
      </c>
      <c r="R837" s="19">
        <f>O837*0.15</f>
        <v/>
      </c>
      <c r="S837" s="19" t="n">
        <v>12.8</v>
      </c>
      <c r="T837" s="19">
        <f>S837*0.2</f>
        <v/>
      </c>
      <c r="U837" s="19" t="n">
        <v>0.400000000000002</v>
      </c>
      <c r="V837" s="19" t="n">
        <v>3.3</v>
      </c>
      <c r="W837" s="19">
        <f>V837*0.2</f>
        <v/>
      </c>
      <c r="X837" s="21">
        <f>O837-Q837-R837-S837-U837-V837+T837+W837</f>
        <v/>
      </c>
      <c r="Y837" s="18" t="n"/>
      <c r="Z837" s="19">
        <f>O837+1.5</f>
        <v/>
      </c>
      <c r="AA837" s="19" t="n"/>
      <c r="AB837" s="19" t="n"/>
      <c r="AC837" s="18" t="n"/>
      <c r="AD837" s="18" t="n"/>
      <c r="AE837" s="13" t="inlineStr">
        <is>
          <t>NOT_UPLOADED</t>
        </is>
      </c>
    </row>
    <row r="838" ht="16" customHeight="1">
      <c r="A838" s="12" t="n">
        <v>4008600434610</v>
      </c>
      <c r="B838" s="12" t="n">
        <v>4008600434610</v>
      </c>
      <c r="C838" s="13" t="n"/>
      <c r="D838" s="14" t="inlineStr">
        <is>
          <t>FR</t>
        </is>
      </c>
      <c r="E838" s="14" t="inlineStr">
        <is>
          <t>BEB-4008600434610</t>
        </is>
      </c>
      <c r="F838" s="12" t="n">
        <v>10225325</v>
      </c>
      <c r="G838" s="14" t="inlineStr">
        <is>
          <t>BEBOLINO</t>
        </is>
      </c>
      <c r="H838" s="14" t="inlineStr">
        <is>
          <t>NUK</t>
        </is>
      </c>
      <c r="I838" s="14" t="inlineStr">
        <is>
          <t>NUK Mini-Me Sip für Kleinkinder | ab 9 Monate | 300 ml | Edelstahl-Wasserflasche für Kleinkinder | auslaufsichere stabile Trinköffnung | bruchsicher | lila Reh</t>
        </is>
      </c>
      <c r="J838" s="14" t="inlineStr">
        <is>
          <t>No</t>
        </is>
      </c>
      <c r="K838" s="14" t="inlineStr">
        <is>
          <t>https://www.amazon.de/NUK-Kleinkinder-Edelstahl-Wasserflasche-auslaufsichere-Trink%C3%B6ffnung/dp/B0CNXX38RD/ref=sr_1_1?dib=eyJ2IjoiMSJ9.4c6yUM2Ge5nBPIA08dDtXg.28oY9svprO-7gzq6--1NmTsmiINFwTEvBcL1_BFm55k&amp;dib_tag=se&amp;keywords=4008600434610&amp;qid=1758640645&amp;sr=8-1&amp;th=1</t>
        </is>
      </c>
      <c r="L838" s="14" t="inlineStr">
        <is>
          <t>B0CNXX38RD</t>
        </is>
      </c>
      <c r="M838" s="15" t="n"/>
      <c r="N838" s="15" t="n"/>
      <c r="O838" s="15" t="n">
        <v>23.95</v>
      </c>
      <c r="P838" s="15">
        <f>O838/1.19</f>
        <v/>
      </c>
      <c r="Q838" s="15">
        <f>O838-P838</f>
        <v/>
      </c>
      <c r="R838" s="15">
        <f>O838*0.15</f>
        <v/>
      </c>
      <c r="S838" s="15" t="n">
        <v>12.8</v>
      </c>
      <c r="T838" s="15">
        <f>S838*0.2</f>
        <v/>
      </c>
      <c r="U838" s="15" t="n">
        <v>0.400000000000002</v>
      </c>
      <c r="V838" s="15" t="n">
        <v>3.3</v>
      </c>
      <c r="W838" s="15">
        <f>V838*0.2</f>
        <v/>
      </c>
      <c r="X838" s="21">
        <f>O838-Q838-R838-S838-U838-V838+T838+W838</f>
        <v/>
      </c>
      <c r="Y838" s="14" t="n"/>
      <c r="Z838" s="15">
        <f>O838+1.5</f>
        <v/>
      </c>
      <c r="AA838" s="15" t="n"/>
      <c r="AB838" s="15" t="n"/>
      <c r="AC838" s="14" t="n"/>
      <c r="AD838" s="14" t="n"/>
      <c r="AE838" s="13" t="inlineStr">
        <is>
          <t>NOT_UPLOADED</t>
        </is>
      </c>
    </row>
    <row r="839" ht="16" customHeight="1">
      <c r="A839" s="17" t="n">
        <v>4008600434580</v>
      </c>
      <c r="B839" s="17" t="n">
        <v>4008600434580</v>
      </c>
      <c r="C839" s="13" t="n"/>
      <c r="D839" s="18" t="inlineStr">
        <is>
          <t>FR</t>
        </is>
      </c>
      <c r="E839" s="18" t="inlineStr">
        <is>
          <t>BEB-4008600434580</t>
        </is>
      </c>
      <c r="F839" s="17" t="n">
        <v>10225328</v>
      </c>
      <c r="G839" s="18" t="inlineStr">
        <is>
          <t>BEBOLINO</t>
        </is>
      </c>
      <c r="H839" s="18" t="inlineStr">
        <is>
          <t>NUK</t>
        </is>
      </c>
      <c r="I839" s="18" t="inlineStr">
        <is>
          <t>NUK Mini-Me Flip mit Strohhalm für Kleinkinder | ab 12 Monate | 500 ml | Edelstahl-Wasserflasche für Kinder | auslaufsichere stabile Trinköffnung | bruchsicher | blauer Globus</t>
        </is>
      </c>
      <c r="J839" s="18" t="inlineStr">
        <is>
          <t>No</t>
        </is>
      </c>
      <c r="K839" s="18" t="inlineStr">
        <is>
          <t>https://www.amazon.de/NUK-Kleinkinder-Edelstahl-Wasserflasche-auslaufsichere-Trink%C3%B6ffnung/dp/B0CNXWBM78/ref=sr_1_1?dib=eyJ2IjoiMSJ9.4c6yUM2Ge5nBPIA08dDtXg.28oY9svprO-7gzq6--1NmTsmiINFwTEvBcL1_BFm55k&amp;dib_tag=se&amp;keywords=4008600434610&amp;qid=1758640645&amp;sr=8-1&amp;th=1</t>
        </is>
      </c>
      <c r="L839" s="18" t="inlineStr">
        <is>
          <t>B0CNXWBM78</t>
        </is>
      </c>
      <c r="M839" s="19" t="n"/>
      <c r="N839" s="19" t="n"/>
      <c r="O839" s="19" t="n">
        <v>26.99</v>
      </c>
      <c r="P839" s="19">
        <f>O839/1.19</f>
        <v/>
      </c>
      <c r="Q839" s="19">
        <f>O839-P839</f>
        <v/>
      </c>
      <c r="R839" s="19">
        <f>O839*0.15</f>
        <v/>
      </c>
      <c r="S839" s="19" t="n">
        <v>15.34</v>
      </c>
      <c r="T839" s="19">
        <f>S839*0.2</f>
        <v/>
      </c>
      <c r="U839" s="19" t="n">
        <v>0.400000000000002</v>
      </c>
      <c r="V839" s="19" t="n">
        <v>3.3</v>
      </c>
      <c r="W839" s="19">
        <f>V839*0.2</f>
        <v/>
      </c>
      <c r="X839" s="21">
        <f>O839-Q839-R839-S839-U839-V839+T839+W839</f>
        <v/>
      </c>
      <c r="Y839" s="18" t="n"/>
      <c r="Z839" s="19">
        <f>O839+1.5</f>
        <v/>
      </c>
      <c r="AA839" s="19" t="n"/>
      <c r="AB839" s="19" t="n"/>
      <c r="AC839" s="18" t="n"/>
      <c r="AD839" s="18" t="n"/>
      <c r="AE839" s="13" t="inlineStr">
        <is>
          <t>NOT_UPLOADED</t>
        </is>
      </c>
    </row>
    <row r="840" ht="16" customHeight="1">
      <c r="A840" s="12" t="n"/>
      <c r="B840" s="12" t="n">
        <v>4008600434573</v>
      </c>
      <c r="C840" s="13" t="n"/>
      <c r="D840" s="14" t="inlineStr">
        <is>
          <t>Approval required</t>
        </is>
      </c>
      <c r="E840" s="14" t="n"/>
      <c r="F840" s="12" t="n">
        <v>10225329</v>
      </c>
      <c r="G840" s="14" t="inlineStr">
        <is>
          <t>BEBOLINO</t>
        </is>
      </c>
      <c r="H840" s="14" t="inlineStr">
        <is>
          <t>NUK</t>
        </is>
      </c>
      <c r="I840" s="14" t="inlineStr">
        <is>
          <t>NUK Mini-Me Flip mit Strohhalm für Kleinkinder | ab 12 Monate | 500 ml | Edelstahl-Wasserflasche für Kinder | auslaufsichere stabile Trinköffnung | bruchsicher | lila Blume</t>
        </is>
      </c>
      <c r="J840" s="14" t="inlineStr">
        <is>
          <t>No</t>
        </is>
      </c>
      <c r="K840" s="14" t="inlineStr">
        <is>
          <t>https://www.amazon.de/NUK-Kleinkinder-Edelstahl-Wasserflasche-auslaufsichere-Trink%C3%B6ffnung/dp/B0CNXVX581/ref=sr_1_1?__mk_de_DE=%C3%85M%C3%85%C5%BD%C3%95%C3%91&amp;crid=2TGBO9L6TPIUG&amp;dib=eyJ2IjoiMSJ9.LySwgFXU3Wfz68fq5Pa27A.OOHkElDDGODdbGLciwxvKQCd53H8cpFQkXI1OKIQgdk&amp;dib_tag=se&amp;keywords=4008600434573&amp;qid=1758641187&amp;sprefix=4008600434573%2Caps%2C131&amp;sr=8-1</t>
        </is>
      </c>
      <c r="L840" s="14" t="inlineStr">
        <is>
          <t>B0CNXVX581</t>
        </is>
      </c>
      <c r="M840" s="15" t="n"/>
      <c r="N840" s="15" t="n"/>
      <c r="O840" s="15" t="n">
        <v>26.9</v>
      </c>
      <c r="P840" s="15">
        <f>O840/1.19</f>
        <v/>
      </c>
      <c r="Q840" s="15">
        <f>O840-P840</f>
        <v/>
      </c>
      <c r="R840" s="15">
        <f>O840*0.15</f>
        <v/>
      </c>
      <c r="S840" s="15" t="n">
        <v>15.34</v>
      </c>
      <c r="T840" s="15">
        <f>S840*0.2</f>
        <v/>
      </c>
      <c r="U840" s="15" t="n">
        <v>0.400000000000002</v>
      </c>
      <c r="V840" s="15" t="n">
        <v>3.3</v>
      </c>
      <c r="W840" s="15">
        <f>V840*0.2</f>
        <v/>
      </c>
      <c r="X840" s="21">
        <f>O840-Q840-R840-S840-U840-V840+T840+W840</f>
        <v/>
      </c>
      <c r="Y840" s="14" t="n"/>
      <c r="Z840" s="15">
        <f>O840+1.5</f>
        <v/>
      </c>
      <c r="AA840" s="15" t="n"/>
      <c r="AB840" s="15" t="n"/>
      <c r="AC840" s="14" t="n"/>
      <c r="AD840" s="14" t="n"/>
      <c r="AE840" s="13" t="inlineStr">
        <is>
          <t>NOT_UPLOADED</t>
        </is>
      </c>
    </row>
    <row r="841" ht="16" customHeight="1">
      <c r="A841" s="17" t="n"/>
      <c r="B841" s="17" t="n">
        <v>4008600437055</v>
      </c>
      <c r="C841" s="13" t="n"/>
      <c r="D841" s="18" t="inlineStr">
        <is>
          <t>Approval required</t>
        </is>
      </c>
      <c r="E841" s="18" t="n"/>
      <c r="F841" s="17" t="n">
        <v>10225336</v>
      </c>
      <c r="G841" s="18" t="inlineStr">
        <is>
          <t>BEBOLINO</t>
        </is>
      </c>
      <c r="H841" s="18" t="inlineStr">
        <is>
          <t>NUK</t>
        </is>
      </c>
      <c r="I841" s="18" t="inlineStr">
        <is>
          <t>NUK Mini-Me Cup Set für Kleinkinder | Sip &amp; Flip-Aufsätze | 9-12+ Monate | 300 ml &amp; 500 ml | Trinkflaschen für Kinder | Auslaufsichere, beißfeste Tülle &amp; Trinkhalm | Bruchsicher | Mint Dots &amp; Bee</t>
        </is>
      </c>
      <c r="J841" s="18" t="inlineStr">
        <is>
          <t>No</t>
        </is>
      </c>
      <c r="K841" s="18" t="inlineStr">
        <is>
          <t>https://www.amazon.de/NUK-Kleinkinder-Flip-Aufs%C3%A4tze-Trinkflaschen-Auslaufsichere/dp/B0D87GB42T/ref=sr_1_1?__mk_de_DE=%C3%85M%C3%85%C5%BD%C3%95%C3%91&amp;crid=R9VS2FS3FEOB&amp;dib=eyJ2IjoiMSJ9.TvsyykL4CT1N0C7yi6vmuQ.kw1yzm4bOZJw063n3VaxXqLHiMKyqGI2h6kY3xYzIAc&amp;dib_tag=se&amp;keywords=4008600437055&amp;qid=1758641385&amp;sprefix=4008600437055%2Caps%2C128&amp;sr=8-1</t>
        </is>
      </c>
      <c r="L841" s="18" t="inlineStr">
        <is>
          <t>B0D87GB42T</t>
        </is>
      </c>
      <c r="M841" s="19" t="n"/>
      <c r="N841" s="19" t="n"/>
      <c r="O841" s="19" t="n">
        <v>23.95</v>
      </c>
      <c r="P841" s="19">
        <f>O841/1.19</f>
        <v/>
      </c>
      <c r="Q841" s="19">
        <f>O841-P841</f>
        <v/>
      </c>
      <c r="R841" s="19">
        <f>O841*0.15</f>
        <v/>
      </c>
      <c r="S841" s="19" t="n">
        <v>12.8</v>
      </c>
      <c r="T841" s="19">
        <f>S841*0.2</f>
        <v/>
      </c>
      <c r="U841" s="19" t="n">
        <v>0.400000000000002</v>
      </c>
      <c r="V841" s="19" t="n">
        <v>3.3</v>
      </c>
      <c r="W841" s="19">
        <f>V841*0.2</f>
        <v/>
      </c>
      <c r="X841" s="21">
        <f>O841-Q841-R841-S841-U841-V841+T841+W841</f>
        <v/>
      </c>
      <c r="Y841" s="18" t="n"/>
      <c r="Z841" s="19">
        <f>O841+1.5</f>
        <v/>
      </c>
      <c r="AA841" s="19" t="n"/>
      <c r="AB841" s="19" t="n"/>
      <c r="AC841" s="18" t="n"/>
      <c r="AD841" s="18" t="n"/>
      <c r="AE841" s="13" t="inlineStr">
        <is>
          <t>NOT_UPLOADED</t>
        </is>
      </c>
    </row>
    <row r="842" ht="16" customHeight="1">
      <c r="A842" s="12" t="n"/>
      <c r="B842" s="12" t="n">
        <v>4008600380030</v>
      </c>
      <c r="C842" s="13" t="n"/>
      <c r="D842" s="14" t="inlineStr">
        <is>
          <t>Approval required</t>
        </is>
      </c>
      <c r="E842" s="14" t="n"/>
      <c r="F842" s="12" t="n">
        <v>10736656</v>
      </c>
      <c r="G842" s="14" t="inlineStr">
        <is>
          <t>BEBOLINO</t>
        </is>
      </c>
      <c r="H842" s="14" t="inlineStr">
        <is>
          <t>NUK</t>
        </is>
      </c>
      <c r="I842" s="14" t="inlineStr">
        <is>
          <t>Nuk Signature Silikon Schnuller, 6-18 Monate</t>
        </is>
      </c>
      <c r="J842" s="14" t="inlineStr">
        <is>
          <t>No</t>
        </is>
      </c>
      <c r="K842" s="14" t="inlineStr">
        <is>
          <t>https://www.amazon.de/Signature-Silikon-Schnuller-6-18-Monate/dp/B09LTTR4YK/ref=sr_1_1?__mk_de_DE=%C3%85M%C3%85%C5%BD%C3%95%C3%91&amp;crid=3MVEJ490NT9O&amp;dib=eyJ2IjoiMSJ9.H7n9QLOQsrpanW29CsGdKA.Nloki0m6vUyCvDzNMaVQXVNPQLgB_8RENOUyFeCTlj8&amp;dib_tag=se&amp;keywords=4008600380030&amp;qid=1758642204&amp;sprefix=4008600380030%2Caps%2C127&amp;sr=8-1</t>
        </is>
      </c>
      <c r="L842" s="14" t="inlineStr">
        <is>
          <t>B09LTTR4YK</t>
        </is>
      </c>
      <c r="M842" s="15" t="n"/>
      <c r="N842" s="15" t="n"/>
      <c r="O842" s="15" t="n">
        <v>13.4</v>
      </c>
      <c r="P842" s="15">
        <f>O842/1.19</f>
        <v/>
      </c>
      <c r="Q842" s="15">
        <f>O842-P842</f>
        <v/>
      </c>
      <c r="R842" s="15">
        <f>O842*0.15</f>
        <v/>
      </c>
      <c r="S842" s="15" t="n">
        <v>3.58</v>
      </c>
      <c r="T842" s="15">
        <f>S842*0.2</f>
        <v/>
      </c>
      <c r="U842" s="15" t="n">
        <v>0.400000000000002</v>
      </c>
      <c r="V842" s="15" t="n">
        <v>2.2</v>
      </c>
      <c r="W842" s="15">
        <f>V842*0.2</f>
        <v/>
      </c>
      <c r="X842" s="21">
        <f>O842-Q842-R842-S842-U842-V842+T842+W842</f>
        <v/>
      </c>
      <c r="Y842" s="14" t="n"/>
      <c r="Z842" s="15">
        <f>O842+1.5</f>
        <v/>
      </c>
      <c r="AA842" s="15" t="n"/>
      <c r="AB842" s="15" t="n"/>
      <c r="AC842" s="14" t="n"/>
      <c r="AD842" s="14" t="n"/>
      <c r="AE842" s="13" t="inlineStr">
        <is>
          <t>NOT_UPLOADED</t>
        </is>
      </c>
    </row>
    <row r="843" ht="16" customHeight="1">
      <c r="A843" s="17" t="n">
        <v>4008600378709</v>
      </c>
      <c r="B843" s="17" t="n">
        <v>4008600380030</v>
      </c>
      <c r="C843" s="13" t="n"/>
      <c r="D843" s="18" t="n"/>
      <c r="E843" s="18" t="inlineStr">
        <is>
          <t>BEB-4008600378709</t>
        </is>
      </c>
      <c r="F843" s="17" t="n">
        <v>10736656</v>
      </c>
      <c r="G843" s="18" t="inlineStr">
        <is>
          <t>BEBOLINO</t>
        </is>
      </c>
      <c r="H843" s="18" t="inlineStr">
        <is>
          <t>NUK</t>
        </is>
      </c>
      <c r="I843" s="18" t="inlineStr">
        <is>
          <t>NUK Signature Schnuller Größe 2, 2 Stück</t>
        </is>
      </c>
      <c r="J843" s="18" t="inlineStr">
        <is>
          <t>No</t>
        </is>
      </c>
      <c r="K843" s="18" t="inlineStr">
        <is>
          <t>https://www.amazon.de/NUK-Signature-Schnuller-Gr%C3%B6%C3%9Fe-St%C3%BCck/dp/B0C49L31KG/ref=sr_1_18?__mk_de_DE=%C3%85M%C3%85%C5%BD%C3%95%C3%91&amp;crid=TZF0QVO6G3O6&amp;dib=eyJ2IjoiMSJ9.1bbULBCqK6mt-D92z1OT_ReDb4odhdOqVKGBIMsoEupxU-anBN8flGJfMcTSaLtR9tirYQvq9PWg1JuBTFi7uPfKx7Br1HAqATJqiSML3s1AsaEC5jIFqSZEmeKo1wV0mlG-WfiyfCZuTc3godEF6BEfmbwseWhQgD484d6cXJ4B7566l4sYllAaqa-4y7jNsU2YHUBU-BQOR1HkisyWQF--SbdRWGsuEx9GHR-JkxkYrn77GchhQrx8lZg96UrJJk6k_Ffi1l_nJ_hpb2p8VE4_mFDrdhpHERY8VU_cgpU.BPjEeVFrmw4wjTWsSlZpBMLbkPrefw5OfNXp1yF1kSw&amp;dib_tag=se&amp;keywords=Nuk+Signature+Silikon+Schnuller&amp;qid=1758648003&amp;s=baby&amp;sprefix=nuk+signature+silikon+schnuller%2Cbaby%2C141&amp;sr=1-18</t>
        </is>
      </c>
      <c r="L843" s="18" t="inlineStr">
        <is>
          <t>B0C49L31KG</t>
        </is>
      </c>
      <c r="M843" s="19" t="n"/>
      <c r="N843" s="19" t="n"/>
      <c r="O843" s="19" t="n">
        <v>11.17</v>
      </c>
      <c r="P843" s="19">
        <f>O843/1.19</f>
        <v/>
      </c>
      <c r="Q843" s="19">
        <f>O843-P843</f>
        <v/>
      </c>
      <c r="R843" s="19">
        <f>O843*0.15</f>
        <v/>
      </c>
      <c r="S843" s="19" t="n">
        <v>3.58</v>
      </c>
      <c r="T843" s="19">
        <f>S843*0.2</f>
        <v/>
      </c>
      <c r="U843" s="19" t="n">
        <v>0.400000000000002</v>
      </c>
      <c r="V843" s="19" t="n">
        <v>2.2</v>
      </c>
      <c r="W843" s="19">
        <f>V843*0.2</f>
        <v/>
      </c>
      <c r="X843" s="21">
        <f>O843-Q843-R843-S843-U843-V843+T843+W843</f>
        <v/>
      </c>
      <c r="Y843" s="18" t="n"/>
      <c r="Z843" s="19">
        <f>O843+1.5</f>
        <v/>
      </c>
      <c r="AA843" s="19" t="n"/>
      <c r="AB843" s="19" t="n"/>
      <c r="AC843" s="18" t="n"/>
      <c r="AD843" s="18" t="n"/>
      <c r="AE843" s="13" t="inlineStr">
        <is>
          <t>NOT_UPLOADED</t>
        </is>
      </c>
    </row>
    <row r="844" ht="16" customHeight="1">
      <c r="A844" s="12" t="n"/>
      <c r="B844" s="12" t="n">
        <v>4008600427131</v>
      </c>
      <c r="C844" s="13" t="n"/>
      <c r="D844" s="14" t="inlineStr">
        <is>
          <t>Approval required</t>
        </is>
      </c>
      <c r="E844" s="14" t="n"/>
      <c r="F844" s="12" t="n">
        <v>10176324</v>
      </c>
      <c r="G844" s="14" t="inlineStr">
        <is>
          <t>BEBOLINO</t>
        </is>
      </c>
      <c r="H844" s="14" t="inlineStr">
        <is>
          <t>NUK</t>
        </is>
      </c>
      <c r="I844" s="14" t="inlineStr">
        <is>
          <t>NUK Signature Night Babyschnuller | 6-18 Monate | Beruhigt 95 % der Babys | BPA-freie Silikonschnuller in Herzform | Leuchtet im Dunkeln | Mit Etui | Rote Herzen | 2 Stück</t>
        </is>
      </c>
      <c r="J844" s="14" t="inlineStr">
        <is>
          <t>No</t>
        </is>
      </c>
      <c r="K844" s="14" t="inlineStr">
        <is>
          <t>https://www.amazon.de/NUK-Signature-Schnuller-Leuchteffekt-BPA-freier/dp/B0C4Q4RNH9/ref=sr_1_1?__mk_de_DE=%C3%85M%C3%85%C5%BD%C3%95%C3%91&amp;crid=1P3G9ODU296HN&amp;dib=eyJ2IjoiMSJ9.JoOdsaANpuMqjdJaldUCkw.WmS0vBgf12gDlT3EVBVhNN6nJwWZSgFz5UhXM4BM3T4&amp;dib_tag=se&amp;keywords=4008600427131&amp;qid=1758648649&amp;s=baby&amp;sprefix=4008600427131%2Cbaby%2C189&amp;sr=1-1&amp;th=1</t>
        </is>
      </c>
      <c r="L844" s="14" t="inlineStr">
        <is>
          <t>B0C4Q4RNH9</t>
        </is>
      </c>
      <c r="M844" s="15" t="n"/>
      <c r="N844" s="15" t="n"/>
      <c r="O844" s="15" t="n">
        <v>9.970000000000001</v>
      </c>
      <c r="P844" s="15">
        <f>O844/1.19</f>
        <v/>
      </c>
      <c r="Q844" s="15">
        <f>O844-P844</f>
        <v/>
      </c>
      <c r="R844" s="15">
        <f>O844*0.15</f>
        <v/>
      </c>
      <c r="S844" s="15" t="n">
        <v>4.1</v>
      </c>
      <c r="T844" s="15">
        <f>S844*0.2</f>
        <v/>
      </c>
      <c r="U844" s="15" t="n">
        <v>0.400000000000002</v>
      </c>
      <c r="V844" s="15" t="n">
        <v>2.2</v>
      </c>
      <c r="W844" s="15">
        <f>V844*0.2</f>
        <v/>
      </c>
      <c r="X844" s="16">
        <f>O844-Q844-R844-S844-U844-V844+T844+W844</f>
        <v/>
      </c>
      <c r="Y844" s="14" t="n"/>
      <c r="Z844" s="15">
        <f>O844+1.5</f>
        <v/>
      </c>
      <c r="AA844" s="15" t="n"/>
      <c r="AB844" s="15" t="n"/>
      <c r="AC844" s="14" t="n"/>
      <c r="AD844" s="14" t="n"/>
      <c r="AE844" s="13" t="inlineStr">
        <is>
          <t>NOT_UPLOADED</t>
        </is>
      </c>
    </row>
    <row r="845" ht="16" customHeight="1">
      <c r="A845" s="17" t="n"/>
      <c r="B845" s="17" t="n">
        <v>4008600427148</v>
      </c>
      <c r="C845" s="13" t="n"/>
      <c r="D845" s="18" t="inlineStr">
        <is>
          <t>Approval required</t>
        </is>
      </c>
      <c r="E845" s="18" t="n"/>
      <c r="F845" s="17" t="n">
        <v>10176323</v>
      </c>
      <c r="G845" s="18" t="inlineStr">
        <is>
          <t>BEBOLINO</t>
        </is>
      </c>
      <c r="H845" s="18" t="inlineStr">
        <is>
          <t>NUK</t>
        </is>
      </c>
      <c r="I845" s="18" t="inlineStr">
        <is>
          <t>NUK Signature Night Babyschnuller | 6-18 Monate | Beruhigt 95 % der Babys | BPA-freie Silikonschnuller in Herzform | Leuchtet im Dunkeln | Mit Etui | Blaue Sterne | 2 Stück</t>
        </is>
      </c>
      <c r="J845" s="18" t="inlineStr">
        <is>
          <t>No</t>
        </is>
      </c>
      <c r="K845" s="18" t="inlineStr">
        <is>
          <t>https://www.amazon.de/NUK-Signature-Schnuller-Leuchteffekt-BPA-freier/dp/B0C4Q4Q78Q/ref=sr_1_1?__mk_de_DE=%C3%85M%C3%85%C5%BD%C3%95%C3%91&amp;crid=1IBZ3C6N11EI8&amp;dib=eyJ2IjoiMSJ9.1CHU6iy-KJ0w6OEcyzrS9A.UPJfr0TY-w0agGmPd-n4b5yOZNYJ8ZAkPJAlDOP502I&amp;dib_tag=se&amp;keywords=4008600427148&amp;qid=1758649307&amp;s=baby&amp;sprefix=4008600427148%2Cbaby%2C125&amp;sr=1-1&amp;th=1</t>
        </is>
      </c>
      <c r="L845" s="18" t="inlineStr">
        <is>
          <t>B0C4Q4Q78Q</t>
        </is>
      </c>
      <c r="M845" s="19" t="n"/>
      <c r="N845" s="19" t="n"/>
      <c r="O845" s="19" t="n">
        <v>9.970000000000001</v>
      </c>
      <c r="P845" s="19">
        <f>O845/1.19</f>
        <v/>
      </c>
      <c r="Q845" s="19">
        <f>O845-P845</f>
        <v/>
      </c>
      <c r="R845" s="19">
        <f>O845*0.15</f>
        <v/>
      </c>
      <c r="S845" s="19" t="n">
        <v>4.1</v>
      </c>
      <c r="T845" s="19">
        <f>S845*0.2</f>
        <v/>
      </c>
      <c r="U845" s="19" t="n">
        <v>0.400000000000002</v>
      </c>
      <c r="V845" s="19" t="n">
        <v>2.2</v>
      </c>
      <c r="W845" s="19">
        <f>V845*0.2</f>
        <v/>
      </c>
      <c r="X845" s="16">
        <f>O845-Q845-R845-S845-U845-V845+T845+W845</f>
        <v/>
      </c>
      <c r="Y845" s="18" t="n"/>
      <c r="Z845" s="19">
        <f>O845+1.5</f>
        <v/>
      </c>
      <c r="AA845" s="19" t="n"/>
      <c r="AB845" s="19" t="n"/>
      <c r="AC845" s="18" t="n"/>
      <c r="AD845" s="18" t="n"/>
      <c r="AE845" s="13" t="inlineStr">
        <is>
          <t>NOT_UPLOADED</t>
        </is>
      </c>
    </row>
    <row r="846" ht="16" customHeight="1">
      <c r="A846" s="12" t="n">
        <v>4008600427094</v>
      </c>
      <c r="B846" s="12" t="n">
        <v>4008600427094</v>
      </c>
      <c r="C846" s="13" t="n"/>
      <c r="D846" s="14" t="inlineStr">
        <is>
          <t>FR</t>
        </is>
      </c>
      <c r="E846" s="14" t="inlineStr">
        <is>
          <t>BEB-4008600427094</t>
        </is>
      </c>
      <c r="F846" s="12" t="n">
        <v>10177209</v>
      </c>
      <c r="G846" s="14" t="inlineStr">
        <is>
          <t>BEBOLINO</t>
        </is>
      </c>
      <c r="H846" s="14" t="inlineStr">
        <is>
          <t>NUK</t>
        </is>
      </c>
      <c r="I846" s="14" t="inlineStr">
        <is>
          <t>NUK Signature Night Babyschnuller | 18-36 Monate | Beruhigt 95 % der Babys | BPA-freie Silikonschnuller in Herzform | Leuchtet im Dunkeln | Mit Etui | Rote Herzen | 2 Stück</t>
        </is>
      </c>
      <c r="J846" s="14" t="inlineStr">
        <is>
          <t>No</t>
        </is>
      </c>
      <c r="K846" s="14" t="inlineStr">
        <is>
          <t>https://www.amazon.de/NUK-Signature-Schnuller-Leuchteffekt-BPA-freier/dp/B0C4Q23V4K/ref=sr_1_1?__mk_de_DE=%C3%85M%C3%85%C5%BD%C3%95%C3%91&amp;crid=GYD59S93ZDM9&amp;dib=eyJ2IjoiMSJ9.BzHYoN22ejO3pQTBoC36Ug.S84JuGsCHVlupiErmeY1TPpNZF3P0Zz-UKgwaSwHpB0&amp;dib_tag=se&amp;keywords=4008600427094&amp;qid=1758649489&amp;s=baby&amp;sprefix=4008600427094%2Cbaby%2C150&amp;sr=1-1&amp;th=1</t>
        </is>
      </c>
      <c r="L846" s="14" t="inlineStr">
        <is>
          <t>B0C4Q23V4K</t>
        </is>
      </c>
      <c r="M846" s="15" t="n"/>
      <c r="N846" s="15" t="n"/>
      <c r="O846" s="15" t="n">
        <v>11.4</v>
      </c>
      <c r="P846" s="15">
        <f>O846/1.19</f>
        <v/>
      </c>
      <c r="Q846" s="15">
        <f>O846-P846</f>
        <v/>
      </c>
      <c r="R846" s="15">
        <f>O846*0.15</f>
        <v/>
      </c>
      <c r="S846" s="15" t="n">
        <v>4.1</v>
      </c>
      <c r="T846" s="15">
        <f>S846*0.2</f>
        <v/>
      </c>
      <c r="U846" s="15" t="n">
        <v>0.400000000000002</v>
      </c>
      <c r="V846" s="15" t="n">
        <v>2.2</v>
      </c>
      <c r="W846" s="15">
        <f>V846*0.2</f>
        <v/>
      </c>
      <c r="X846" s="21">
        <f>O846-Q846-R846-S846-U846-V846+T846+W846</f>
        <v/>
      </c>
      <c r="Y846" s="14" t="n"/>
      <c r="Z846" s="15">
        <f>O846+1.5</f>
        <v/>
      </c>
      <c r="AA846" s="15" t="n"/>
      <c r="AB846" s="15" t="n"/>
      <c r="AC846" s="14" t="n"/>
      <c r="AD846" s="14" t="n"/>
      <c r="AE846" s="13" t="inlineStr">
        <is>
          <t>NOT_UPLOADED</t>
        </is>
      </c>
    </row>
    <row r="847" ht="16" customHeight="1">
      <c r="A847" s="17" t="n"/>
      <c r="B847" s="17" t="n">
        <v>4008600427100</v>
      </c>
      <c r="C847" s="13" t="n"/>
      <c r="D847" s="18" t="inlineStr">
        <is>
          <t>Approval required</t>
        </is>
      </c>
      <c r="E847" s="18" t="n"/>
      <c r="F847" s="17" t="n">
        <v>10177208</v>
      </c>
      <c r="G847" s="18" t="inlineStr">
        <is>
          <t>BEBOLINO</t>
        </is>
      </c>
      <c r="H847" s="18" t="inlineStr">
        <is>
          <t>NUK</t>
        </is>
      </c>
      <c r="I847" s="18" t="inlineStr">
        <is>
          <t>NUK Signature Night Babyschnuller | 18-36 Monate | Beruhigt 95 % der Babys | BPA-freie Silikonschnuller in Herzform | Leuchtet im Dunkeln | Mit Etui | Blaue Sterne | 2 Stück</t>
        </is>
      </c>
      <c r="J847" s="18" t="inlineStr">
        <is>
          <t>No</t>
        </is>
      </c>
      <c r="K847" s="18" t="inlineStr">
        <is>
          <t>https://www.amazon.de/NUK-Signature-Babyschnuller-BPA-freie-Silikonschnuller/dp/B0C4Q4R14C/ref=sr_1_1?__mk_de_DE=%C3%85M%C3%85%C5%BD%C3%95%C3%91&amp;crid=3NWXE71VF3G6K&amp;dib=eyJ2IjoiMSJ9.oUlm2AphHZxhvt_vH3ETyA.cK77x_KJe_JdoMYEtoyl9rQEBoHS8MuWsC1XPcbQaBY&amp;dib_tag=se&amp;keywords=4008600427100&amp;qid=1758649656&amp;s=baby&amp;sprefix=4008600427100%2Cbaby%2C99&amp;sr=1-1&amp;th=1</t>
        </is>
      </c>
      <c r="L847" s="18" t="inlineStr">
        <is>
          <t>B0C4Q4R14C</t>
        </is>
      </c>
      <c r="M847" s="19" t="n"/>
      <c r="N847" s="19" t="n"/>
      <c r="O847" s="19" t="n">
        <v>9.970000000000001</v>
      </c>
      <c r="P847" s="19">
        <f>O847/1.19</f>
        <v/>
      </c>
      <c r="Q847" s="19">
        <f>O847-P847</f>
        <v/>
      </c>
      <c r="R847" s="19">
        <f>O847*0.15</f>
        <v/>
      </c>
      <c r="S847" s="19" t="n">
        <v>4.1</v>
      </c>
      <c r="T847" s="19">
        <f>S847*0.2</f>
        <v/>
      </c>
      <c r="U847" s="19" t="n">
        <v>0.400000000000002</v>
      </c>
      <c r="V847" s="19" t="n">
        <v>2.2</v>
      </c>
      <c r="W847" s="19">
        <f>V847*0.2</f>
        <v/>
      </c>
      <c r="X847" s="16">
        <f>O847-Q847-R847-S847-U847-V847+T847+W847</f>
        <v/>
      </c>
      <c r="Y847" s="18" t="n"/>
      <c r="Z847" s="19">
        <f>O847+1.5</f>
        <v/>
      </c>
      <c r="AA847" s="19" t="n"/>
      <c r="AB847" s="19" t="n"/>
      <c r="AC847" s="18" t="n"/>
      <c r="AD847" s="18" t="n"/>
      <c r="AE847" s="13" t="inlineStr">
        <is>
          <t>NOT_UPLOADED</t>
        </is>
      </c>
    </row>
    <row r="848" ht="16" customHeight="1">
      <c r="A848" s="12" t="n">
        <v>4008600401896</v>
      </c>
      <c r="B848" s="12" t="n">
        <v>4008600401896</v>
      </c>
      <c r="C848" s="13" t="n"/>
      <c r="D848" s="14" t="n"/>
      <c r="E848" s="14" t="inlineStr">
        <is>
          <t>BEB-4008600401896</t>
        </is>
      </c>
      <c r="F848" s="12" t="n">
        <v>10175284</v>
      </c>
      <c r="G848" s="14" t="inlineStr">
        <is>
          <t>BEBOLINO</t>
        </is>
      </c>
      <c r="H848" s="14" t="inlineStr">
        <is>
          <t>NUK</t>
        </is>
      </c>
      <c r="I848" s="14" t="inlineStr">
        <is>
          <t>NUK Star Babyschnuller | 0–6 Monate | BPA-freie Silikonschnuller | pink | 2-teilig</t>
        </is>
      </c>
      <c r="J848" s="14" t="inlineStr">
        <is>
          <t>No</t>
        </is>
      </c>
      <c r="K848" s="14" t="inlineStr">
        <is>
          <t>https://www.amazon.de/NUK-Babyschnuller-0-6-Monate-BPA-freie-Silikonschnuller/dp/B09PGKLBV7/ref=sr_1_1?__mk_de_DE=%C3%85M%C3%85%C5%BD%C3%95%C3%91&amp;crid=16DYYLSMQ4XWQ&amp;dib=eyJ2IjoiMSJ9.CBrXTJzDIs1pDnWpNm-aiQ.AQqMhHIKU6_cy_J3ISNd9Aqsgw1nkGG3vouIxCfS9_Y&amp;dib_tag=se&amp;keywords=4008600401896&amp;qid=1758649990&amp;sprefix=4008600401896%2Caps%2C110&amp;sr=8-1&amp;th=1</t>
        </is>
      </c>
      <c r="L848" s="14" t="inlineStr">
        <is>
          <t>B09PGKLBV7</t>
        </is>
      </c>
      <c r="M848" s="15" t="n"/>
      <c r="N848" s="15" t="n"/>
      <c r="O848" s="15" t="n">
        <v>9.9</v>
      </c>
      <c r="P848" s="15">
        <f>O848/1.19</f>
        <v/>
      </c>
      <c r="Q848" s="15">
        <f>O848-P848</f>
        <v/>
      </c>
      <c r="R848" s="15">
        <f>O848*0.15</f>
        <v/>
      </c>
      <c r="S848" s="15" t="n">
        <v>4.1</v>
      </c>
      <c r="T848" s="15">
        <f>S848*0.2</f>
        <v/>
      </c>
      <c r="U848" s="15" t="n">
        <v>0.400000000000002</v>
      </c>
      <c r="V848" s="15" t="n">
        <v>2.2</v>
      </c>
      <c r="W848" s="15">
        <f>V848*0.2</f>
        <v/>
      </c>
      <c r="X848" s="16">
        <f>O848-Q848-R848-S848-U848-V848+T848+W848</f>
        <v/>
      </c>
      <c r="Y848" s="14" t="n"/>
      <c r="Z848" s="15">
        <f>O848+1.5</f>
        <v/>
      </c>
      <c r="AA848" s="15" t="n"/>
      <c r="AB848" s="15" t="n"/>
      <c r="AC848" s="14" t="n"/>
      <c r="AD848" s="14" t="n"/>
      <c r="AE848" s="13" t="inlineStr">
        <is>
          <t>NOT_UPLOADED</t>
        </is>
      </c>
    </row>
    <row r="849" ht="16" customHeight="1">
      <c r="A849" s="17" t="n">
        <v>4008600401872</v>
      </c>
      <c r="B849" s="17" t="n">
        <v>4008600401872</v>
      </c>
      <c r="C849" s="13" t="n"/>
      <c r="D849" s="18" t="n"/>
      <c r="E849" s="18" t="inlineStr">
        <is>
          <t>BEB-4008600401872</t>
        </is>
      </c>
      <c r="F849" s="17" t="n">
        <v>10175285</v>
      </c>
      <c r="G849" s="18" t="inlineStr">
        <is>
          <t>BEBOLINO</t>
        </is>
      </c>
      <c r="H849" s="18" t="inlineStr">
        <is>
          <t>NUK</t>
        </is>
      </c>
      <c r="I849" s="18" t="inlineStr">
        <is>
          <t>NUK Star Babyschnuller | 0–6 Monate | BPA-freie Silikonschnuller | blau | 2-teilig</t>
        </is>
      </c>
      <c r="J849" s="18" t="inlineStr">
        <is>
          <t>No</t>
        </is>
      </c>
      <c r="K849" s="18" t="inlineStr">
        <is>
          <t>https://www.amazon.de/NUK-Babyschnuller-0-6-Monate-BPA-freie-Silikonschnuller/dp/B09PGLW99Y/ref=sr_1_1?__mk_de_DE=%C3%85M%C3%85%C5%BD%C3%95%C3%91&amp;crid=2F9Y1CSALW2LR&amp;dib=eyJ2IjoiMSJ9.05sx42YTL03HNRsydiKPg-o3z8QjpEUAn0hhscDyAHg.9LbKUCxmAYDdH3EvTIR26mGhMiKgTMN1i7z8Wo0-I2A&amp;dib_tag=se&amp;keywords=4008600401872&amp;qid=1758650142&amp;sprefix=4008600401872%2Caps%2C91&amp;sr=8-1&amp;th=1</t>
        </is>
      </c>
      <c r="L849" s="18" t="inlineStr">
        <is>
          <t>B09PGLW99Y</t>
        </is>
      </c>
      <c r="M849" s="19" t="n"/>
      <c r="N849" s="19" t="n"/>
      <c r="O849" s="19" t="n">
        <v>9.99</v>
      </c>
      <c r="P849" s="19">
        <f>O849/1.19</f>
        <v/>
      </c>
      <c r="Q849" s="19">
        <f>O849-P849</f>
        <v/>
      </c>
      <c r="R849" s="19">
        <f>O849*0.15</f>
        <v/>
      </c>
      <c r="S849" s="19" t="n">
        <v>4.1</v>
      </c>
      <c r="T849" s="19">
        <f>S849*0.2</f>
        <v/>
      </c>
      <c r="U849" s="19" t="n">
        <v>0.400000000000002</v>
      </c>
      <c r="V849" s="19" t="n">
        <v>2.2</v>
      </c>
      <c r="W849" s="19">
        <f>V849*0.2</f>
        <v/>
      </c>
      <c r="X849" s="16">
        <f>O849-Q849-R849-S849-U849-V849+T849+W849</f>
        <v/>
      </c>
      <c r="Y849" s="18" t="n"/>
      <c r="Z849" s="19">
        <f>O849+1.5</f>
        <v/>
      </c>
      <c r="AA849" s="19" t="n"/>
      <c r="AB849" s="19" t="n"/>
      <c r="AC849" s="18" t="n"/>
      <c r="AD849" s="18" t="n"/>
      <c r="AE849" s="13" t="inlineStr">
        <is>
          <t>NOT_UPLOADED</t>
        </is>
      </c>
    </row>
    <row r="850" ht="16" customHeight="1">
      <c r="A850" s="12" t="n">
        <v>4008600401919</v>
      </c>
      <c r="B850" s="12" t="n">
        <v>4008600401919</v>
      </c>
      <c r="C850" s="13" t="n"/>
      <c r="D850" s="14" t="n"/>
      <c r="E850" s="14" t="inlineStr">
        <is>
          <t>BEB-4008600401919</t>
        </is>
      </c>
      <c r="F850" s="12" t="n">
        <v>10176287</v>
      </c>
      <c r="G850" s="14" t="inlineStr">
        <is>
          <t>BEBOLINO</t>
        </is>
      </c>
      <c r="H850" s="14" t="inlineStr">
        <is>
          <t>NUK</t>
        </is>
      </c>
      <c r="I850" s="14" t="inlineStr">
        <is>
          <t>NUK Star Babyschnuller | 6–18 Monate | BPA-freie Silikonschnuller | Yellow Flowers | 2-teilig</t>
        </is>
      </c>
      <c r="J850" s="14" t="inlineStr">
        <is>
          <t>No</t>
        </is>
      </c>
      <c r="K850" s="14" t="inlineStr">
        <is>
          <t>https://www.amazon.de/NUK-Babyschnuller-6-18-Monate-BPA-freie-Silikonschnuller/dp/B09PGHZQV6/ref=sr_1_1?__mk_de_DE=%C3%85M%C3%85%C5%BD%C3%95%C3%91&amp;crid=1ZVU86O2Z0GDO&amp;dib=eyJ2IjoiMSJ9.sMi3tb0gRAiBbTpnC5Uoeg.ivDOC5hSTPqO0-diR-bG-FsCwUGQmuFdZiZKc1vIUN4&amp;dib_tag=se&amp;keywords=4008600401919&amp;qid=1758650291&amp;sprefix=4008600401919%2Caps%2C116&amp;sr=8-1&amp;th=1</t>
        </is>
      </c>
      <c r="L850" s="14" t="inlineStr">
        <is>
          <t>B09PGHZQV6</t>
        </is>
      </c>
      <c r="M850" s="15" t="n"/>
      <c r="N850" s="15" t="n"/>
      <c r="O850" s="15" t="n">
        <v>9.970000000000001</v>
      </c>
      <c r="P850" s="15">
        <f>O850/1.19</f>
        <v/>
      </c>
      <c r="Q850" s="15">
        <f>O850-P850</f>
        <v/>
      </c>
      <c r="R850" s="15">
        <f>O850*0.15</f>
        <v/>
      </c>
      <c r="S850" s="15" t="n">
        <v>4.1</v>
      </c>
      <c r="T850" s="15">
        <f>S850*0.2</f>
        <v/>
      </c>
      <c r="U850" s="15" t="n">
        <v>0.400000000000002</v>
      </c>
      <c r="V850" s="15" t="n">
        <v>2.2</v>
      </c>
      <c r="W850" s="15">
        <f>V850*0.2</f>
        <v/>
      </c>
      <c r="X850" s="16">
        <f>O850-Q850-R850-S850-U850-V850+T850+W850</f>
        <v/>
      </c>
      <c r="Y850" s="14" t="n"/>
      <c r="Z850" s="15">
        <f>O850+1.5</f>
        <v/>
      </c>
      <c r="AA850" s="15" t="n"/>
      <c r="AB850" s="15" t="n"/>
      <c r="AC850" s="14" t="n"/>
      <c r="AD850" s="14" t="n"/>
      <c r="AE850" s="13" t="inlineStr">
        <is>
          <t>NOT_UPLOADED</t>
        </is>
      </c>
    </row>
    <row r="851" ht="16" customHeight="1">
      <c r="A851" s="17" t="n">
        <v>4008600401865</v>
      </c>
      <c r="B851" s="17" t="n">
        <v>4008600401865</v>
      </c>
      <c r="C851" s="13" t="n"/>
      <c r="D851" s="18" t="n"/>
      <c r="E851" s="18" t="inlineStr">
        <is>
          <t>BEB-4008600401865</t>
        </is>
      </c>
      <c r="F851" s="17" t="n">
        <v>10176288</v>
      </c>
      <c r="G851" s="18" t="inlineStr">
        <is>
          <t>BEBOLINO</t>
        </is>
      </c>
      <c r="H851" s="18" t="inlineStr">
        <is>
          <t>NUK</t>
        </is>
      </c>
      <c r="I851" s="18" t="inlineStr">
        <is>
          <t>NUK Star Babyschnuller | 6–18 Monate | BPA-freie Silikonschnuller | Blue Birds | 2-teilig</t>
        </is>
      </c>
      <c r="J851" s="18" t="inlineStr">
        <is>
          <t>No</t>
        </is>
      </c>
      <c r="K851" s="18" t="inlineStr">
        <is>
          <t>https://www.amazon.de/NUK-Babyschnuller-6-18-Monate-BPA-freie-Silikonschnuller/dp/B09PGJSXRD/ref=sr_1_1?__mk_de_DE=%C3%85M%C3%85%C5%BD%C3%95%C3%91&amp;crid=38XUOQ200YFNK&amp;dib=eyJ2IjoiMSJ9.jm9CFfNe6o5pTr8KPnmGnQ.G7zHH7CkpIP_76bsFIEVWgdpYPI9QntK3YLX-FqZakU&amp;dib_tag=se&amp;keywords=4008600401865&amp;qid=1758650377&amp;sprefix=4008600401865%2Caps%2C251&amp;sr=8-1&amp;th=1</t>
        </is>
      </c>
      <c r="L851" s="18" t="inlineStr">
        <is>
          <t>B09PGJSXRD</t>
        </is>
      </c>
      <c r="M851" s="19" t="n"/>
      <c r="N851" s="19" t="n"/>
      <c r="O851" s="19" t="n">
        <v>9.970000000000001</v>
      </c>
      <c r="P851" s="19">
        <f>O851/1.19</f>
        <v/>
      </c>
      <c r="Q851" s="19">
        <f>O851-P851</f>
        <v/>
      </c>
      <c r="R851" s="19">
        <f>O851*0.15</f>
        <v/>
      </c>
      <c r="S851" s="19" t="n">
        <v>4.1</v>
      </c>
      <c r="T851" s="19">
        <f>S851*0.2</f>
        <v/>
      </c>
      <c r="U851" s="19" t="n">
        <v>0.400000000000002</v>
      </c>
      <c r="V851" s="19" t="n">
        <v>2.2</v>
      </c>
      <c r="W851" s="19">
        <f>V851*0.2</f>
        <v/>
      </c>
      <c r="X851" s="16">
        <f>O851-Q851-R851-S851-U851-V851+T851+W851</f>
        <v/>
      </c>
      <c r="Y851" s="18" t="n"/>
      <c r="Z851" s="19">
        <f>O851+1.5</f>
        <v/>
      </c>
      <c r="AA851" s="19" t="n"/>
      <c r="AB851" s="19" t="n"/>
      <c r="AC851" s="18" t="n"/>
      <c r="AD851" s="18" t="n"/>
      <c r="AE851" s="13" t="inlineStr">
        <is>
          <t>NOT_UPLOADED</t>
        </is>
      </c>
    </row>
    <row r="852" ht="16" customHeight="1">
      <c r="A852" s="12" t="n"/>
      <c r="B852" s="12" t="n">
        <v>4008600401957</v>
      </c>
      <c r="C852" s="13" t="n"/>
      <c r="D852" s="14" t="inlineStr">
        <is>
          <t>Approval required</t>
        </is>
      </c>
      <c r="E852" s="14" t="n"/>
      <c r="F852" s="12" t="n">
        <v>10176289</v>
      </c>
      <c r="G852" s="14" t="inlineStr">
        <is>
          <t>BEBOLINO</t>
        </is>
      </c>
      <c r="H852" s="14" t="inlineStr">
        <is>
          <t>NUK</t>
        </is>
      </c>
      <c r="I852" s="14" t="inlineStr">
        <is>
          <t>NUK Star Babyschnuller | 6–18 Monate | Day &amp; Night Schnuller | BPA-freies Silikon | Pink Koala | 2-teilig</t>
        </is>
      </c>
      <c r="J852" s="14" t="inlineStr">
        <is>
          <t>No</t>
        </is>
      </c>
      <c r="K852" s="14" t="inlineStr">
        <is>
          <t>https://www.amazon.de/NUK-Babyschnuller-6-18-Monate-Schnuller-BPA-freies/dp/B09PGKYNF4/ref=sr_1_1?__mk_de_DE=%C3%85M%C3%85%C5%BD%C3%95%C3%91&amp;crid=9B6AUL2TWMP8&amp;dib=eyJ2IjoiMSJ9.Qo_wMoFDiNX1wDAdb4FZjw.QkTekISwxFmf3cBL-Ssbxj0sgvwe-suSBc7V7ydpaA4&amp;dib_tag=se&amp;keywords=4008600401957&amp;qid=1758650529&amp;sprefix=4008600401957%2Caps%2C95&amp;sr=8-1&amp;th=1</t>
        </is>
      </c>
      <c r="L852" s="14" t="inlineStr">
        <is>
          <t>B09PGKYNF4</t>
        </is>
      </c>
      <c r="M852" s="15" t="n"/>
      <c r="N852" s="15" t="n"/>
      <c r="O852" s="15" t="n">
        <v>9.970000000000001</v>
      </c>
      <c r="P852" s="15">
        <f>O852/1.19</f>
        <v/>
      </c>
      <c r="Q852" s="15">
        <f>O852-P852</f>
        <v/>
      </c>
      <c r="R852" s="15">
        <f>O852*0.15</f>
        <v/>
      </c>
      <c r="S852" s="15" t="n">
        <v>4.1</v>
      </c>
      <c r="T852" s="15">
        <f>S852*0.2</f>
        <v/>
      </c>
      <c r="U852" s="15" t="n">
        <v>0.400000000000002</v>
      </c>
      <c r="V852" s="15" t="n">
        <v>2.2</v>
      </c>
      <c r="W852" s="15">
        <f>V852*0.2</f>
        <v/>
      </c>
      <c r="X852" s="16">
        <f>O852-Q852-R852-S852-U852-V852+T852+W852</f>
        <v/>
      </c>
      <c r="Y852" s="14" t="n"/>
      <c r="Z852" s="15">
        <f>O852+1.5</f>
        <v/>
      </c>
      <c r="AA852" s="15" t="n"/>
      <c r="AB852" s="15" t="n"/>
      <c r="AC852" s="14" t="n"/>
      <c r="AD852" s="14" t="n"/>
      <c r="AE852" s="13" t="inlineStr">
        <is>
          <t>NOT_UPLOADED</t>
        </is>
      </c>
    </row>
    <row r="853" ht="16" customHeight="1">
      <c r="A853" s="17" t="n"/>
      <c r="B853" s="17" t="n">
        <v>4008600401988</v>
      </c>
      <c r="C853" s="13" t="n"/>
      <c r="D853" s="18" t="inlineStr">
        <is>
          <t>Approval required</t>
        </is>
      </c>
      <c r="E853" s="18" t="n"/>
      <c r="F853" s="17" t="n">
        <v>10176290</v>
      </c>
      <c r="G853" s="18" t="inlineStr">
        <is>
          <t>BEBOLINO</t>
        </is>
      </c>
      <c r="H853" s="18" t="inlineStr">
        <is>
          <t>NUK</t>
        </is>
      </c>
      <c r="I853" s="18" t="inlineStr">
        <is>
          <t>NUK Star Babyschnuller | 6–18 Monate | Day &amp; Night Schnuller | BPA-freies Silikon | Green Crocodile | 2-teilig</t>
        </is>
      </c>
      <c r="J853" s="18" t="inlineStr">
        <is>
          <t>No</t>
        </is>
      </c>
      <c r="K853" s="18" t="inlineStr">
        <is>
          <t>https://www.amazon.de/NUK-Babyschnuller-6-18-Monate-Schnuller-BPA-freies/dp/B09PGLCQLC/ref=sr_1_1?__mk_de_DE=%C3%85M%C3%85%C5%BD%C3%95%C3%91&amp;crid=1E7M57PL40LQA&amp;dib=eyJ2IjoiMSJ9.Qc6RVqxTbqqvZBNC9nydJw.WjCQGDgD2TG978jnFhkLrhbBxfCcm-kiGMaLxXVso-0&amp;dib_tag=se&amp;keywords=4008600401988&amp;qid=1758650661&amp;sprefix=4008600401988%2Caps%2C102&amp;sr=8-1&amp;th=1</t>
        </is>
      </c>
      <c r="L853" s="18" t="inlineStr">
        <is>
          <t>B09PGLCQLC</t>
        </is>
      </c>
      <c r="M853" s="19" t="n"/>
      <c r="N853" s="19" t="n"/>
      <c r="O853" s="19" t="n">
        <v>9.970000000000001</v>
      </c>
      <c r="P853" s="19">
        <f>O853/1.19</f>
        <v/>
      </c>
      <c r="Q853" s="19">
        <f>O853-P853</f>
        <v/>
      </c>
      <c r="R853" s="19">
        <f>O853*0.15</f>
        <v/>
      </c>
      <c r="S853" s="19" t="n">
        <v>4.1</v>
      </c>
      <c r="T853" s="19">
        <f>S853*0.2</f>
        <v/>
      </c>
      <c r="U853" s="19" t="n">
        <v>0.400000000000002</v>
      </c>
      <c r="V853" s="19" t="n">
        <v>2.2</v>
      </c>
      <c r="W853" s="19">
        <f>V853*0.2</f>
        <v/>
      </c>
      <c r="X853" s="16">
        <f>O853-Q853-R853-S853-U853-V853+T853+W853</f>
        <v/>
      </c>
      <c r="Y853" s="18" t="n"/>
      <c r="Z853" s="19">
        <f>O853+1.5</f>
        <v/>
      </c>
      <c r="AA853" s="19" t="n"/>
      <c r="AB853" s="19" t="n"/>
      <c r="AC853" s="18" t="n"/>
      <c r="AD853" s="18" t="n"/>
      <c r="AE853" s="13" t="inlineStr">
        <is>
          <t>NOT_UPLOADED</t>
        </is>
      </c>
    </row>
    <row r="854" ht="16" customHeight="1">
      <c r="A854" s="12" t="n">
        <v>4008600427001</v>
      </c>
      <c r="B854" s="12" t="n">
        <v>4008600427001</v>
      </c>
      <c r="C854" s="13" t="n"/>
      <c r="D854" s="14" t="n"/>
      <c r="E854" s="14" t="inlineStr">
        <is>
          <t>BEB-4008600427001</t>
        </is>
      </c>
      <c r="F854" s="12" t="n">
        <v>10730890</v>
      </c>
      <c r="G854" s="14" t="inlineStr">
        <is>
          <t>BEBOLINO</t>
        </is>
      </c>
      <c r="H854" s="14" t="inlineStr">
        <is>
          <t>NUK</t>
        </is>
      </c>
      <c r="I854" s="14" t="inlineStr">
        <is>
          <t>NUK Star Babyschnuller | 0−6 Monate | Beruhigt 99 % der Babys | BPA-freie Silikonschnuller | Winnie the Pooh | Mit Etui | 2 Stück</t>
        </is>
      </c>
      <c r="J854" s="14" t="inlineStr">
        <is>
          <t>No</t>
        </is>
      </c>
      <c r="K854" s="14" t="inlineStr">
        <is>
          <t>https://www.amazon.de/NUK-Babyschnuller-0-6-Monate-BPA-freie-Silikonschnuller/dp/B0CB6TGT2D/ref=sr_1_1?__mk_de_DE=%C3%85M%C3%85%C5%BD%C3%95%C3%91&amp;crid=1667F52GZQ1CM&amp;dib=eyJ2IjoiMSJ9.6Aaq1YrViGXbiVQZOuYCUg.LBV-SyvsOhIwZ1wRVlPfITJ74WBf_xPIqDZWr0aFDRU&amp;dib_tag=se&amp;keywords=4008600427001&amp;qid=1758651836&amp;sprefix=4008600427001%2Caps%2C142&amp;sr=8-1&amp;th=1</t>
        </is>
      </c>
      <c r="L854" s="14" t="inlineStr">
        <is>
          <t>B0CB6TGT2D</t>
        </is>
      </c>
      <c r="M854" s="15" t="n"/>
      <c r="N854" s="15" t="n"/>
      <c r="O854" s="15" t="n">
        <v>14</v>
      </c>
      <c r="P854" s="15">
        <f>O854/1.19</f>
        <v/>
      </c>
      <c r="Q854" s="15">
        <f>O854-P854</f>
        <v/>
      </c>
      <c r="R854" s="15">
        <f>O854*0.15</f>
        <v/>
      </c>
      <c r="S854" s="15" t="n">
        <v>4.91</v>
      </c>
      <c r="T854" s="15">
        <f>S854*0.2</f>
        <v/>
      </c>
      <c r="U854" s="15" t="n">
        <v>0.400000000000002</v>
      </c>
      <c r="V854" s="15" t="n">
        <v>2.2</v>
      </c>
      <c r="W854" s="15">
        <f>V854*0.2</f>
        <v/>
      </c>
      <c r="X854" s="21">
        <f>O854-Q854-R854-S854-U854-V854+T854+W854</f>
        <v/>
      </c>
      <c r="Y854" s="14" t="n"/>
      <c r="Z854" s="15">
        <f>O854+1.5</f>
        <v/>
      </c>
      <c r="AA854" s="15" t="n"/>
      <c r="AB854" s="15" t="n"/>
      <c r="AC854" s="14" t="n"/>
      <c r="AD854" s="14" t="n"/>
      <c r="AE854" s="13" t="inlineStr">
        <is>
          <t>NOT_UPLOADED</t>
        </is>
      </c>
    </row>
    <row r="855" ht="16" customHeight="1">
      <c r="A855" s="17" t="n"/>
      <c r="B855" s="17" t="n">
        <v>4008600427445</v>
      </c>
      <c r="C855" s="13" t="n"/>
      <c r="D855" s="18" t="inlineStr">
        <is>
          <t>Approval required</t>
        </is>
      </c>
      <c r="E855" s="18" t="n"/>
      <c r="F855" s="17" t="n">
        <v>10730900</v>
      </c>
      <c r="G855" s="18" t="inlineStr">
        <is>
          <t>BEBOLINO</t>
        </is>
      </c>
      <c r="H855" s="18" t="inlineStr">
        <is>
          <t>NUK</t>
        </is>
      </c>
      <c r="I855" s="18" t="inlineStr">
        <is>
          <t>NUK Space Night Schnuller, 0-6 Monate, extra große Belüftungsöffnungen, leuchtet im Dunkeln, BPA-freies Silikon, Fuchs und Marienkäfer, 2 Stück</t>
        </is>
      </c>
      <c r="J855" s="18" t="inlineStr">
        <is>
          <t>No</t>
        </is>
      </c>
      <c r="K855" s="18" t="inlineStr">
        <is>
          <t>https://www.amazon.de/NUK-Babyschnuller-phosphoreszierender-Bel%C3%BCftungs%C3%B6ffnungen-empfindliche/dp/B0916LFF4P/ref=sr_1_9?__mk_de_DE=%C3%85M%C3%85%C5%BD%C3%95%C3%91&amp;crid=C7UXFY2VMAMU&amp;dib=eyJ2IjoiMSJ9.qYVy3dkgvOOKFoQQNMQ53Fa-6YZ-SjdRucKvfw7uKP2qH1KIawvf4nWSZCZnmLG7CMwxAHmjdqHeUhUXJu4GqxjWrNrMv7L4RLDSr5aVt_9popRfaeCuUYePRVCTk-9wKeOfekWckEyQGfONOOoPSu_-PO66TN8joGJ79y4n7yacMtcNQPc9kZiQ76B4h0Ir56ZnLTcH-TJPfhQjkPskoDhu6foiFKzJzAVvtUiMP0m3HuC5zChzoaUICVbXsuXG7gftK5o5G8rgjykV7nqlhmHGle7eBE61nA2H0wXEH7M.YT2VGeyEJDTjYnoM2bbZkHAl6WGxCMJ95k2nHWE2juw&amp;dib_tag=se&amp;keywords=nuk+space+night+lion&amp;qid=1758652164&amp;sprefix=nuk+space+night+lion%2Caps%2C96&amp;sr=8-9</t>
        </is>
      </c>
      <c r="L855" s="18" t="inlineStr">
        <is>
          <t>B0916LFF4P</t>
        </is>
      </c>
      <c r="M855" s="19" t="n"/>
      <c r="N855" s="19" t="n"/>
      <c r="O855" s="19" t="n">
        <v>11.79</v>
      </c>
      <c r="P855" s="19">
        <f>O855/1.19</f>
        <v/>
      </c>
      <c r="Q855" s="19">
        <f>O855-P855</f>
        <v/>
      </c>
      <c r="R855" s="19">
        <f>O855*0.15</f>
        <v/>
      </c>
      <c r="S855" s="19" t="n">
        <v>5.27</v>
      </c>
      <c r="T855" s="19">
        <f>S855*0.2</f>
        <v/>
      </c>
      <c r="U855" s="19" t="n">
        <v>0.400000000000002</v>
      </c>
      <c r="V855" s="19" t="n">
        <v>2.2</v>
      </c>
      <c r="W855" s="19">
        <f>V855*0.2</f>
        <v/>
      </c>
      <c r="X855" s="16">
        <f>O855-Q855-R855-S855-U855-V855+T855+W855</f>
        <v/>
      </c>
      <c r="Y855" s="18" t="n"/>
      <c r="Z855" s="19">
        <f>O855+1.5</f>
        <v/>
      </c>
      <c r="AA855" s="19" t="n"/>
      <c r="AB855" s="19" t="n"/>
      <c r="AC855" s="18" t="n"/>
      <c r="AD855" s="18" t="n"/>
      <c r="AE855" s="13" t="inlineStr">
        <is>
          <t>NOT_UPLOADED</t>
        </is>
      </c>
    </row>
    <row r="856" ht="16" customHeight="1">
      <c r="A856" s="12" t="n"/>
      <c r="B856" s="12" t="n">
        <v>4008600427414</v>
      </c>
      <c r="C856" s="13" t="n"/>
      <c r="D856" s="14" t="inlineStr">
        <is>
          <t>Approval required</t>
        </is>
      </c>
      <c r="E856" s="14" t="n"/>
      <c r="F856" s="12" t="n">
        <v>10736933</v>
      </c>
      <c r="G856" s="14" t="inlineStr">
        <is>
          <t>BEBOLINO</t>
        </is>
      </c>
      <c r="H856" s="14" t="inlineStr">
        <is>
          <t>NUK</t>
        </is>
      </c>
      <c r="I856" s="14" t="inlineStr">
        <is>
          <t>NUK Space Night Baby Schnuller | 6-18 Monate | nachtleuchtender Schnuller mit extra Belüftung für empfindliche Haut | BPA-freies Silikon | Schaf &amp; Mond | 2 Stück</t>
        </is>
      </c>
      <c r="J856" s="14" t="inlineStr">
        <is>
          <t>No</t>
        </is>
      </c>
      <c r="K856" s="14" t="inlineStr">
        <is>
          <t>https://www.amazon.de/NUK-Schnuller-nachtleuchtender-empfindliche-BPA-freies/dp/B0C6NGH9W9/ref=sr_1_1?__mk_de_DE=%C3%85M%C3%85%C5%BD%C3%95%C3%91&amp;crid=3DKMSMA0SYQFP&amp;dib=eyJ2IjoiMSJ9.rIaY-rwZNdk5-wbmyuxlww.Qy2EdM73YWERKpvFO73peJSbk_wFu9t_DUAR0KnadVo&amp;dib_tag=se&amp;keywords=4008600427414&amp;qid=1758653134&amp;sprefix=4008600427414%2Caps%2C103&amp;sr=8-1&amp;th=1</t>
        </is>
      </c>
      <c r="L856" s="14" t="inlineStr">
        <is>
          <t>B0C6NGH9W9</t>
        </is>
      </c>
      <c r="M856" s="15" t="n"/>
      <c r="N856" s="15" t="n"/>
      <c r="O856" s="15" t="n">
        <v>12.27</v>
      </c>
      <c r="P856" s="15">
        <f>O856/1.19</f>
        <v/>
      </c>
      <c r="Q856" s="15">
        <f>O856-P856</f>
        <v/>
      </c>
      <c r="R856" s="15">
        <f>O856*0.15</f>
        <v/>
      </c>
      <c r="S856" s="15" t="n">
        <v>5.27</v>
      </c>
      <c r="T856" s="15">
        <f>S856*0.2</f>
        <v/>
      </c>
      <c r="U856" s="15" t="n">
        <v>0.400000000000002</v>
      </c>
      <c r="V856" s="15" t="n">
        <v>2.2</v>
      </c>
      <c r="W856" s="15">
        <f>V856*0.2</f>
        <v/>
      </c>
      <c r="X856" s="21">
        <f>O856-Q856-R856-S856-U856-V856+T856+W856</f>
        <v/>
      </c>
      <c r="Y856" s="14" t="n"/>
      <c r="Z856" s="15">
        <f>O856+1.5</f>
        <v/>
      </c>
      <c r="AA856" s="15" t="n"/>
      <c r="AB856" s="15" t="n"/>
      <c r="AC856" s="14" t="n"/>
      <c r="AD856" s="14" t="n"/>
      <c r="AE856" s="13" t="inlineStr">
        <is>
          <t>NOT_UPLOADED</t>
        </is>
      </c>
    </row>
    <row r="857" ht="16" customHeight="1">
      <c r="A857" s="17" t="n"/>
      <c r="B857" s="17" t="n">
        <v>4008600427261</v>
      </c>
      <c r="C857" s="13" t="n"/>
      <c r="D857" s="18" t="inlineStr">
        <is>
          <t>Approval required</t>
        </is>
      </c>
      <c r="E857" s="18" t="n"/>
      <c r="F857" s="17" t="n">
        <v>10177213</v>
      </c>
      <c r="G857" s="18" t="inlineStr">
        <is>
          <t>BEBOLINO</t>
        </is>
      </c>
      <c r="H857" s="18" t="inlineStr">
        <is>
          <t>NUK</t>
        </is>
      </c>
      <c r="I857" s="18" t="inlineStr">
        <is>
          <t>NUK Space Night Babyschnuller | 18-36 Monate | Im Dunkeln leuchtende Schnuller mit zusätzlichen Öffnungen für sensible Haut | BPA-freies Silikon | Schaf | 2 Stück</t>
        </is>
      </c>
      <c r="J857" s="18" t="inlineStr">
        <is>
          <t>No</t>
        </is>
      </c>
      <c r="K857" s="18" t="inlineStr">
        <is>
          <t>https://www.amazon.de/NUK-Schnuller-Leuchteffekt-Bel%C3%BCftung-BPA-freies/dp/B0C4Q5P31J/ref=sr_1_1?__mk_de_DE=%C3%85M%C3%85%C5%BD%C3%95%C3%91&amp;crid=1FI4HR6VSMZ2S&amp;dib=eyJ2IjoiMSJ9.6wF5WjS8y2BZW_8M0zqMUw.ZQdfNbW_ABHAT-L-bZ-LVN7GVFy1IgDCCuzWJarZhmk&amp;dib_tag=se&amp;keywords=4008600427261&amp;qid=1758653325&amp;sprefix=4008600427261%2Caps%2C87&amp;sr=8-1&amp;th=1</t>
        </is>
      </c>
      <c r="L857" s="18" t="inlineStr">
        <is>
          <t>B0C4Q5P31J</t>
        </is>
      </c>
      <c r="M857" s="19" t="n"/>
      <c r="N857" s="19" t="n"/>
      <c r="O857" s="19" t="n">
        <v>12.27</v>
      </c>
      <c r="P857" s="19">
        <f>O857/1.19</f>
        <v/>
      </c>
      <c r="Q857" s="19">
        <f>O857-P857</f>
        <v/>
      </c>
      <c r="R857" s="19">
        <f>O857*0.15</f>
        <v/>
      </c>
      <c r="S857" s="19" t="n">
        <v>5.27</v>
      </c>
      <c r="T857" s="19">
        <f>S857*0.2</f>
        <v/>
      </c>
      <c r="U857" s="19" t="n">
        <v>0.400000000000002</v>
      </c>
      <c r="V857" s="19" t="n">
        <v>2.2</v>
      </c>
      <c r="W857" s="19">
        <f>V857*0.2</f>
        <v/>
      </c>
      <c r="X857" s="21">
        <f>O857-Q857-R857-S857-U857-V857+T857+W857</f>
        <v/>
      </c>
      <c r="Y857" s="18" t="n"/>
      <c r="Z857" s="19">
        <f>O857+1.5</f>
        <v/>
      </c>
      <c r="AA857" s="19" t="n"/>
      <c r="AB857" s="19" t="n"/>
      <c r="AC857" s="18" t="n"/>
      <c r="AD857" s="18" t="n"/>
      <c r="AE857" s="13" t="inlineStr">
        <is>
          <t>NOT_UPLOADED</t>
        </is>
      </c>
    </row>
    <row r="858" ht="16" customHeight="1">
      <c r="A858" s="12" t="n">
        <v>5054809718548</v>
      </c>
      <c r="B858" s="12" t="n">
        <v>4008600083641</v>
      </c>
      <c r="C858" s="13" t="n"/>
      <c r="D858" s="14" t="n"/>
      <c r="E858" s="14" t="inlineStr">
        <is>
          <t>BEB-5054809718548</t>
        </is>
      </c>
      <c r="F858" s="12" t="n">
        <v>10256205</v>
      </c>
      <c r="G858" s="14" t="inlineStr">
        <is>
          <t>BEBOLINO</t>
        </is>
      </c>
      <c r="H858" s="14" t="inlineStr">
        <is>
          <t>NUK</t>
        </is>
      </c>
      <c r="I858" s="14" t="inlineStr">
        <is>
          <t>NUK Baby Zahnbürste Lernset |Putzlernstift und Putztrainer inkl. Schutzring | optimale Vorbereitung aufs Zähneputzen | BPA-frei | 2 Stück</t>
        </is>
      </c>
      <c r="J858" s="14" t="inlineStr">
        <is>
          <t>No</t>
        </is>
      </c>
      <c r="K858" s="14" t="inlineStr">
        <is>
          <t>https://www.amazon.de/NUK-10256205-Zahnpflege-Lernset-Putzlernstift-Vorbereitung/dp/B000M8GWPC/ref=sr_1_1?dib=eyJ2IjoiMSJ9.1ts6R2qze9rv8_lgEop0jwD3N7dg9KnEOLeQ2-8Z5tcoBkGsPDz1OSbBllawIEMn.1SYazp7TPWoZuDQp0MwuDwxQbNfjmN_gD_1BYfp1m3w&amp;dib_tag=se&amp;keywords=4008600083641&amp;qid=1758825339&amp;sr=8-1</t>
        </is>
      </c>
      <c r="L858" s="14" t="inlineStr">
        <is>
          <t>B000M8GWPC</t>
        </is>
      </c>
      <c r="M858" s="15" t="n"/>
      <c r="N858" s="15" t="n"/>
      <c r="O858" s="15" t="n">
        <v>9.99</v>
      </c>
      <c r="P858" s="15">
        <f>O858/1.19</f>
        <v/>
      </c>
      <c r="Q858" s="15">
        <f>O858-P858</f>
        <v/>
      </c>
      <c r="R858" s="15">
        <f>O858*0.15</f>
        <v/>
      </c>
      <c r="S858" s="15" t="n">
        <v>3.94</v>
      </c>
      <c r="T858" s="15">
        <f>S858*0.2</f>
        <v/>
      </c>
      <c r="U858" s="15" t="n">
        <v>0.400000000000002</v>
      </c>
      <c r="V858" s="15" t="n">
        <v>2.2</v>
      </c>
      <c r="W858" s="15">
        <f>V858*0.2</f>
        <v/>
      </c>
      <c r="X858" s="16">
        <f>O858-Q858-R858-S858-U858-V858+T858+W858</f>
        <v/>
      </c>
      <c r="Y858" s="14" t="n"/>
      <c r="Z858" s="15">
        <f>O858+1.5</f>
        <v/>
      </c>
      <c r="AA858" s="15" t="n"/>
      <c r="AB858" s="15" t="n"/>
      <c r="AC858" s="14" t="n"/>
      <c r="AD858" s="14" t="n"/>
      <c r="AE858" s="13" t="inlineStr">
        <is>
          <t>NOT_UPLOADED</t>
        </is>
      </c>
    </row>
    <row r="859" ht="16" customHeight="1">
      <c r="A859" s="17" t="n"/>
      <c r="B859" s="17" t="n">
        <v>4008600083641</v>
      </c>
      <c r="C859" s="13" t="n"/>
      <c r="D859" s="18" t="inlineStr">
        <is>
          <t>Approval required</t>
        </is>
      </c>
      <c r="E859" s="18" t="n"/>
      <c r="F859" s="17" t="n">
        <v>10256205</v>
      </c>
      <c r="G859" s="18" t="inlineStr">
        <is>
          <t>BEBOLINO</t>
        </is>
      </c>
      <c r="H859" s="18" t="inlineStr">
        <is>
          <t>NUK</t>
        </is>
      </c>
      <c r="I859" s="18" t="inlineStr">
        <is>
          <t>NUK Zahnpflege-Lernset, 2-teilig, Putzlernstift und Putztrainer inklusive Schutzring, optimale Vorbereitung aufs Zähneputzen, BPA-frei, 1 Set</t>
        </is>
      </c>
      <c r="J859" s="18" t="inlineStr">
        <is>
          <t>No</t>
        </is>
      </c>
      <c r="K859" s="18" t="inlineStr">
        <is>
          <t>https://www.amazon.de/NUK-Zahnpflege-Lernset-Putzlernstift-Putztrainer-Vorbereitung/dp/B013K1K7JE/ref=sr_1_2?dib=eyJ2IjoiMSJ9.1ts6R2qze9rv8_lgEop0jwD3N7dg9KnEOLeQ2-8Z5tcoBkGsPDz1OSbBllawIEMn.1SYazp7TPWoZuDQp0MwuDwxQbNfjmN_gD_1BYfp1m3w&amp;dib_tag=se&amp;keywords=4008600083641&amp;qid=1758825339&amp;sr=8-2</t>
        </is>
      </c>
      <c r="L859" s="18" t="inlineStr">
        <is>
          <t>B013K1K7JE</t>
        </is>
      </c>
      <c r="M859" s="19" t="n"/>
      <c r="N859" s="19" t="n"/>
      <c r="O859" s="19" t="n">
        <v>10.3</v>
      </c>
      <c r="P859" s="19">
        <f>O859/1.19</f>
        <v/>
      </c>
      <c r="Q859" s="19">
        <f>O859-P859</f>
        <v/>
      </c>
      <c r="R859" s="19">
        <f>O859*0.15</f>
        <v/>
      </c>
      <c r="S859" s="19" t="n">
        <v>3.94</v>
      </c>
      <c r="T859" s="19">
        <f>S859*0.2</f>
        <v/>
      </c>
      <c r="U859" s="19" t="n">
        <v>0.400000000000002</v>
      </c>
      <c r="V859" s="19" t="n">
        <v>2.2</v>
      </c>
      <c r="W859" s="19">
        <f>V859*0.2</f>
        <v/>
      </c>
      <c r="X859" s="16">
        <f>O859-Q859-R859-S859-U859-V859+T859+W859</f>
        <v/>
      </c>
      <c r="Y859" s="18" t="n"/>
      <c r="Z859" s="19">
        <f>O859+1.5</f>
        <v/>
      </c>
      <c r="AA859" s="19" t="n"/>
      <c r="AB859" s="19" t="n"/>
      <c r="AC859" s="18" t="n"/>
      <c r="AD859" s="18" t="n"/>
      <c r="AE859" s="13" t="inlineStr">
        <is>
          <t>NOT_UPLOADED</t>
        </is>
      </c>
    </row>
    <row r="860" ht="16" customHeight="1">
      <c r="A860" s="12" t="n">
        <v>4008600083641</v>
      </c>
      <c r="B860" s="12" t="n">
        <v>4008600083641</v>
      </c>
      <c r="C860" s="13" t="n"/>
      <c r="D860" s="14" t="n"/>
      <c r="E860" s="14" t="inlineStr">
        <is>
          <t>BEB-4008600083641</t>
        </is>
      </c>
      <c r="F860" s="12" t="n">
        <v>10256205</v>
      </c>
      <c r="G860" s="14" t="inlineStr">
        <is>
          <t>BEBOLINO</t>
        </is>
      </c>
      <c r="H860" s="14" t="inlineStr">
        <is>
          <t>NUK</t>
        </is>
      </c>
      <c r="I860" s="14" t="inlineStr">
        <is>
          <t>NUK 10256205 Trainingszahnbürsten-Set</t>
        </is>
      </c>
      <c r="J860" s="14" t="inlineStr">
        <is>
          <t>No</t>
        </is>
      </c>
      <c r="K860" s="14" t="inlineStr">
        <is>
          <t>https://www.amazon.de/NUK-NA-256205-10256205-Trainingszahnb%C3%BCrsten-Set/dp/B06XY2DGZC/ref=sr_1_4?dib=eyJ2IjoiMSJ9.1ts6R2qze9rv8_lgEop0jwD3N7dg9KnEOLeQ2-8Z5tcoBkGsPDz1OSbBllawIEMn.1SYazp7TPWoZuDQp0MwuDwxQbNfjmN_gD_1BYfp1m3w&amp;dib_tag=se&amp;keywords=4008600083641&amp;qid=1758825339&amp;sr=8-4</t>
        </is>
      </c>
      <c r="L860" s="14" t="inlineStr">
        <is>
          <t>B06XY2DGZC</t>
        </is>
      </c>
      <c r="M860" s="15" t="n"/>
      <c r="N860" s="15" t="n"/>
      <c r="O860" s="15" t="n">
        <v>9.99</v>
      </c>
      <c r="P860" s="15">
        <f>O860/1.19</f>
        <v/>
      </c>
      <c r="Q860" s="15">
        <f>O860-P860</f>
        <v/>
      </c>
      <c r="R860" s="15">
        <f>O860*0.15</f>
        <v/>
      </c>
      <c r="S860" s="15" t="n">
        <v>3.94</v>
      </c>
      <c r="T860" s="15">
        <f>S860*0.2</f>
        <v/>
      </c>
      <c r="U860" s="15" t="n">
        <v>0.400000000000002</v>
      </c>
      <c r="V860" s="15" t="n">
        <v>2.2</v>
      </c>
      <c r="W860" s="15">
        <f>V860*0.2</f>
        <v/>
      </c>
      <c r="X860" s="16">
        <f>O860-Q860-R860-S860-U860-V860+T860+W860</f>
        <v/>
      </c>
      <c r="Y860" s="14" t="n"/>
      <c r="Z860" s="15">
        <f>O860+1.5</f>
        <v/>
      </c>
      <c r="AA860" s="15" t="n"/>
      <c r="AB860" s="15" t="n"/>
      <c r="AC860" s="14" t="n"/>
      <c r="AD860" s="14" t="n"/>
      <c r="AE860" s="13" t="inlineStr">
        <is>
          <t>NOT_UPLOADED</t>
        </is>
      </c>
    </row>
    <row r="861" ht="16" customHeight="1">
      <c r="A861" s="17" t="n">
        <v>4008600083702</v>
      </c>
      <c r="B861" s="17" t="n">
        <v>4008600083702</v>
      </c>
      <c r="C861" s="13" t="n"/>
      <c r="D861" s="18" t="n"/>
      <c r="E861" s="18" t="inlineStr">
        <is>
          <t>BEB-4008600083702</t>
        </is>
      </c>
      <c r="F861" s="17" t="n">
        <v>10256207</v>
      </c>
      <c r="G861" s="18" t="inlineStr">
        <is>
          <t>BEBOLINO</t>
        </is>
      </c>
      <c r="H861" s="18" t="inlineStr">
        <is>
          <t>NUK</t>
        </is>
      </c>
      <c r="I861" s="18" t="inlineStr">
        <is>
          <t>NUK Lernzahnbürste mit Schutzring, sichere Pflege der ersten Zähne, 1 Stück</t>
        </is>
      </c>
      <c r="J861" s="18" t="inlineStr">
        <is>
          <t>No</t>
        </is>
      </c>
      <c r="K861" s="18" t="inlineStr">
        <is>
          <t>https://www.amazon.de/NUK-10256207-Lernzahnb%C3%BCrste-Schutzring-sichere/dp/B000M8NPB6/ref=sr_1_1?__mk_de_DE=%C3%85M%C3%85%C5%BD%C3%95%C3%91&amp;crid=3A21KR8WB1E23&amp;dib=eyJ2IjoiMSJ9.Ziy-3L5lfAA2yygN9XmydRPRbxYnaBPB6sDIjmjy8c4.JParKmn12iH8VwunpFqCV_Kys-ZypwNH7qN5wAgBo7s&amp;dib_tag=se&amp;keywords=4008600083702&amp;qid=1758825641&amp;sprefix=4008600083702%2Caps%2C110&amp;sr=8-1&amp;th=1</t>
        </is>
      </c>
      <c r="L861" s="18" t="inlineStr">
        <is>
          <t>B000M8NPB6</t>
        </is>
      </c>
      <c r="M861" s="19" t="n"/>
      <c r="N861" s="19" t="n"/>
      <c r="O861" s="19" t="n">
        <v>8.449999999999999</v>
      </c>
      <c r="P861" s="19">
        <f>O861/1.19</f>
        <v/>
      </c>
      <c r="Q861" s="19">
        <f>O861-P861</f>
        <v/>
      </c>
      <c r="R861" s="19">
        <f>O861*0.15</f>
        <v/>
      </c>
      <c r="S861" s="19" t="n">
        <v>2.94</v>
      </c>
      <c r="T861" s="19">
        <f>S861*0.2</f>
        <v/>
      </c>
      <c r="U861" s="19" t="n">
        <v>0.400000000000002</v>
      </c>
      <c r="V861" s="19" t="n">
        <v>2</v>
      </c>
      <c r="W861" s="19">
        <f>V861*0.2</f>
        <v/>
      </c>
      <c r="X861" s="16">
        <f>O861-Q861-R861-S861-U861-V861+T861+W861</f>
        <v/>
      </c>
      <c r="Y861" s="18" t="n"/>
      <c r="Z861" s="19">
        <f>O861+1.5</f>
        <v/>
      </c>
      <c r="AA861" s="19" t="n"/>
      <c r="AB861" s="19" t="n"/>
      <c r="AC861" s="18" t="n"/>
      <c r="AD861" s="18" t="n"/>
      <c r="AE861" s="13" t="inlineStr">
        <is>
          <t>NOT_UPLOADED</t>
        </is>
      </c>
    </row>
    <row r="862" ht="16" customHeight="1">
      <c r="A862" s="12" t="n"/>
      <c r="B862" s="12" t="n">
        <v>4008600083764</v>
      </c>
      <c r="C862" s="20" t="inlineStr">
        <is>
          <t>PINK</t>
        </is>
      </c>
      <c r="D862" s="14" t="inlineStr">
        <is>
          <t>Approval required</t>
        </is>
      </c>
      <c r="E862" s="14" t="n"/>
      <c r="F862" s="12" t="n">
        <v>10256225</v>
      </c>
      <c r="G862" s="14" t="inlineStr">
        <is>
          <t>BEBOLINO</t>
        </is>
      </c>
      <c r="H862" s="14" t="inlineStr">
        <is>
          <t>NUK</t>
        </is>
      </c>
      <c r="I862" s="14" t="inlineStr">
        <is>
          <t>NUK Kühlbeißring-Set, 2-teilig, Classic und Cool, zur Massage und Kühlung, 1 Set, BPA frei, farblich sortiert</t>
        </is>
      </c>
      <c r="J862" s="14" t="inlineStr">
        <is>
          <t>No</t>
        </is>
      </c>
      <c r="K862" s="14" t="inlineStr">
        <is>
          <t>https://www.amazon.de/NUK-10256225-K%C3%BChlbei%C3%9Fring-Set-2-teilig-farblich/dp/B000N22JWC/ref=sr_1_1?__mk_de_DE=%C3%85M%C3%85%C5%BD%C3%95%C3%91&amp;crid=1AQ1LNGBLJ3W6&amp;dib=eyJ2IjoiMSJ9.xu_-I4p4WZXPnHZVZ5wJpg.BW2MuWdn2YGeF1GiA8EV7d_bM-gOYuSz5tiNdHEiAyg&amp;dib_tag=se&amp;keywords=4008600083764&amp;qid=1758825808&amp;sprefix=4008600083764%2Caps%2C74&amp;sr=8-1</t>
        </is>
      </c>
      <c r="L862" s="14" t="inlineStr">
        <is>
          <t>B000N22JWC</t>
        </is>
      </c>
      <c r="M862" s="15" t="n"/>
      <c r="N862" s="15" t="n"/>
      <c r="O862" s="15" t="n">
        <v>9.699999999999999</v>
      </c>
      <c r="P862" s="15">
        <f>O862/1.19</f>
        <v/>
      </c>
      <c r="Q862" s="15">
        <f>O862-P862</f>
        <v/>
      </c>
      <c r="R862" s="15">
        <f>O862*0.15</f>
        <v/>
      </c>
      <c r="S862" s="15" t="n">
        <v>3.94</v>
      </c>
      <c r="T862" s="15">
        <f>S862*0.2</f>
        <v/>
      </c>
      <c r="U862" s="15" t="n">
        <v>0.400000000000002</v>
      </c>
      <c r="V862" s="15" t="n">
        <v>2.2</v>
      </c>
      <c r="W862" s="15">
        <f>V862*0.2</f>
        <v/>
      </c>
      <c r="X862" s="16">
        <f>O862-Q862-R862-S862-U862-V862+T862+W862</f>
        <v/>
      </c>
      <c r="Y862" s="14" t="n"/>
      <c r="Z862" s="15">
        <f>O862+1.5</f>
        <v/>
      </c>
      <c r="AA862" s="15" t="n"/>
      <c r="AB862" s="15" t="n"/>
      <c r="AC862" s="14" t="n"/>
      <c r="AD862" s="14" t="n"/>
      <c r="AE862" s="13" t="inlineStr">
        <is>
          <t>NOT_UPLOADED</t>
        </is>
      </c>
    </row>
    <row r="863" ht="16" customHeight="1">
      <c r="A863" s="17" t="n"/>
      <c r="B863" s="17" t="n">
        <v>4008600276647</v>
      </c>
      <c r="C863" s="13" t="n"/>
      <c r="D863" s="18" t="n"/>
      <c r="E863" s="18" t="n"/>
      <c r="F863" s="17" t="n">
        <v>10256455</v>
      </c>
      <c r="G863" s="18" t="inlineStr">
        <is>
          <t>BEBOLINO</t>
        </is>
      </c>
      <c r="H863" s="18" t="inlineStr">
        <is>
          <t>NUK</t>
        </is>
      </c>
      <c r="I863" s="18" t="inlineStr">
        <is>
          <t>NUK Beißring Set mit verschiedenen Oberflächen, ab 0 Monaten, 2 stück, mehrfarbig</t>
        </is>
      </c>
      <c r="J863" s="18" t="inlineStr">
        <is>
          <t>No</t>
        </is>
      </c>
      <c r="K863" s="18" t="inlineStr">
        <is>
          <t>https://www.amazon.de/NUK-10256455-verschiedenen-Oberfl%C3%A4chen-mehrfarbig/dp/B0793J1FL1/ref=sr_1_1?__mk_de_DE=%C3%85M%C3%85%C5%BD%C3%95%C3%91&amp;crid=2V01U4W68KKDB&amp;dib=eyJ2IjoiMSJ9.AEbHYOiEoqkSBGRll6wQpA.b4-KFNwgkWPgtp4CN0J-iDmf2gGZ8fo_ww1swnIPOic&amp;dib_tag=se&amp;keywords=4008600276647&amp;qid=1758826136&amp;sprefix=4008600276647%2Caps%2C377&amp;sr=8-1</t>
        </is>
      </c>
      <c r="L863" s="18" t="inlineStr">
        <is>
          <t>B0793J1FL1</t>
        </is>
      </c>
      <c r="M863" s="19" t="n"/>
      <c r="N863" s="19" t="n"/>
      <c r="O863" s="19" t="n">
        <v>6.6</v>
      </c>
      <c r="P863" s="19">
        <f>O863/1.19</f>
        <v/>
      </c>
      <c r="Q863" s="19">
        <f>O863-P863</f>
        <v/>
      </c>
      <c r="R863" s="19">
        <f>O863*0.15</f>
        <v/>
      </c>
      <c r="S863" s="19" t="n">
        <v>1.97</v>
      </c>
      <c r="T863" s="19">
        <f>S863*0.2</f>
        <v/>
      </c>
      <c r="U863" s="19" t="n">
        <v>0.400000000000002</v>
      </c>
      <c r="V863" s="19" t="n">
        <v>2</v>
      </c>
      <c r="W863" s="19">
        <f>V863*0.2</f>
        <v/>
      </c>
      <c r="X863" s="22">
        <f>O863-Q863-R863-S863-U863-V863+T863+W863</f>
        <v/>
      </c>
      <c r="Y863" s="18" t="n"/>
      <c r="Z863" s="19">
        <f>O863+1.5</f>
        <v/>
      </c>
      <c r="AA863" s="19" t="n"/>
      <c r="AB863" s="19" t="n"/>
      <c r="AC863" s="18" t="n"/>
      <c r="AD863" s="18" t="n"/>
      <c r="AE863" s="13" t="inlineStr">
        <is>
          <t>NOT_UPLOADED</t>
        </is>
      </c>
    </row>
    <row r="864" ht="16" customHeight="1">
      <c r="A864" s="12" t="n">
        <v>4008600215769</v>
      </c>
      <c r="B864" s="12" t="n">
        <v>4008600215769</v>
      </c>
      <c r="C864" s="13" t="n"/>
      <c r="D864" s="14" t="n"/>
      <c r="E864" s="14" t="inlineStr">
        <is>
          <t>BEB-4008600215769</t>
        </is>
      </c>
      <c r="F864" s="12" t="n">
        <v>10256396</v>
      </c>
      <c r="G864" s="14" t="inlineStr">
        <is>
          <t>BEBOLINO</t>
        </is>
      </c>
      <c r="H864" s="14" t="inlineStr">
        <is>
          <t>NUK</t>
        </is>
      </c>
      <c r="I864" s="14" t="inlineStr">
        <is>
          <t>NUK Mundpflege-Set mit Baby-Zahnpasta und natürlichem Apfel-Banane Geschmack, incl. Fingerzahnbürste, BPA frei, ohne Fluorid, 1 Stück</t>
        </is>
      </c>
      <c r="J864" s="14" t="inlineStr">
        <is>
          <t>No</t>
        </is>
      </c>
      <c r="K864" s="14" t="inlineStr">
        <is>
          <t>https://www.amazon.de/NUK-10256396-Mundpflege-Set-Baby-Zahnpasta-Fingerzahnb%C3%BCrste/dp/B00SUPCIWU/ref=sr_1_1?__mk_de_DE=%C3%85M%C3%85%C5%BD%C3%95%C3%91&amp;crid=32YP56EV2JTJF&amp;dib=eyJ2IjoiMSJ9.UtugQWMgnNVcpkFfPFgoEA.6LDidUuEHNMbT4pjXuK7Algst7BuaWAGmHtYwngy-5A&amp;dib_tag=se&amp;keywords=4008600215769&amp;qid=1758826396&amp;sprefix=4008600215769%2Caps%2C114&amp;sr=8-1&amp;th=1</t>
        </is>
      </c>
      <c r="L864" s="14" t="inlineStr">
        <is>
          <t>B00SUPCIWU</t>
        </is>
      </c>
      <c r="M864" s="15" t="n"/>
      <c r="N864" s="15" t="n"/>
      <c r="O864" s="15" t="n">
        <v>11.2</v>
      </c>
      <c r="P864" s="15">
        <f>O864/1.19</f>
        <v/>
      </c>
      <c r="Q864" s="15">
        <f>O864-P864</f>
        <v/>
      </c>
      <c r="R864" s="15">
        <f>O864*0.15</f>
        <v/>
      </c>
      <c r="S864" s="15" t="n">
        <v>4.62</v>
      </c>
      <c r="T864" s="15">
        <f>S864*0.2</f>
        <v/>
      </c>
      <c r="U864" s="15" t="n">
        <v>0.400000000000002</v>
      </c>
      <c r="V864" s="15" t="n">
        <v>2.2</v>
      </c>
      <c r="W864" s="15">
        <f>V864*0.2</f>
        <v/>
      </c>
      <c r="X864" s="16">
        <f>O864-Q864-R864-S864-U864-V864+T864+W864</f>
        <v/>
      </c>
      <c r="Y864" s="14" t="n"/>
      <c r="Z864" s="15">
        <f>O864+1.5</f>
        <v/>
      </c>
      <c r="AA864" s="15" t="n"/>
      <c r="AB864" s="15" t="n"/>
      <c r="AC864" s="14" t="n"/>
      <c r="AD864" s="14" t="n"/>
      <c r="AE864" s="13" t="inlineStr">
        <is>
          <t>NOT_UPLOADED</t>
        </is>
      </c>
    </row>
    <row r="865" ht="16" customHeight="1">
      <c r="A865" s="17" t="n"/>
      <c r="B865" s="17" t="n">
        <v>4008600271482</v>
      </c>
      <c r="C865" s="20" t="inlineStr">
        <is>
          <t>GREEN</t>
        </is>
      </c>
      <c r="D865" s="18" t="inlineStr">
        <is>
          <t>Approval required</t>
        </is>
      </c>
      <c r="E865" s="18" t="n"/>
      <c r="F865" s="17" t="n">
        <v>10256450</v>
      </c>
      <c r="G865" s="18" t="inlineStr">
        <is>
          <t>BEBOLINO</t>
        </is>
      </c>
      <c r="H865" s="18" t="inlineStr">
        <is>
          <t>NUK</t>
        </is>
      </c>
      <c r="I865" s="18" t="inlineStr">
        <is>
          <t>NUK Extra Cool Beißring mit Kühl- und Massageeffekt, ab 3 Monaten, 1 stück, mehrfarbig</t>
        </is>
      </c>
      <c r="J865" s="18" t="inlineStr">
        <is>
          <t>No</t>
        </is>
      </c>
      <c r="K865" s="18" t="inlineStr">
        <is>
          <t>https://www.amazon.de/NUK-10256450-Bei%C3%9Fring-Massageeffekt-mehrfarbig/dp/B0793DGX6F/ref=sr_1_1?__mk_de_DE=%C3%85M%C3%85%C5%BD%C3%95%C3%91&amp;crid=LVUBUYRWKLW3&amp;dib=eyJ2IjoiMSJ9.8AS4yZpsHwdl5fTPAX5wpQ.akbjC8tdtFklAz9Y3sfZZSfEcqKVHepN_kjJmfPyLDo&amp;dib_tag=se&amp;keywords=4008600271482&amp;qid=1758826601&amp;sprefix=4008600271482%2Caps%2C113&amp;sr=8-1&amp;th=1</t>
        </is>
      </c>
      <c r="L865" s="18" t="inlineStr">
        <is>
          <t>B0793DGX6F</t>
        </is>
      </c>
      <c r="M865" s="19" t="n"/>
      <c r="N865" s="19" t="n"/>
      <c r="O865" s="19" t="n">
        <v>9.99</v>
      </c>
      <c r="P865" s="19">
        <f>O865/1.19</f>
        <v/>
      </c>
      <c r="Q865" s="19">
        <f>O865-P865</f>
        <v/>
      </c>
      <c r="R865" s="19">
        <f>O865*0.15</f>
        <v/>
      </c>
      <c r="S865" s="19" t="n">
        <v>4.1</v>
      </c>
      <c r="T865" s="19">
        <f>S865*0.2</f>
        <v/>
      </c>
      <c r="U865" s="19" t="n">
        <v>0.400000000000002</v>
      </c>
      <c r="V865" s="19" t="n">
        <v>2</v>
      </c>
      <c r="W865" s="19">
        <f>V865*0.2</f>
        <v/>
      </c>
      <c r="X865" s="16">
        <f>O865-Q865-R865-S865-U865-V865+T865+W865</f>
        <v/>
      </c>
      <c r="Y865" s="18" t="n"/>
      <c r="Z865" s="19">
        <f>O865+1.5</f>
        <v/>
      </c>
      <c r="AA865" s="19" t="n"/>
      <c r="AB865" s="19" t="n"/>
      <c r="AC865" s="18" t="n"/>
      <c r="AD865" s="18" t="n"/>
      <c r="AE865" s="13" t="inlineStr">
        <is>
          <t>NOT_UPLOADED</t>
        </is>
      </c>
    </row>
    <row r="866" ht="16" customHeight="1">
      <c r="A866" s="12" t="n"/>
      <c r="B866" s="12" t="n">
        <v>4008600271451</v>
      </c>
      <c r="C866" s="13" t="n"/>
      <c r="D866" s="14" t="n"/>
      <c r="E866" s="14" t="n"/>
      <c r="F866" s="12" t="n">
        <v>10256451</v>
      </c>
      <c r="G866" s="14" t="inlineStr">
        <is>
          <t>BEBOLINO</t>
        </is>
      </c>
      <c r="H866" s="14" t="inlineStr">
        <is>
          <t>NUK</t>
        </is>
      </c>
      <c r="I866" s="14" t="inlineStr">
        <is>
          <t>NUK Cool All-Around Beißring mit Kühlelementen, ab 3 Monaten, 1 stück, mehrfarbig</t>
        </is>
      </c>
      <c r="J866" s="14" t="inlineStr">
        <is>
          <t>No</t>
        </is>
      </c>
      <c r="K866" s="14" t="inlineStr">
        <is>
          <t>https://www.amazon.de/NUK-10256451-All-Around-K%C3%BChlelementen-mehrfarbig/dp/B0793FP4VW/ref=sr_1_1?__mk_de_DE=%C3%85M%C3%85%C5%BD%C3%95%C3%91&amp;crid=33JVEFDS67QLW&amp;dib=eyJ2IjoiMSJ9.-jDK1tnu6pNnr17xYoU7YA.-naR1KqGM3nMQ7z4Z6IUbSJNapHaExeKju-OjLPxNyg&amp;dib_tag=se&amp;keywords=4008600271451&amp;qid=1758826929&amp;sprefix=4008600271451%2Caps%2C151&amp;sr=8-1&amp;th=1</t>
        </is>
      </c>
      <c r="L866" s="14" t="inlineStr">
        <is>
          <t>B0793FP4VW</t>
        </is>
      </c>
      <c r="M866" s="15" t="n">
        <v>10.59</v>
      </c>
      <c r="N866" s="15" t="n"/>
      <c r="O866" s="15" t="n">
        <v>10.19</v>
      </c>
      <c r="P866" s="15">
        <f>O866/1.19</f>
        <v/>
      </c>
      <c r="Q866" s="15">
        <f>O866-P866</f>
        <v/>
      </c>
      <c r="R866" s="15">
        <f>O866*0.15</f>
        <v/>
      </c>
      <c r="S866" s="15" t="n">
        <v>4.1</v>
      </c>
      <c r="T866" s="15">
        <f>S866*0.2</f>
        <v/>
      </c>
      <c r="U866" s="15" t="n">
        <v>0.400000000000002</v>
      </c>
      <c r="V866" s="15" t="n">
        <v>2.2</v>
      </c>
      <c r="W866" s="15">
        <f>V866*0.2</f>
        <v/>
      </c>
      <c r="X866" s="16">
        <f>O866-Q866-R866-S866-U866-V866+T866+W866</f>
        <v/>
      </c>
      <c r="Y866" s="14" t="n"/>
      <c r="Z866" s="15">
        <f>O866+1.5</f>
        <v/>
      </c>
      <c r="AA866" s="15" t="n"/>
      <c r="AB866" s="15" t="n"/>
      <c r="AC866" s="14" t="n"/>
      <c r="AD866" s="14" t="n"/>
      <c r="AE866" s="13" t="inlineStr">
        <is>
          <t>NOT_UPLOADED</t>
        </is>
      </c>
    </row>
    <row r="867" ht="16" customHeight="1">
      <c r="A867" s="17" t="n"/>
      <c r="B867" s="17" t="n">
        <v>4008600436416</v>
      </c>
      <c r="C867" s="13" t="n"/>
      <c r="D867" s="18" t="n"/>
      <c r="E867" s="18" t="n"/>
      <c r="F867" s="17" t="n">
        <v>10252147</v>
      </c>
      <c r="G867" s="18" t="inlineStr">
        <is>
          <t>BEBOLINO</t>
        </is>
      </c>
      <c r="H867" s="18" t="inlineStr">
        <is>
          <t>NUK</t>
        </is>
      </c>
      <c r="I867" s="18" t="inlineStr">
        <is>
          <t>NUK Handmilchpumpe | Weiches Silikonkissen | Ergonomischer Pumphebel | Mit Perfect Match Babyflasche | 150 ml</t>
        </is>
      </c>
      <c r="J867" s="18" t="inlineStr">
        <is>
          <t>No</t>
        </is>
      </c>
      <c r="K867" s="18" t="inlineStr">
        <is>
          <t>https://www.amazon.de/NUK-Handmilchpumpe-inkl-Perfect-Babyflasche/dp/B0CLS67NL3/ref=sr_1_1?__mk_de_DE=%C3%85M%C3%85%C5%BD%C3%95%C3%91&amp;crid=MQCK6HCLSX9W&amp;dib=eyJ2IjoiMSJ9.A1gjYkEYbQPY0uvtknESDQ.W9hQQEHlpqCtbwL8O_0VennJ0rjQ7xbHwxFt67bXa9g&amp;dib_tag=se&amp;keywords=4008600436416&amp;qid=1758998665&amp;sprefix=4008600436416%2Caps%2C134&amp;sr=8-1&amp;th=1</t>
        </is>
      </c>
      <c r="L867" s="18" t="inlineStr">
        <is>
          <t>B0CLS67NL3</t>
        </is>
      </c>
      <c r="M867" s="19" t="n">
        <v>47.93</v>
      </c>
      <c r="N867" s="19" t="n"/>
      <c r="O867" s="19" t="n">
        <v>47</v>
      </c>
      <c r="P867" s="19">
        <f>O867/1.19</f>
        <v/>
      </c>
      <c r="Q867" s="19">
        <f>O867-P867</f>
        <v/>
      </c>
      <c r="R867" s="19">
        <f>O867*0.15</f>
        <v/>
      </c>
      <c r="S867" s="19" t="n">
        <v>26.08</v>
      </c>
      <c r="T867" s="19">
        <f>S867*0.2</f>
        <v/>
      </c>
      <c r="U867" s="19" t="n">
        <v>0.400000000000002</v>
      </c>
      <c r="V867" s="19" t="n">
        <v>7</v>
      </c>
      <c r="W867" s="19">
        <f>V867*0.2</f>
        <v/>
      </c>
      <c r="X867" s="21">
        <f>O867-Q867-R867-S867-U867-V867+T867+W867</f>
        <v/>
      </c>
      <c r="Y867" s="18" t="n"/>
      <c r="Z867" s="19">
        <f>O867+1.5</f>
        <v/>
      </c>
      <c r="AA867" s="19" t="n"/>
      <c r="AB867" s="19" t="n"/>
      <c r="AC867" s="18" t="n"/>
      <c r="AD867" s="18" t="n"/>
      <c r="AE867" s="13" t="inlineStr">
        <is>
          <t>NOT_UPLOADED</t>
        </is>
      </c>
    </row>
    <row r="868" ht="16" customHeight="1">
      <c r="A868" s="12" t="n">
        <v>4008600149842</v>
      </c>
      <c r="B868" s="12" t="n">
        <v>4008600149842</v>
      </c>
      <c r="C868" s="13" t="n"/>
      <c r="D868" s="14" t="n"/>
      <c r="E868" s="14" t="inlineStr">
        <is>
          <t>BEB-4008600149842</t>
        </is>
      </c>
      <c r="F868" s="12" t="n">
        <v>10252086</v>
      </c>
      <c r="G868" s="14" t="inlineStr">
        <is>
          <t>BEBOLINO</t>
        </is>
      </c>
      <c r="H868" s="14" t="inlineStr">
        <is>
          <t>NUK</t>
        </is>
      </c>
      <c r="I868" s="14" t="inlineStr">
        <is>
          <t>NUK Soft und Easy Handmilchpumpe aus PP, manuelle Kolbenpumpe mit extra weichem Silikonkissen, BPA-frei</t>
        </is>
      </c>
      <c r="J868" s="14" t="inlineStr">
        <is>
          <t>No</t>
        </is>
      </c>
      <c r="K868" s="14" t="inlineStr">
        <is>
          <t>https://www.amazon.de/NUK-10252086-Handmilchpumpe-Kolbenpumpe-Silikonkissen/dp/B006IKTTYY/ref=sr_1_1?__mk_de_DE=%C3%85M%C3%85%C5%BD%C3%95%C3%91&amp;crid=28YSD365TB200&amp;dib=eyJ2IjoiMSJ9.dFh6ur3OjbvCDJ6r7CjT7A.cOVnfdfcOTGB0BXpVXgy1hbbj88eXf3byiWDh5GPqGc&amp;dib_tag=se&amp;keywords=4008600149842&amp;qid=1758998809&amp;sprefix=4008600149842%2Caps%2C122&amp;sr=8-1</t>
        </is>
      </c>
      <c r="L868" s="14" t="inlineStr">
        <is>
          <t>B006IKTTYY</t>
        </is>
      </c>
      <c r="M868" s="15" t="n">
        <v>25.28</v>
      </c>
      <c r="N868" s="15" t="n"/>
      <c r="O868" s="15" t="n">
        <v>25.25</v>
      </c>
      <c r="P868" s="15">
        <f>O868/1.19</f>
        <v/>
      </c>
      <c r="Q868" s="15">
        <f>O868-P868</f>
        <v/>
      </c>
      <c r="R868" s="15">
        <f>O868*0.15</f>
        <v/>
      </c>
      <c r="S868" s="15" t="n">
        <v>12.79</v>
      </c>
      <c r="T868" s="15">
        <f>S868*0.2</f>
        <v/>
      </c>
      <c r="U868" s="15" t="n">
        <v>0.400000000000002</v>
      </c>
      <c r="V868" s="15" t="n">
        <v>4.2</v>
      </c>
      <c r="W868" s="15">
        <f>V868*0.2</f>
        <v/>
      </c>
      <c r="X868" s="21">
        <f>O868-Q868-R868-S868-U868-V868+T868+W868</f>
        <v/>
      </c>
      <c r="Y868" s="14" t="n"/>
      <c r="Z868" s="15">
        <f>O868+1.5</f>
        <v/>
      </c>
      <c r="AA868" s="15" t="n"/>
      <c r="AB868" s="15" t="n"/>
      <c r="AC868" s="14" t="n"/>
      <c r="AD868" s="14" t="n"/>
      <c r="AE868" s="13" t="inlineStr">
        <is>
          <t>NOT_UPLOADED</t>
        </is>
      </c>
    </row>
    <row r="869" ht="16" customHeight="1">
      <c r="A869" s="17" t="n">
        <v>4008600090212</v>
      </c>
      <c r="B869" s="17" t="n">
        <v>4008600090212</v>
      </c>
      <c r="C869" s="13" t="n"/>
      <c r="D869" s="18" t="n"/>
      <c r="E869" s="18" t="inlineStr">
        <is>
          <t>BEB-4008600090212</t>
        </is>
      </c>
      <c r="F869" s="17" t="n">
        <v>10252067</v>
      </c>
      <c r="G869" s="18" t="inlineStr">
        <is>
          <t>BEBOLINO</t>
        </is>
      </c>
      <c r="H869" s="18" t="inlineStr">
        <is>
          <t>NUK</t>
        </is>
      </c>
      <c r="I869" s="18" t="inlineStr">
        <is>
          <t>NUK Brustschalen-Set, 6-teiliges Komplett-Set</t>
        </is>
      </c>
      <c r="J869" s="18" t="inlineStr">
        <is>
          <t>No</t>
        </is>
      </c>
      <c r="K869" s="18" t="inlineStr">
        <is>
          <t>https://www.amazon.de/NUK-10252067-Brustschalen-Set-6-teiliges-Komplett-Set/dp/B000OKLPUA/ref=sr_1_1?__mk_de_DE=%C3%85M%C3%85%C5%BD%C3%95%C3%91&amp;crid=2K2PWEATFEZGY&amp;dib=eyJ2IjoiMSJ9.JrYm6qSQbTyaldcOTZW_-w.c1y0nzHEsGJvpKWWO2fwL1jK3fukz_gRyRpyPT5zgYw&amp;dib_tag=se&amp;keywords=4008600090212&amp;qid=1758999111&amp;sprefix=4008600090212%2Caps%2C93&amp;sr=8-1</t>
        </is>
      </c>
      <c r="L869" s="18" t="inlineStr">
        <is>
          <t>B000OKLPUA</t>
        </is>
      </c>
      <c r="M869" s="19" t="n">
        <v>20.03</v>
      </c>
      <c r="N869" s="19" t="n"/>
      <c r="O869" s="19" t="n">
        <v>20</v>
      </c>
      <c r="P869" s="19">
        <f>O869/1.19</f>
        <v/>
      </c>
      <c r="Q869" s="19">
        <f>O869-P869</f>
        <v/>
      </c>
      <c r="R869" s="19">
        <f>O869*0.15</f>
        <v/>
      </c>
      <c r="S869" s="19" t="n">
        <v>9.52</v>
      </c>
      <c r="T869" s="19">
        <f>S869*0.2</f>
        <v/>
      </c>
      <c r="U869" s="19" t="n">
        <v>0.400000000000002</v>
      </c>
      <c r="V869" s="19" t="n">
        <v>2.7</v>
      </c>
      <c r="W869" s="19">
        <f>V869*0.2</f>
        <v/>
      </c>
      <c r="X869" s="21">
        <f>O869-Q869-R869-S869-U869-V869+T869+W869</f>
        <v/>
      </c>
      <c r="Y869" s="18" t="n"/>
      <c r="Z869" s="19">
        <f>O869+1.5</f>
        <v/>
      </c>
      <c r="AA869" s="19" t="n"/>
      <c r="AB869" s="19" t="n"/>
      <c r="AC869" s="18" t="n"/>
      <c r="AD869" s="18" t="n"/>
      <c r="AE869" s="13" t="inlineStr">
        <is>
          <t>NOT_UPLOADED</t>
        </is>
      </c>
    </row>
    <row r="870" ht="16" customHeight="1">
      <c r="A870" s="12" t="n">
        <v>4008600142812</v>
      </c>
      <c r="B870" s="12" t="n">
        <v>4008600181316</v>
      </c>
      <c r="C870" s="13" t="n"/>
      <c r="D870" s="14" t="n"/>
      <c r="E870" s="14" t="inlineStr">
        <is>
          <t>BEB-4008600142812</t>
        </is>
      </c>
      <c r="F870" s="12" t="n">
        <v>10256342</v>
      </c>
      <c r="G870" s="14" t="inlineStr">
        <is>
          <t>BEBOLINO</t>
        </is>
      </c>
      <c r="H870" s="14" t="inlineStr">
        <is>
          <t>NUK</t>
        </is>
      </c>
      <c r="I870" s="14" t="inlineStr">
        <is>
          <t>Mapa NUK Milchpulver-Portionierer</t>
        </is>
      </c>
      <c r="J870" s="14" t="inlineStr">
        <is>
          <t>No</t>
        </is>
      </c>
      <c r="K870" s="14" t="inlineStr">
        <is>
          <t>https://www.amazon.de/Mapa-Milchpulver-Portionierer-Farblich-Sortiert/dp/B00H5AQZ5M/ref=sr_1_3?__mk_de_DE=%C3%85M%C3%85%C5%BD%C3%95%C3%91&amp;crid=SXYZ1V0URWBT&amp;dib=eyJ2IjoiMSJ9.WPTC_pG7jtfpkmhH-UYjBfdCVBlp5_6n5vIdym9WihXMnNMmVBHh7VEI3G1dgxyaNjA0BIK5KvZVT0653U4qmLAi2LCFY47BN87Ay7fuDmn_EmNUBS2BSaIyFBoWy_liTpe79ZO3GQ3ycVQXmxhA6iomEvL7J6Ao1xKe6qrnHHPLy5UTGW1g6dLf0htAIq9ik8hAmfe92Rj9DpvoPSOd6IM_reS4_-_bvoXSprkxCDZ3Ie-Xs4Xjh3x9Is11qULFPo9pqYMMyf0EpZnDg498eZrOdq-AnxiW9P5gLSWD2Fg.tRQHDCsN709atEw8djZb1UxMfzVelamwp6DrAnUtGwI&amp;dib_tag=se&amp;keywords=NUK+Milchpulver&amp;qid=1759000956&amp;sprefix=nuk+milchpulver%2Caps%2C67&amp;sr=8-3</t>
        </is>
      </c>
      <c r="L870" s="14" t="inlineStr">
        <is>
          <t>B00H5AQZ5M</t>
        </is>
      </c>
      <c r="M870" s="15" t="n"/>
      <c r="N870" s="15" t="n"/>
      <c r="O870" s="15" t="n">
        <v>14.1</v>
      </c>
      <c r="P870" s="15">
        <f>O870/1.19</f>
        <v/>
      </c>
      <c r="Q870" s="15">
        <f>O870-P870</f>
        <v/>
      </c>
      <c r="R870" s="15">
        <f>O870*0.15</f>
        <v/>
      </c>
      <c r="S870" s="15" t="n">
        <v>4.61</v>
      </c>
      <c r="T870" s="15">
        <f>S870*0.2</f>
        <v/>
      </c>
      <c r="U870" s="15" t="n">
        <v>0.400000000000002</v>
      </c>
      <c r="V870" s="15" t="n">
        <v>3.5</v>
      </c>
      <c r="W870" s="15">
        <f>V870*0.2</f>
        <v/>
      </c>
      <c r="X870" s="21">
        <f>O870-Q870-R870-S870-U870-V870+T870+W870</f>
        <v/>
      </c>
      <c r="Y870" s="14" t="n"/>
      <c r="Z870" s="15">
        <f>O870+1.5</f>
        <v/>
      </c>
      <c r="AA870" s="15" t="n"/>
      <c r="AB870" s="15" t="n"/>
      <c r="AC870" s="14" t="n"/>
      <c r="AD870" s="14" t="n"/>
      <c r="AE870" s="13" t="inlineStr">
        <is>
          <t>NOT_UPLOADED</t>
        </is>
      </c>
    </row>
    <row r="871" ht="16" customHeight="1">
      <c r="A871" s="17" t="n">
        <v>4008600181316</v>
      </c>
      <c r="B871" s="17" t="n">
        <v>4008600181316</v>
      </c>
      <c r="C871" s="13" t="n"/>
      <c r="D871" s="18" t="n"/>
      <c r="E871" s="18" t="inlineStr">
        <is>
          <t>BEB-4008600181316</t>
        </is>
      </c>
      <c r="F871" s="17" t="n">
        <v>10256342</v>
      </c>
      <c r="G871" s="18" t="inlineStr">
        <is>
          <t>BEBOLINO</t>
        </is>
      </c>
      <c r="H871" s="18" t="inlineStr">
        <is>
          <t>NUK</t>
        </is>
      </c>
      <c r="I871" s="18" t="inlineStr">
        <is>
          <t>NUK Milchpulver-Portionierer | BPA-frei, 3 Stück (1er Pack) | petrol Farbe</t>
        </is>
      </c>
      <c r="J871" s="18" t="inlineStr">
        <is>
          <t>No</t>
        </is>
      </c>
      <c r="K871" s="18" t="inlineStr">
        <is>
          <t>https://www.amazon.de/NUK-10256342-Milchpulver-Portionierer-BPA-frei-petrol/dp/B00E4T3R9Y/ref=sr_1_1?__mk_de_DE=%C3%85M%C3%85%C5%BD%C3%95%C3%91&amp;crid=SXYZ1V0URWBT&amp;dib=eyJ2IjoiMSJ9.WPTC_pG7jtfpkmhH-UYjBfdCVBlp5_6n5vIdym9WihXMnNMmVBHh7VEI3G1dgxyaNjA0BIK5KvZVT0653U4qmLAi2LCFY47BN87Ay7fuDmn_EmNUBS2BSaIyFBoWy_liTpe79ZO3GQ3ycVQXmxhA6iomEvL7J6Ao1xKe6qrnHHPLy5UTGW1g6dLf0htAIq9ik8hAmfe92Rj9DpvoPSOd6IM_reS4_-_bvoXSprkxCDZ3Ie-Xs4Xjh3x9Is11qULFPo9pqYMMyf0EpZnDg498eZrOdq-AnxiW9P5gLSWD2Fg.tRQHDCsN709atEw8djZb1UxMfzVelamwp6DrAnUtGwI&amp;dib_tag=se&amp;keywords=NUK%2BMilchpulver&amp;qid=1759000956&amp;sprefix=nuk%2Bmilchpulver%2Caps%2C67&amp;sr=8-1&amp;th=1</t>
        </is>
      </c>
      <c r="L871" s="18" t="inlineStr">
        <is>
          <t>B00E4T3R9Y</t>
        </is>
      </c>
      <c r="M871" s="19" t="n"/>
      <c r="N871" s="19" t="n"/>
      <c r="O871" s="19" t="n">
        <v>13.99</v>
      </c>
      <c r="P871" s="19">
        <f>O871/1.19</f>
        <v/>
      </c>
      <c r="Q871" s="19">
        <f>O871-P871</f>
        <v/>
      </c>
      <c r="R871" s="19">
        <f>O871*0.15</f>
        <v/>
      </c>
      <c r="S871" s="19" t="n">
        <v>4.61</v>
      </c>
      <c r="T871" s="19">
        <f>S871*0.2</f>
        <v/>
      </c>
      <c r="U871" s="19" t="n">
        <v>0.400000000000002</v>
      </c>
      <c r="V871" s="19" t="n">
        <v>3.5</v>
      </c>
      <c r="W871" s="19">
        <f>V871*0.2</f>
        <v/>
      </c>
      <c r="X871" s="21">
        <f>O871-Q871-R871-S871-U871-V871+T871+W871</f>
        <v/>
      </c>
      <c r="Y871" s="18" t="n"/>
      <c r="Z871" s="19">
        <f>O871+1.5</f>
        <v/>
      </c>
      <c r="AA871" s="19" t="n"/>
      <c r="AB871" s="19" t="n"/>
      <c r="AC871" s="18" t="n"/>
      <c r="AD871" s="18" t="n"/>
      <c r="AE871" s="13" t="inlineStr">
        <is>
          <t>NOT_UPLOADED</t>
        </is>
      </c>
    </row>
    <row r="872" ht="16" customHeight="1">
      <c r="A872" s="12" t="n"/>
      <c r="B872" s="12" t="n">
        <v>4008600097518</v>
      </c>
      <c r="C872" s="13" t="n"/>
      <c r="D872" s="14" t="inlineStr">
        <is>
          <t>Approval required</t>
        </is>
      </c>
      <c r="E872" s="14" t="n"/>
      <c r="F872" s="12" t="n">
        <v>10255065</v>
      </c>
      <c r="G872" s="14" t="inlineStr">
        <is>
          <t>BEBOLINO</t>
        </is>
      </c>
      <c r="H872" s="14" t="inlineStr">
        <is>
          <t>NUK</t>
        </is>
      </c>
      <c r="I872" s="14" t="inlineStr">
        <is>
          <t>NUK 10255065 - EASY LEARNING Fütterlöffel Soft, extrasoftes Silikon-Löffelteil, langer Anti-Rutsch-Griff, 2 Stück, BPA-frei, Farbe nicht frei wählbar</t>
        </is>
      </c>
      <c r="J872" s="14" t="inlineStr">
        <is>
          <t>No</t>
        </is>
      </c>
      <c r="K872" s="14" t="inlineStr">
        <is>
          <t>https://www.amazon.de/NUK-10255065-F%C3%BCtterl%C3%B6ffel-Silikon-L%C3%B6ffelteil-Anti-Rutsch-Griff/dp/B001AF5JRI/ref=sr_1_1?__mk_de_DE=%C3%85M%C3%85%C5%BD%C3%95%C3%91&amp;crid=J5Z1AIQM2E4X&amp;dib=eyJ2IjoiMSJ9.P7C_4s3Mp0e1CNrD46_-xw.MRxRNbzaxNDSyn0UUct7hbRlXijR7IrCUUndcAFynSA&amp;dib_tag=se&amp;keywords=4008600097518&amp;qid=1759002559&amp;sprefix=4008600097518%2Caps%2C182&amp;sr=8-1</t>
        </is>
      </c>
      <c r="L872" s="14" t="inlineStr">
        <is>
          <t>B001AF5JRI</t>
        </is>
      </c>
      <c r="M872" s="15" t="n"/>
      <c r="N872" s="15" t="n"/>
      <c r="O872" s="15" t="n">
        <v>10.9</v>
      </c>
      <c r="P872" s="15">
        <f>O872/1.19</f>
        <v/>
      </c>
      <c r="Q872" s="15">
        <f>O872-P872</f>
        <v/>
      </c>
      <c r="R872" s="15">
        <f>O872*0.15</f>
        <v/>
      </c>
      <c r="S872" s="15" t="n">
        <v>4.61</v>
      </c>
      <c r="T872" s="15">
        <f>S872*0.2</f>
        <v/>
      </c>
      <c r="U872" s="15" t="n">
        <v>0.400000000000002</v>
      </c>
      <c r="V872" s="15" t="n">
        <v>2.2</v>
      </c>
      <c r="W872" s="15">
        <f>V872*0.2</f>
        <v/>
      </c>
      <c r="X872" s="16">
        <f>O872-Q872-R872-S872-U872-V872+T872+W872</f>
        <v/>
      </c>
      <c r="Y872" s="14" t="n"/>
      <c r="Z872" s="15">
        <f>O872+1.5</f>
        <v/>
      </c>
      <c r="AA872" s="15" t="n"/>
      <c r="AB872" s="15" t="n"/>
      <c r="AC872" s="14" t="n"/>
      <c r="AD872" s="14" t="n"/>
      <c r="AE872" s="13" t="inlineStr">
        <is>
          <t>NOT_UPLOADED</t>
        </is>
      </c>
    </row>
    <row r="873" ht="16" customHeight="1">
      <c r="A873" s="17" t="n">
        <v>4008600199700</v>
      </c>
      <c r="B873" s="17" t="n">
        <v>4008600199700</v>
      </c>
      <c r="C873" s="13" t="n"/>
      <c r="D873" s="18" t="n"/>
      <c r="E873" s="18" t="inlineStr">
        <is>
          <t>BEB-4008600199700</t>
        </is>
      </c>
      <c r="F873" s="17" t="n">
        <v>10256366</v>
      </c>
      <c r="G873" s="18" t="inlineStr">
        <is>
          <t>BEBOLINO</t>
        </is>
      </c>
      <c r="H873" s="18" t="inlineStr">
        <is>
          <t>NUK</t>
        </is>
      </c>
      <c r="I873" s="18" t="inlineStr">
        <is>
          <t>NUK Beckenbodentrainer, unsichtbare Trainingshilfe für die Rückbildung nach der Geburt, hoher Tragekomfort, 1 Stück</t>
        </is>
      </c>
      <c r="J873" s="18" t="inlineStr">
        <is>
          <t>No</t>
        </is>
      </c>
      <c r="K873" s="18" t="inlineStr">
        <is>
          <t>https://www.amazon.de/NUK-10256366-Beckenbodentrainer-Trainingshilfe-Tragekomfort/dp/B00J0W0G8U/ref=sr_1_1?__mk_de_DE=%C3%85M%C3%85%C5%BD%C3%95%C3%91&amp;crid=JUJBJ73OP6QU&amp;dib=eyJ2IjoiMSJ9.QcU4h4UaiXaSofgAQjOI0A.5vlVx-_siEjCSyrtgBeTO94tCtFHbWIZihutPJnkQu4&amp;dib_tag=se&amp;keywords=4008600199700&amp;qid=1759055207&amp;sprefix=4008600199700%2Caps%2C93&amp;sr=8-1</t>
        </is>
      </c>
      <c r="L873" s="18" t="inlineStr">
        <is>
          <t>B00J0W0G8U</t>
        </is>
      </c>
      <c r="M873" s="19" t="n">
        <v>29.4</v>
      </c>
      <c r="N873" s="19" t="n"/>
      <c r="O873" s="19" t="n">
        <v>28.79</v>
      </c>
      <c r="P873" s="19">
        <f>O873/1.19</f>
        <v/>
      </c>
      <c r="Q873" s="19">
        <f>O873-P873</f>
        <v/>
      </c>
      <c r="R873" s="19">
        <f>O873*0.15</f>
        <v/>
      </c>
      <c r="S873" s="19" t="n">
        <v>15.86</v>
      </c>
      <c r="T873" s="19">
        <f>S873*0.2</f>
        <v/>
      </c>
      <c r="U873" s="19" t="n">
        <v>0.400000000000002</v>
      </c>
      <c r="V873" s="19" t="n">
        <v>2.2</v>
      </c>
      <c r="W873" s="19">
        <f>V873*0.2</f>
        <v/>
      </c>
      <c r="X873" s="21">
        <f>O873-Q873-R873-S873-U873-V873+T873+W873</f>
        <v/>
      </c>
      <c r="Y873" s="18" t="n"/>
      <c r="Z873" s="19">
        <f>O873+1.5</f>
        <v/>
      </c>
      <c r="AA873" s="19" t="n"/>
      <c r="AB873" s="19" t="n"/>
      <c r="AC873" s="18" t="n"/>
      <c r="AD873" s="18" t="n"/>
      <c r="AE873" s="13" t="inlineStr">
        <is>
          <t>NOT_UPLOADED</t>
        </is>
      </c>
    </row>
    <row r="874" ht="16" customHeight="1">
      <c r="A874" s="12" t="n">
        <v>4008600119111</v>
      </c>
      <c r="B874" s="12" t="n">
        <v>4008600119111</v>
      </c>
      <c r="C874" s="13" t="n"/>
      <c r="D874" s="14" t="n"/>
      <c r="E874" s="14" t="inlineStr">
        <is>
          <t>BEB-4008600119111</t>
        </is>
      </c>
      <c r="F874" s="12" t="n">
        <v>10256257</v>
      </c>
      <c r="G874" s="14" t="inlineStr">
        <is>
          <t>BEBOLINO</t>
        </is>
      </c>
      <c r="H874" s="14" t="inlineStr">
        <is>
          <t>NUK</t>
        </is>
      </c>
      <c r="I874" s="14" t="inlineStr">
        <is>
          <t>Mapa NUK Sicherheits-Kinderschere - Sortiert, Preis Gilt für 1 Stück</t>
        </is>
      </c>
      <c r="J874" s="14" t="inlineStr">
        <is>
          <t>No</t>
        </is>
      </c>
      <c r="K874" s="14" t="inlineStr">
        <is>
          <t>https://www.amazon.de/NUK-Sicherheits-Kinderschere-1-St/dp/B00RYVXC5I/ref=sr_1_2?__mk_de_DE=%C3%85M%C3%85%C5%BD%C3%95%C3%91&amp;crid=3T469IMTIYHNO&amp;dib=eyJ2IjoiMSJ9.7c9dpqtpQ5F95F1DqH2Mby60e8zfcjb1HTgTzvyvlT4.ZRHoScsfiuiYtF7c_xXvZpFdoroNitjnwltCCIO0Pmw&amp;dib_tag=se&amp;keywords=4008600119111&amp;qid=1759069485&amp;sprefix=4008600119111%2Caps%2C70&amp;sr=8-2</t>
        </is>
      </c>
      <c r="L874" s="14" t="inlineStr">
        <is>
          <t>B00RYVXC5I</t>
        </is>
      </c>
      <c r="M874" s="15" t="n"/>
      <c r="N874" s="15" t="n"/>
      <c r="O874" s="15" t="n">
        <v>8.800000000000001</v>
      </c>
      <c r="P874" s="15">
        <f>O874/1.19</f>
        <v/>
      </c>
      <c r="Q874" s="15">
        <f>O874-P874</f>
        <v/>
      </c>
      <c r="R874" s="15">
        <f>O874*0.15</f>
        <v/>
      </c>
      <c r="S874" s="15" t="n">
        <v>2.64</v>
      </c>
      <c r="T874" s="15">
        <f>S874*0.2</f>
        <v/>
      </c>
      <c r="U874" s="15" t="n">
        <v>0.400000000000002</v>
      </c>
      <c r="V874" s="15" t="n">
        <v>2.2</v>
      </c>
      <c r="W874" s="15">
        <f>V874*0.2</f>
        <v/>
      </c>
      <c r="X874" s="16">
        <f>O874-Q874-R874-S874-U874-V874+T874+W874</f>
        <v/>
      </c>
      <c r="Y874" s="14" t="n"/>
      <c r="Z874" s="15">
        <f>O874+1.5</f>
        <v/>
      </c>
      <c r="AA874" s="15" t="n"/>
      <c r="AB874" s="15" t="n"/>
      <c r="AC874" s="14" t="n"/>
      <c r="AD874" s="14" t="n"/>
      <c r="AE874" s="13" t="inlineStr">
        <is>
          <t>NOT_UPLOADED</t>
        </is>
      </c>
    </row>
    <row r="875" ht="16" customHeight="1">
      <c r="A875" s="17" t="n"/>
      <c r="B875" s="17" t="n">
        <v>4008600119111</v>
      </c>
      <c r="C875" s="13" t="n"/>
      <c r="D875" s="18" t="inlineStr">
        <is>
          <t>Approval required</t>
        </is>
      </c>
      <c r="E875" s="18" t="n"/>
      <c r="F875" s="17" t="n">
        <v>10256257</v>
      </c>
      <c r="G875" s="18" t="inlineStr">
        <is>
          <t>BEBOLINO</t>
        </is>
      </c>
      <c r="H875" s="18" t="inlineStr">
        <is>
          <t>NUK</t>
        </is>
      </c>
      <c r="I875" s="18" t="inlineStr">
        <is>
          <t>NUK Sicherheits-Kinderschere, mit abgerundeten Spitzen und Schutzkappe, Farbe nicht frei wählbar</t>
        </is>
      </c>
      <c r="J875" s="18" t="inlineStr">
        <is>
          <t>No</t>
        </is>
      </c>
      <c r="K875" s="18" t="inlineStr">
        <is>
          <t>https://www.amazon.de/NUK-10256257-Sicherheits-Kinderschere-abgerundeten-Schutzkappe/dp/B003ODB8GU/ref=sr_1_1?__mk_de_DE=%C3%85M%C3%85%C5%BD%C3%95%C3%91&amp;crid=3T469IMTIYHNO&amp;dib=eyJ2IjoiMSJ9.7c9dpqtpQ5F95F1DqH2Mby60e8zfcjb1HTgTzvyvlT4.ZRHoScsfiuiYtF7c_xXvZpFdoroNitjnwltCCIO0Pmw&amp;dib_tag=se&amp;keywords=4008600119111&amp;qid=1759069485&amp;sprefix=4008600119111%2Caps%2C70&amp;sr=8-1</t>
        </is>
      </c>
      <c r="L875" s="18" t="inlineStr">
        <is>
          <t>B003ODB8GU</t>
        </is>
      </c>
      <c r="M875" s="19" t="n"/>
      <c r="N875" s="19" t="n"/>
      <c r="O875" s="19" t="n">
        <v>8.800000000000001</v>
      </c>
      <c r="P875" s="19">
        <f>O875/1.19</f>
        <v/>
      </c>
      <c r="Q875" s="19">
        <f>O875-P875</f>
        <v/>
      </c>
      <c r="R875" s="19">
        <f>O875*0.15</f>
        <v/>
      </c>
      <c r="S875" s="19" t="n">
        <v>2.64</v>
      </c>
      <c r="T875" s="19">
        <f>S875*0.2</f>
        <v/>
      </c>
      <c r="U875" s="19" t="n">
        <v>0.400000000000002</v>
      </c>
      <c r="V875" s="19" t="n">
        <v>2.2</v>
      </c>
      <c r="W875" s="19">
        <f>V875*0.2</f>
        <v/>
      </c>
      <c r="X875" s="16">
        <f>O875-Q875-R875-S875-U875-V875+T875+W875</f>
        <v/>
      </c>
      <c r="Y875" s="18" t="n"/>
      <c r="Z875" s="19">
        <f>O875+1.5</f>
        <v/>
      </c>
      <c r="AA875" s="19" t="n"/>
      <c r="AB875" s="19" t="n"/>
      <c r="AC875" s="18" t="n"/>
      <c r="AD875" s="18" t="n"/>
      <c r="AE875" s="13" t="inlineStr">
        <is>
          <t>NOT_UPLOADED</t>
        </is>
      </c>
    </row>
    <row r="876" ht="16" customHeight="1">
      <c r="A876" s="12" t="n">
        <v>4008600090205</v>
      </c>
      <c r="B876" s="12" t="n">
        <v>4008600090205</v>
      </c>
      <c r="C876" s="13" t="n"/>
      <c r="D876" s="14" t="n"/>
      <c r="E876" s="14" t="inlineStr">
        <is>
          <t>BEB-4008600090205</t>
        </is>
      </c>
      <c r="F876" s="12" t="n">
        <v>10256236</v>
      </c>
      <c r="G876" s="14" t="inlineStr">
        <is>
          <t>BEBOLINO</t>
        </is>
      </c>
      <c r="H876" s="14" t="inlineStr">
        <is>
          <t>NUK</t>
        </is>
      </c>
      <c r="I876" s="14" t="inlineStr">
        <is>
          <t>NUK Babybürste und Kamm, Farbe nicht frei wählbar</t>
        </is>
      </c>
      <c r="J876" s="14" t="inlineStr">
        <is>
          <t>No</t>
        </is>
      </c>
      <c r="K876" s="14" t="inlineStr">
        <is>
          <t>https://www.amazon.de/NUK-10256236-Babyb%C3%BCrste-Farbe-w%C3%A4hlbar/dp/B000M11VF0/ref=sr_1_1?__mk_de_DE=%C3%85M%C3%85%C5%BD%C3%95%C3%91&amp;crid=FR8SEFICYCUB&amp;dib=eyJ2IjoiMSJ9.e1yjeRGodziukUNNE8LjWH9_QvmWFzXFtL5f6KlpPK8.W-WcqXD7TLAOLNoFB2fHft-VcRmM-EGoMprzT0hIaYk&amp;dib_tag=se&amp;keywords=4008600090205&amp;qid=1759069834&amp;sprefix=4008600090205%2Caps%2C64&amp;sr=8-1</t>
        </is>
      </c>
      <c r="L876" s="14" t="inlineStr">
        <is>
          <t>B000M11VF0</t>
        </is>
      </c>
      <c r="M876" s="15" t="n"/>
      <c r="N876" s="15" t="n"/>
      <c r="O876" s="15" t="n">
        <v>9.99</v>
      </c>
      <c r="P876" s="15">
        <f>O876/1.19</f>
        <v/>
      </c>
      <c r="Q876" s="15">
        <f>O876-P876</f>
        <v/>
      </c>
      <c r="R876" s="15">
        <f>O876*0.15</f>
        <v/>
      </c>
      <c r="S876" s="15" t="n">
        <v>4.1</v>
      </c>
      <c r="T876" s="15">
        <f>S876*0.2</f>
        <v/>
      </c>
      <c r="U876" s="15" t="n">
        <v>0.400000000000002</v>
      </c>
      <c r="V876" s="15" t="n">
        <v>2.2</v>
      </c>
      <c r="W876" s="15">
        <f>V876*0.2</f>
        <v/>
      </c>
      <c r="X876" s="16">
        <f>O876-Q876-R876-S876-U876-V876+T876+W876</f>
        <v/>
      </c>
      <c r="Y876" s="14" t="n"/>
      <c r="Z876" s="15">
        <f>O876+1.5</f>
        <v/>
      </c>
      <c r="AA876" s="15" t="n"/>
      <c r="AB876" s="15" t="n"/>
      <c r="AC876" s="14" t="n"/>
      <c r="AD876" s="14" t="n"/>
      <c r="AE876" s="13" t="inlineStr">
        <is>
          <t>NOT_UPLOADED</t>
        </is>
      </c>
    </row>
    <row r="877" ht="16" customHeight="1">
      <c r="A877" s="17" t="n">
        <v>4008600202912</v>
      </c>
      <c r="B877" s="17" t="n">
        <v>4008600202912</v>
      </c>
      <c r="C877" s="13" t="n"/>
      <c r="D877" s="18" t="n"/>
      <c r="E877" s="18" t="inlineStr">
        <is>
          <t>BEB-4008600202912</t>
        </is>
      </c>
      <c r="F877" s="17" t="n">
        <v>10256371</v>
      </c>
      <c r="G877" s="18" t="inlineStr">
        <is>
          <t>BEBOLINO</t>
        </is>
      </c>
      <c r="H877" s="18" t="inlineStr">
        <is>
          <t>NUK</t>
        </is>
      </c>
      <c r="I877" s="18" t="inlineStr">
        <is>
          <t>Nuk Babybürste"Supersoft" - farbig sortiert, mehrfarbig</t>
        </is>
      </c>
      <c r="J877" s="18" t="inlineStr">
        <is>
          <t>No</t>
        </is>
      </c>
      <c r="K877" s="18" t="inlineStr">
        <is>
          <t>https://www.amazon.de/Nuk-10256371-Babyb%C3%BCrste-Supersoft-mehrfarbig/dp/B00TWOJ92U/ref=sr_1_1?__mk_de_DE=%C3%85M%C3%85%C5%BD%C3%95%C3%91&amp;crid=3LQ0A62WH4CPJ&amp;dib=eyJ2IjoiMSJ9.rEz_O2yRQzs8jIFFxx2Nlw.lKphKNZt9TpXPi1rL-Fg8Wvjtq2oRZcBteGhWlgHBk4&amp;dib_tag=se&amp;keywords=4008600202912&amp;qid=1759069970&amp;sprefix=4008600202912%2Caps%2C101&amp;sr=8-1</t>
        </is>
      </c>
      <c r="L877" s="18" t="inlineStr">
        <is>
          <t>B00TWOJ92U</t>
        </is>
      </c>
      <c r="M877" s="19" t="n"/>
      <c r="N877" s="19" t="n"/>
      <c r="O877" s="19" t="n">
        <v>11.5</v>
      </c>
      <c r="P877" s="19">
        <f>O877/1.19</f>
        <v/>
      </c>
      <c r="Q877" s="19">
        <f>O877-P877</f>
        <v/>
      </c>
      <c r="R877" s="19">
        <f>O877*0.15</f>
        <v/>
      </c>
      <c r="S877" s="19" t="n">
        <v>4.1</v>
      </c>
      <c r="T877" s="19">
        <f>S877*0.2</f>
        <v/>
      </c>
      <c r="U877" s="19" t="n">
        <v>0.400000000000002</v>
      </c>
      <c r="V877" s="19" t="n">
        <v>2.2</v>
      </c>
      <c r="W877" s="19">
        <f>V877*0.2</f>
        <v/>
      </c>
      <c r="X877" s="21">
        <f>O877-Q877-R877-S877-U877-V877+T877+W877</f>
        <v/>
      </c>
      <c r="Y877" s="18" t="n"/>
      <c r="Z877" s="19">
        <f>O877+1.5</f>
        <v/>
      </c>
      <c r="AA877" s="19" t="n"/>
      <c r="AB877" s="19" t="n"/>
      <c r="AC877" s="18" t="n"/>
      <c r="AD877" s="18" t="n"/>
      <c r="AE877" s="13" t="inlineStr">
        <is>
          <t>NOT_UPLOADED</t>
        </is>
      </c>
    </row>
    <row r="878" ht="16" customHeight="1">
      <c r="A878" s="12" t="n"/>
      <c r="B878" s="12" t="n">
        <v>4008600396789</v>
      </c>
      <c r="C878" s="13" t="n"/>
      <c r="D878" s="14" t="inlineStr">
        <is>
          <t>Approval required</t>
        </is>
      </c>
      <c r="E878" s="14" t="inlineStr">
        <is>
          <t>to be upload</t>
        </is>
      </c>
      <c r="F878" s="12" t="n">
        <v>10256495</v>
      </c>
      <c r="G878" s="14" t="inlineStr">
        <is>
          <t>BEBOLINO</t>
        </is>
      </c>
      <c r="H878" s="14" t="inlineStr">
        <is>
          <t>NUK</t>
        </is>
      </c>
      <c r="I878" s="14" t="inlineStr">
        <is>
          <t>NUK Schnullerkette | für alle Schnuller mit und ohne Ring | Disney Mickey Maus</t>
        </is>
      </c>
      <c r="J878" s="14" t="inlineStr">
        <is>
          <t>No</t>
        </is>
      </c>
      <c r="K878" s="14" t="inlineStr">
        <is>
          <t>https://www.amazon.de/NUK-Schnullerkette-Schnuller-Disney-Mickey/dp/B09BD57MW7/ref=sr_1_1?__mk_de_DE=%C3%85M%C3%85%C5%BD%C3%95%C3%91&amp;crid=2NR6JJPHZ2P1E&amp;dib=eyJ2IjoiMSJ9.wiugYVHPKGXuxJRy-34aFw.6dPyyuAnufB8WNhBLck21QTjcWcKLJfGwtfEWfINPOg&amp;dib_tag=se&amp;keywords=4008600396789&amp;qid=1759070106&amp;sprefix=4008600396789%2Caps%2C66&amp;sr=8-1&amp;th=1</t>
        </is>
      </c>
      <c r="L878" s="14" t="inlineStr">
        <is>
          <t>B09BD57MW7</t>
        </is>
      </c>
      <c r="M878" s="15" t="n"/>
      <c r="N878" s="15" t="n"/>
      <c r="O878" s="15" t="n">
        <v>11.99</v>
      </c>
      <c r="P878" s="15">
        <f>O878/1.19</f>
        <v/>
      </c>
      <c r="Q878" s="15">
        <f>O878-P878</f>
        <v/>
      </c>
      <c r="R878" s="15">
        <f>O878*0.15</f>
        <v/>
      </c>
      <c r="S878" s="15" t="n">
        <v>5.12</v>
      </c>
      <c r="T878" s="15">
        <f>S878*0.2</f>
        <v/>
      </c>
      <c r="U878" s="15" t="n">
        <v>0.400000000000002</v>
      </c>
      <c r="V878" s="15" t="n">
        <v>2.2</v>
      </c>
      <c r="W878" s="15">
        <f>V878*0.2</f>
        <v/>
      </c>
      <c r="X878" s="21">
        <f>O878-Q878-R878-S878-U878-V878+T878+W878</f>
        <v/>
      </c>
      <c r="Y878" s="14" t="n"/>
      <c r="Z878" s="15">
        <f>O878+1.5</f>
        <v/>
      </c>
      <c r="AA878" s="15" t="n"/>
      <c r="AB878" s="15" t="n"/>
      <c r="AC878" s="14" t="n"/>
      <c r="AD878" s="14" t="n"/>
      <c r="AE878" s="13" t="inlineStr">
        <is>
          <t>NOT_UPLOADED</t>
        </is>
      </c>
    </row>
    <row r="879" ht="16" customHeight="1">
      <c r="A879" s="17" t="n"/>
      <c r="B879" s="17" t="n">
        <v>4008600431022</v>
      </c>
      <c r="C879" s="13" t="n"/>
      <c r="D879" s="18" t="inlineStr">
        <is>
          <t>Approval required</t>
        </is>
      </c>
      <c r="E879" s="18" t="inlineStr">
        <is>
          <t>to be upload</t>
        </is>
      </c>
      <c r="F879" s="17" t="n">
        <v>10256512</v>
      </c>
      <c r="G879" s="18" t="inlineStr">
        <is>
          <t>BEBOLINO</t>
        </is>
      </c>
      <c r="H879" s="18" t="inlineStr">
        <is>
          <t>NUK</t>
        </is>
      </c>
      <c r="I879" s="18" t="inlineStr">
        <is>
          <t>NUK Disney Winnie Puuh Schnullerband &amp; Clip | Für alle Schnuller mit und ohne Ring | Robust und Bruchsicher | 1 Stück</t>
        </is>
      </c>
      <c r="J879" s="18" t="inlineStr">
        <is>
          <t>No</t>
        </is>
      </c>
      <c r="K879" s="18" t="inlineStr">
        <is>
          <t>https://www.amazon.de/NUK-Disney-Schnullerband-Schnuller-Bruchsicher/dp/B0C59BKV4H/ref=sr_1_1?__mk_de_DE=%C3%85M%C3%85%C5%BD%C3%95%C3%91&amp;dib=eyJ2IjoiMSJ9.0UOoQPfJz32XpQES4GUYPg.EAIXONiadYd-kCI8Hu2udDBcP3eGbnGSgQscTPT06X0&amp;dib_tag=se&amp;keywords=4008600431022&amp;qid=1759070209&amp;sr=8-1&amp;th=1</t>
        </is>
      </c>
      <c r="L879" s="18" t="inlineStr">
        <is>
          <t>B0C59BKV4H</t>
        </is>
      </c>
      <c r="M879" s="19" t="n"/>
      <c r="N879" s="19" t="n"/>
      <c r="O879" s="19" t="n">
        <v>11.99</v>
      </c>
      <c r="P879" s="19">
        <f>O879/1.19</f>
        <v/>
      </c>
      <c r="Q879" s="19">
        <f>O879-P879</f>
        <v/>
      </c>
      <c r="R879" s="19">
        <f>O879*0.15</f>
        <v/>
      </c>
      <c r="S879" s="19" t="n">
        <v>5.12</v>
      </c>
      <c r="T879" s="19">
        <f>S879*0.2</f>
        <v/>
      </c>
      <c r="U879" s="19" t="n">
        <v>0.400000000000002</v>
      </c>
      <c r="V879" s="19" t="n">
        <v>2.2</v>
      </c>
      <c r="W879" s="19">
        <f>V879*0.2</f>
        <v/>
      </c>
      <c r="X879" s="21">
        <f>O879-Q879-R879-S879-U879-V879+T879+W879</f>
        <v/>
      </c>
      <c r="Y879" s="18" t="n"/>
      <c r="Z879" s="19">
        <f>O879+1.5</f>
        <v/>
      </c>
      <c r="AA879" s="19" t="n"/>
      <c r="AB879" s="19" t="n"/>
      <c r="AC879" s="18" t="n"/>
      <c r="AD879" s="18" t="n"/>
      <c r="AE879" s="13" t="inlineStr">
        <is>
          <t>NOT_UPLOADED</t>
        </is>
      </c>
    </row>
    <row r="880" ht="16" customHeight="1">
      <c r="A880" s="12" t="n"/>
      <c r="B880" s="12" t="n">
        <v>4008600422105</v>
      </c>
      <c r="C880" s="13" t="n"/>
      <c r="D880" s="14" t="inlineStr">
        <is>
          <t>Approval required</t>
        </is>
      </c>
      <c r="E880" s="14" t="inlineStr">
        <is>
          <t>to be upload</t>
        </is>
      </c>
      <c r="F880" s="12" t="n">
        <v>10256511</v>
      </c>
      <c r="G880" s="14" t="inlineStr">
        <is>
          <t>BEBOLINO</t>
        </is>
      </c>
      <c r="H880" s="14" t="inlineStr">
        <is>
          <t>NUK</t>
        </is>
      </c>
      <c r="I880" s="14" t="inlineStr">
        <is>
          <t>NUK Dummy chain with clip, for dummy with ring, stable and shatterproof, blue stars</t>
        </is>
      </c>
      <c r="J880" s="14" t="inlineStr">
        <is>
          <t>No</t>
        </is>
      </c>
      <c r="K880" s="14" t="inlineStr">
        <is>
          <t>https://www.amazon.de/NUK-Schnullerkette-Schnuller-Disney-Mickey/dp/B0BS6Y4XXM/ref=sr_1_1?__mk_de_DE=%C3%85M%C3%85%C5%BD%C3%95%C3%91&amp;crid=2NR6JJPHZ2P1E&amp;dib=eyJ2IjoiMSJ9.wiugYVHPKGXuxJRy-34aFw.6dPyyuAnufB8WNhBLck21QTjcWcKLJfGwtfEWfINPOg&amp;dib_tag=se&amp;keywords=4008600396789&amp;qid=1759070106&amp;sprefix=4008600396789%2Caps%2C66&amp;sr=8-1&amp;th=1</t>
        </is>
      </c>
      <c r="L880" s="14" t="inlineStr">
        <is>
          <t>B0BS6Y4XXM</t>
        </is>
      </c>
      <c r="M880" s="15" t="n"/>
      <c r="N880" s="15" t="n"/>
      <c r="O880" s="15" t="n">
        <v>10.95</v>
      </c>
      <c r="P880" s="15">
        <f>O880/1.19</f>
        <v/>
      </c>
      <c r="Q880" s="15">
        <f>O880-P880</f>
        <v/>
      </c>
      <c r="R880" s="15">
        <f>O880*0.15</f>
        <v/>
      </c>
      <c r="S880" s="15" t="n">
        <v>4.86</v>
      </c>
      <c r="T880" s="15">
        <f>S880*0.2</f>
        <v/>
      </c>
      <c r="U880" s="15" t="n">
        <v>0.400000000000002</v>
      </c>
      <c r="V880" s="15" t="n">
        <v>2.2</v>
      </c>
      <c r="W880" s="15">
        <f>V880*0.2</f>
        <v/>
      </c>
      <c r="X880" s="16">
        <f>O880-Q880-R880-S880-U880-V880+T880+W880</f>
        <v/>
      </c>
      <c r="Y880" s="14" t="n"/>
      <c r="Z880" s="15">
        <f>O880+1.5</f>
        <v/>
      </c>
      <c r="AA880" s="15" t="n"/>
      <c r="AB880" s="15" t="n"/>
      <c r="AC880" s="14" t="n"/>
      <c r="AD880" s="14" t="n"/>
      <c r="AE880" s="13" t="inlineStr">
        <is>
          <t>NOT_UPLOADED</t>
        </is>
      </c>
    </row>
    <row r="881" ht="16" customHeight="1">
      <c r="A881" s="17" t="n"/>
      <c r="B881" s="17" t="n">
        <v>4008600216346</v>
      </c>
      <c r="C881" s="13" t="n"/>
      <c r="D881" s="18" t="inlineStr">
        <is>
          <t>Approval required</t>
        </is>
      </c>
      <c r="E881" s="18" t="n"/>
      <c r="F881" s="17" t="n">
        <v>10256374</v>
      </c>
      <c r="G881" s="18" t="inlineStr">
        <is>
          <t>BEBOLINO</t>
        </is>
      </c>
      <c r="H881" s="18" t="inlineStr">
        <is>
          <t>NUK</t>
        </is>
      </c>
      <c r="I881" s="18" t="inlineStr">
        <is>
          <t>Nuk Kindertöpfchen"Boy", blau</t>
        </is>
      </c>
      <c r="J881" s="18" t="inlineStr">
        <is>
          <t>No</t>
        </is>
      </c>
      <c r="K881" s="18" t="inlineStr">
        <is>
          <t>https://www.amazon.de/NUK-10256374-10256374-T%C3%B6pfchen-Blau/dp/B014RAJRO8/ref=sr_1_1?__mk_de_DE=%C3%85M%C3%85%C5%BD%C3%95%C3%91&amp;crid=1SQDFOW82TGYT&amp;dib=eyJ2IjoiMSJ9.H64qYeY0pRmwp-27wF0TmQ.55jN8cRFR9vuoJWHhB3iTzRvGTpOL4zMX95IuzShXcE&amp;dib_tag=se&amp;keywords=4008600216346&amp;qid=1759071103&amp;sprefix=4008600216346%2Caps%2C109&amp;sr=8-1</t>
        </is>
      </c>
      <c r="L881" s="18" t="inlineStr">
        <is>
          <t>B014RAJRO8</t>
        </is>
      </c>
      <c r="M881" s="19" t="n"/>
      <c r="N881" s="19" t="n"/>
      <c r="O881" s="19" t="n">
        <v>19.7</v>
      </c>
      <c r="P881" s="19">
        <f>O881/1.19</f>
        <v/>
      </c>
      <c r="Q881" s="19">
        <f>O881-P881</f>
        <v/>
      </c>
      <c r="R881" s="19">
        <f>O881*0.15</f>
        <v/>
      </c>
      <c r="S881" s="19" t="n">
        <v>6.24</v>
      </c>
      <c r="T881" s="19">
        <f>S881*0.2</f>
        <v/>
      </c>
      <c r="U881" s="19" t="n">
        <v>0.400000000000002</v>
      </c>
      <c r="V881" s="19" t="n">
        <v>4.5</v>
      </c>
      <c r="W881" s="19">
        <f>V881*0.2</f>
        <v/>
      </c>
      <c r="X881" s="21">
        <f>O881-Q881-R881-S881-U881-V881+T881+W881</f>
        <v/>
      </c>
      <c r="Y881" s="18" t="n"/>
      <c r="Z881" s="19">
        <f>O881+1.5</f>
        <v/>
      </c>
      <c r="AA881" s="19" t="n"/>
      <c r="AB881" s="19" t="n"/>
      <c r="AC881" s="18" t="n"/>
      <c r="AD881" s="18" t="n"/>
      <c r="AE881" s="13" t="inlineStr">
        <is>
          <t>NOT_UPLOADED</t>
        </is>
      </c>
    </row>
    <row r="882" ht="16" customHeight="1">
      <c r="A882" s="12" t="n"/>
      <c r="B882" s="12" t="n">
        <v>4008600216377</v>
      </c>
      <c r="C882" s="13" t="n"/>
      <c r="D882" s="14" t="inlineStr">
        <is>
          <t>Approval required</t>
        </is>
      </c>
      <c r="E882" s="14" t="n"/>
      <c r="F882" s="12" t="n">
        <v>10256375</v>
      </c>
      <c r="G882" s="14" t="inlineStr">
        <is>
          <t>BEBOLINO</t>
        </is>
      </c>
      <c r="H882" s="14" t="inlineStr">
        <is>
          <t>NUK</t>
        </is>
      </c>
      <c r="I882" s="14" t="inlineStr">
        <is>
          <t>Nuk Kindertopf, pink</t>
        </is>
      </c>
      <c r="J882" s="14" t="inlineStr">
        <is>
          <t>No</t>
        </is>
      </c>
      <c r="K882" s="14" t="inlineStr">
        <is>
          <t>https://www.amazon.de/NUK-10256375-Nuk-Kindertopf-pink/dp/B014W5OYBO/ref=sr_1_1?__mk_de_DE=%C3%85M%C3%85%C5%BD%C3%95%C3%91&amp;crid=GTOJ46N44QPO&amp;dib=eyJ2IjoiMSJ9.S7VivSbhf7HvKsorNGrUtA.ZcSTRRWnYMYeagqmguIRiFJnh6l9yyAQSj4rUjpLFUU&amp;dib_tag=se&amp;keywords=4008600216377&amp;qid=1759072205&amp;sprefix=4008600216377%2Caps%2C95&amp;sr=8-1&amp;th=1</t>
        </is>
      </c>
      <c r="L882" s="14" t="inlineStr">
        <is>
          <t>B014W5OYBO</t>
        </is>
      </c>
      <c r="M882" s="15" t="n"/>
      <c r="N882" s="15" t="n"/>
      <c r="O882" s="15" t="n">
        <v>19.7</v>
      </c>
      <c r="P882" s="15">
        <f>O882/1.19</f>
        <v/>
      </c>
      <c r="Q882" s="15">
        <f>O882-P882</f>
        <v/>
      </c>
      <c r="R882" s="15">
        <f>O882*0.15</f>
        <v/>
      </c>
      <c r="S882" s="15" t="n">
        <v>6.24</v>
      </c>
      <c r="T882" s="15">
        <f>S882*0.2</f>
        <v/>
      </c>
      <c r="U882" s="15" t="n">
        <v>0.400000000000002</v>
      </c>
      <c r="V882" s="15" t="n">
        <v>4.5</v>
      </c>
      <c r="W882" s="15">
        <f>V882*0.2</f>
        <v/>
      </c>
      <c r="X882" s="21">
        <f>O882-Q882-R882-S882-U882-V882+T882+W882</f>
        <v/>
      </c>
      <c r="Y882" s="14" t="n"/>
      <c r="Z882" s="15">
        <f>O882+1.5</f>
        <v/>
      </c>
      <c r="AA882" s="15" t="n"/>
      <c r="AB882" s="15" t="n"/>
      <c r="AC882" s="14" t="n"/>
      <c r="AD882" s="14" t="n"/>
      <c r="AE882" s="13" t="inlineStr">
        <is>
          <t>NOT_UPLOADED</t>
        </is>
      </c>
    </row>
    <row r="883" ht="16" customHeight="1">
      <c r="A883" s="17" t="n">
        <v>4008600216407</v>
      </c>
      <c r="B883" s="17" t="n">
        <v>4008600216407</v>
      </c>
      <c r="C883" s="13" t="n"/>
      <c r="D883" s="18" t="n"/>
      <c r="E883" s="18" t="inlineStr">
        <is>
          <t>BEB-4008600216407</t>
        </is>
      </c>
      <c r="F883" s="17" t="n">
        <v>10256376</v>
      </c>
      <c r="G883" s="18" t="inlineStr">
        <is>
          <t>BEBOLINO</t>
        </is>
      </c>
      <c r="H883" s="18" t="inlineStr">
        <is>
          <t>NUK</t>
        </is>
      </c>
      <c r="I883" s="18" t="inlineStr">
        <is>
          <t>NUK Töpfchen-Sitz, grau, beige</t>
        </is>
      </c>
      <c r="J883" s="18" t="inlineStr">
        <is>
          <t>No</t>
        </is>
      </c>
      <c r="K883" s="18" t="inlineStr">
        <is>
          <t>https://www.amazon.de/NUK-10256376-T%C3%B6pfchen-Sitz-grau-beige/dp/B014W5OYBE/ref=sr_1_1?__mk_de_DE=%C3%85M%C3%85%C5%BD%C3%95%C3%91&amp;crid=2BLUIDYQU55EB&amp;dib=eyJ2IjoiMSJ9.rITxbZRhod1ZyXBZ6Uje8w.3XGWKhnhjTtyM3le8agGHYHZ1aP9Kav6K01aY3jT37w&amp;dib_tag=se&amp;keywords=4008600216407&amp;qid=1759072274&amp;sprefix=4008600216407%2Caps%2C107&amp;sr=8-1</t>
        </is>
      </c>
      <c r="L883" s="18" t="inlineStr">
        <is>
          <t>B014W5OYBE</t>
        </is>
      </c>
      <c r="M883" s="19" t="n"/>
      <c r="N883" s="19" t="n"/>
      <c r="O883" s="19" t="n">
        <v>19.99</v>
      </c>
      <c r="P883" s="19">
        <f>O883/1.19</f>
        <v/>
      </c>
      <c r="Q883" s="19">
        <f>O883-P883</f>
        <v/>
      </c>
      <c r="R883" s="19">
        <f>O883*0.15</f>
        <v/>
      </c>
      <c r="S883" s="19" t="n">
        <v>6.24</v>
      </c>
      <c r="T883" s="19">
        <f>S883*0.2</f>
        <v/>
      </c>
      <c r="U883" s="19" t="n">
        <v>0.400000000000002</v>
      </c>
      <c r="V883" s="19" t="n">
        <v>5.7</v>
      </c>
      <c r="W883" s="19">
        <f>V883*0.2</f>
        <v/>
      </c>
      <c r="X883" s="21">
        <f>O883-Q883-R883-S883-U883-V883+T883+W883</f>
        <v/>
      </c>
      <c r="Y883" s="18" t="n"/>
      <c r="Z883" s="19">
        <f>O883+1.5</f>
        <v/>
      </c>
      <c r="AA883" s="19" t="n"/>
      <c r="AB883" s="19" t="n"/>
      <c r="AC883" s="18" t="n"/>
      <c r="AD883" s="18" t="n"/>
      <c r="AE883" s="13" t="inlineStr">
        <is>
          <t>NOT_UPLOADED</t>
        </is>
      </c>
    </row>
    <row r="884" ht="16" customHeight="1">
      <c r="A884" s="12" t="n"/>
      <c r="B884" s="12" t="n">
        <v>4008600445784</v>
      </c>
      <c r="C884" s="13" t="n"/>
      <c r="D884" s="14" t="inlineStr">
        <is>
          <t>OUT OF STOCK</t>
        </is>
      </c>
      <c r="E884" s="14" t="n"/>
      <c r="F884" s="12" t="n">
        <v>10124036</v>
      </c>
      <c r="G884" s="14" t="inlineStr">
        <is>
          <t>BEBOLINO</t>
        </is>
      </c>
      <c r="H884" s="14" t="inlineStr">
        <is>
          <t>NUK</t>
        </is>
      </c>
      <c r="I884" s="14" t="inlineStr">
        <is>
          <t>NUK First Choice Baby Bottle Teats | 0+ Months | Anti-Colic Bottle Teat | Silicone | Small | Pack of 2</t>
        </is>
      </c>
      <c r="J884" s="14" t="inlineStr">
        <is>
          <t>No</t>
        </is>
      </c>
      <c r="K884" s="14" t="inlineStr">
        <is>
          <t>https://www.amazon.de/-/en/Choice-Bottle-Months-Anti-Colic-Silicone/dp/B0FP5MT9VJ/ref=sr_1_1?crid=3UNMHI89KUEJO&amp;dib=eyJ2IjoiMSJ9.QUutqgrPLME_E_xUV1kzIQ.0lJilhL9R1CanjBboZIlMk7HhZzhaSQcT6qBFcao_II&amp;dib_tag=se&amp;keywords=4008600445784&amp;qid=1765965055&amp;sprefix=4008600445784%2Caps%2C173&amp;sr=8-1</t>
        </is>
      </c>
      <c r="L884" s="14" t="inlineStr">
        <is>
          <t>B0FP5MT9VJ</t>
        </is>
      </c>
      <c r="M884" s="15" t="n"/>
      <c r="N884" s="15" t="n"/>
      <c r="O884" s="15" t="n">
        <v>9</v>
      </c>
      <c r="P884" s="15">
        <f>O884/1.19</f>
        <v/>
      </c>
      <c r="Q884" s="15">
        <f>O884-P884</f>
        <v/>
      </c>
      <c r="R884" s="15">
        <f>O884*0.15</f>
        <v/>
      </c>
      <c r="S884" s="15" t="n">
        <v>3.56</v>
      </c>
      <c r="T884" s="15">
        <f>S884*0.2</f>
        <v/>
      </c>
      <c r="U884" s="15" t="n">
        <v>0.400000000000002</v>
      </c>
      <c r="V884" s="15" t="n">
        <v>1.9</v>
      </c>
      <c r="W884" s="15">
        <f>V884*0.2</f>
        <v/>
      </c>
      <c r="X884" s="16">
        <f>O884-Q884-R884-S884-U884-V884+T884+W884</f>
        <v/>
      </c>
      <c r="Y884" s="14" t="n"/>
      <c r="Z884" s="15">
        <f>O884+1.5</f>
        <v/>
      </c>
      <c r="AA884" s="15" t="n"/>
      <c r="AB884" s="15" t="n"/>
      <c r="AC884" s="14" t="n"/>
      <c r="AD884" s="14" t="n"/>
      <c r="AE884" s="13" t="inlineStr">
        <is>
          <t>NOT_UPLOADED</t>
        </is>
      </c>
    </row>
    <row r="885" ht="16" customHeight="1">
      <c r="A885" s="17" t="n"/>
      <c r="B885" s="17" t="n">
        <v>4008600445739</v>
      </c>
      <c r="C885" s="13" t="n"/>
      <c r="D885" s="18" t="inlineStr">
        <is>
          <t>OUT OF STOCK</t>
        </is>
      </c>
      <c r="E885" s="18" t="n"/>
      <c r="F885" s="17" t="n">
        <v>10124041</v>
      </c>
      <c r="G885" s="18" t="inlineStr">
        <is>
          <t>BEBOLINO</t>
        </is>
      </c>
      <c r="H885" s="18" t="inlineStr">
        <is>
          <t>NUK</t>
        </is>
      </c>
      <c r="I885" s="18" t="inlineStr">
        <is>
          <t>NUK First Choice Baby Bottle Teats | 3+ Months | Anti-Colic Bottle Teat | Silicone | Medium | Pack of 2</t>
        </is>
      </c>
      <c r="J885" s="18" t="inlineStr">
        <is>
          <t>No</t>
        </is>
      </c>
      <c r="K885" s="18" t="inlineStr">
        <is>
          <t>https://www.amazon.de/-/en/Choice-Bottle-Months-Anti-Colic-Silicone/dp/B0FP5L8D7P/ref=sr_1_1?crid=1QN9MVF51DGZW&amp;dib=eyJ2IjoiMSJ9.oQg1YyKTrjzJnyfwfdcvhA.wam-XKZJE2hM7Yi9Y7WN6mPvxQsEDkx6xq2yLIFtcec&amp;dib_tag=se&amp;keywords=4008600445739&amp;qid=1765965477&amp;sprefix=4008600445739%2Caps%2C106&amp;sr=8-1</t>
        </is>
      </c>
      <c r="L885" s="18" t="inlineStr">
        <is>
          <t>B0FP5L8D7P</t>
        </is>
      </c>
      <c r="M885" s="19" t="n"/>
      <c r="N885" s="19" t="n"/>
      <c r="O885" s="19" t="n">
        <v>9</v>
      </c>
      <c r="P885" s="19">
        <f>O885/1.19</f>
        <v/>
      </c>
      <c r="Q885" s="19">
        <f>O885-P885</f>
        <v/>
      </c>
      <c r="R885" s="19">
        <f>O885*0.15</f>
        <v/>
      </c>
      <c r="S885" s="19" t="n">
        <v>3.56</v>
      </c>
      <c r="T885" s="19">
        <f>S885*0.2</f>
        <v/>
      </c>
      <c r="U885" s="19" t="n">
        <v>0.400000000000002</v>
      </c>
      <c r="V885" s="19" t="n">
        <v>1.9</v>
      </c>
      <c r="W885" s="19">
        <f>V885*0.2</f>
        <v/>
      </c>
      <c r="X885" s="16">
        <f>O885-Q885-R885-S885-U885-V885+T885+W885</f>
        <v/>
      </c>
      <c r="Y885" s="18" t="n"/>
      <c r="Z885" s="19">
        <f>O885+1.5</f>
        <v/>
      </c>
      <c r="AA885" s="19" t="n"/>
      <c r="AB885" s="19" t="n"/>
      <c r="AC885" s="18" t="n"/>
      <c r="AD885" s="18" t="n"/>
      <c r="AE885" s="13" t="inlineStr">
        <is>
          <t>NOT_UPLOADED</t>
        </is>
      </c>
    </row>
    <row r="886" ht="16" customHeight="1">
      <c r="A886" s="12" t="n"/>
      <c r="B886" s="12" t="n">
        <v>4008600445685</v>
      </c>
      <c r="C886" s="13" t="n"/>
      <c r="D886" s="14" t="inlineStr">
        <is>
          <t>OUT OF STOCK</t>
        </is>
      </c>
      <c r="E886" s="14" t="n"/>
      <c r="F886" s="12" t="n">
        <v>10124046</v>
      </c>
      <c r="G886" s="14" t="inlineStr">
        <is>
          <t>BEBOLINO</t>
        </is>
      </c>
      <c r="H886" s="14" t="inlineStr">
        <is>
          <t>NUK</t>
        </is>
      </c>
      <c r="I886" s="14" t="inlineStr">
        <is>
          <t>NUK First Choice Baby Bottle Teats | 6+ Months | Anti-Colic Bottle Teat | Silicone | Flow Control | Pack of 2</t>
        </is>
      </c>
      <c r="J886" s="14" t="inlineStr">
        <is>
          <t>No</t>
        </is>
      </c>
      <c r="K886" s="14" t="inlineStr">
        <is>
          <t>https://www.amazon.de/-/en/Choice-Bottle-Anti-Colic-Silicone-Control/dp/B0FP5JNLKL/ref=sr_1_1?crid=3EYZ93K28X83J&amp;dib=eyJ2IjoiMSJ9.22Pw5wQWB6dmT-gTQooUgw.vjRIIyOYLH2nM6o4EEvcnkTWKgSlTF6NAxvsT7ej3p0&amp;dib_tag=se&amp;keywords=4008600445685&amp;qid=1765965667&amp;sprefix=4008600445685%2Caps%2C121&amp;sr=8-1</t>
        </is>
      </c>
      <c r="L886" s="14" t="inlineStr">
        <is>
          <t>B0FP5JNLKL</t>
        </is>
      </c>
      <c r="M886" s="15" t="n"/>
      <c r="N886" s="15" t="n"/>
      <c r="O886" s="15" t="n"/>
      <c r="P886" s="15" t="n"/>
      <c r="Q886" s="15" t="n"/>
      <c r="R886" s="15" t="n"/>
      <c r="S886" s="15" t="n">
        <v>3.56</v>
      </c>
      <c r="T886" s="15">
        <f>S886*0.2</f>
        <v/>
      </c>
      <c r="U886" s="15" t="n">
        <v>0.400000000000002</v>
      </c>
      <c r="V886" s="15" t="n">
        <v>1.9</v>
      </c>
      <c r="W886" s="15">
        <f>V886*0.2</f>
        <v/>
      </c>
      <c r="X886" s="22" t="n"/>
      <c r="Y886" s="14" t="n"/>
      <c r="Z886" s="15" t="n"/>
      <c r="AA886" s="15" t="n"/>
      <c r="AB886" s="15" t="n"/>
      <c r="AC886" s="14" t="n"/>
      <c r="AD886" s="14" t="n"/>
      <c r="AE886" s="13" t="inlineStr">
        <is>
          <t>NOT_UPLOADED</t>
        </is>
      </c>
    </row>
    <row r="887" ht="16" customHeight="1">
      <c r="A887" s="17" t="n"/>
      <c r="B887" s="17" t="n">
        <v>4008600445630</v>
      </c>
      <c r="C887" s="13" t="n"/>
      <c r="D887" s="18" t="inlineStr">
        <is>
          <t>OUT OF STOCK</t>
        </is>
      </c>
      <c r="E887" s="18" t="n"/>
      <c r="F887" s="17" t="n">
        <v>10124051</v>
      </c>
      <c r="G887" s="18" t="inlineStr">
        <is>
          <t>BEBOLINO</t>
        </is>
      </c>
      <c r="H887" s="18" t="inlineStr">
        <is>
          <t>NUK</t>
        </is>
      </c>
      <c r="I887" s="18" t="inlineStr">
        <is>
          <t>NUK First Choice Baby Bottle Teat | 6+ Months | Anti-Colic Bottle Teat | Silicone | XL | Pack of 2</t>
        </is>
      </c>
      <c r="J887" s="18" t="inlineStr">
        <is>
          <t>No</t>
        </is>
      </c>
      <c r="K887" s="18" t="inlineStr">
        <is>
          <t>https://www.amazon.de/-/en/Choice-Bottle-Months-Anti-Colic-Silicone/dp/B0FP5LDK9N/ref=sr_1_1?crid=28YUOJ7DLWYRO&amp;dib=eyJ2IjoiMSJ9.esjMhByJDv8rL78Jc8PIyg.1w_IoDQUf04bEFfrNHq6v0L0dhDmo7QSLBpyVL9xf5U&amp;dib_tag=se&amp;keywords=4008600445630&amp;qid=1765965787&amp;sprefix=4008600445630%2Caps%2C108&amp;sr=8-1</t>
        </is>
      </c>
      <c r="L887" s="18" t="inlineStr">
        <is>
          <t>B0FP5LDK9N</t>
        </is>
      </c>
      <c r="M887" s="19" t="n"/>
      <c r="N887" s="19" t="n"/>
      <c r="O887" s="19" t="n"/>
      <c r="P887" s="19" t="n"/>
      <c r="Q887" s="19" t="n"/>
      <c r="R887" s="19" t="n"/>
      <c r="S887" s="19" t="n">
        <v>3.56</v>
      </c>
      <c r="T887" s="19">
        <f>S887*0.2</f>
        <v/>
      </c>
      <c r="U887" s="19" t="n">
        <v>0.400000000000002</v>
      </c>
      <c r="V887" s="19" t="n">
        <v>1.9</v>
      </c>
      <c r="W887" s="19">
        <f>V887*0.2</f>
        <v/>
      </c>
      <c r="X887" s="22" t="n"/>
      <c r="Y887" s="18" t="n"/>
      <c r="Z887" s="19" t="n"/>
      <c r="AA887" s="19" t="n"/>
      <c r="AB887" s="19" t="n"/>
      <c r="AC887" s="18" t="n"/>
      <c r="AD887" s="18" t="n"/>
      <c r="AE887" s="13" t="inlineStr">
        <is>
          <t>NOT_UPLOADED</t>
        </is>
      </c>
    </row>
    <row r="888" ht="16" customHeight="1">
      <c r="A888" s="12" t="n"/>
      <c r="B888" s="12" t="n">
        <v>4008600446613</v>
      </c>
      <c r="C888" s="13" t="n"/>
      <c r="D888" s="14" t="inlineStr">
        <is>
          <t>OUT OF STOCK</t>
        </is>
      </c>
      <c r="E888" s="14" t="n"/>
      <c r="F888" s="12" t="n">
        <v>10215413</v>
      </c>
      <c r="G888" s="14" t="inlineStr">
        <is>
          <t>BEBOLINO</t>
        </is>
      </c>
      <c r="H888" s="14" t="inlineStr">
        <is>
          <t>NUK</t>
        </is>
      </c>
      <c r="I888" s="14" t="inlineStr">
        <is>
          <t>NUK First Choice Baby Bottle | 0+ Months | 150 ml | Anti-Colic Bottle | PP | Temperature Control Indicator | Whale | Pack of 1</t>
        </is>
      </c>
      <c r="J888" s="14" t="inlineStr">
        <is>
          <t>No</t>
        </is>
      </c>
      <c r="K888" s="14" t="inlineStr">
        <is>
          <t>https://www.amazon.de/-/en/Choice-Anti-Colic-Temperature-Control-Indicator/dp/B0FP5NLC52/ref=sr_1_1?crid=3AZE6FHOHYGSN&amp;dib=eyJ2IjoiMSJ9.ZvbVV2MPP1PfuuzlzWLDEg.V0yJTfhl3vFbg2kPxC9--UykLtp26gBiOvjR_B_RD4k&amp;dib_tag=se&amp;keywords=4008600446613&amp;qid=1765966217&amp;sprefix=4008600446613%2Caps%2C229&amp;sr=8-1</t>
        </is>
      </c>
      <c r="L888" s="14" t="inlineStr">
        <is>
          <t>B0FP5NLC52</t>
        </is>
      </c>
      <c r="M888" s="15" t="n"/>
      <c r="N888" s="15" t="n"/>
      <c r="O888" s="15" t="n">
        <v>12.8</v>
      </c>
      <c r="P888" s="15">
        <f>O888/1.19</f>
        <v/>
      </c>
      <c r="Q888" s="15">
        <f>O888-P888</f>
        <v/>
      </c>
      <c r="R888" s="15">
        <f>O888*0.15</f>
        <v/>
      </c>
      <c r="S888" s="15" t="n">
        <v>4.86</v>
      </c>
      <c r="T888" s="15">
        <f>S888*0.2</f>
        <v/>
      </c>
      <c r="U888" s="15" t="n">
        <v>0.400000000000002</v>
      </c>
      <c r="V888" s="15" t="n">
        <v>2.2</v>
      </c>
      <c r="W888" s="15">
        <f>V888*0.2</f>
        <v/>
      </c>
      <c r="X888" s="21">
        <f>O888-Q888-R888-S888-U888-V888+T888+W888</f>
        <v/>
      </c>
      <c r="Y888" s="14" t="n"/>
      <c r="Z888" s="15">
        <f>O888+1.5</f>
        <v/>
      </c>
      <c r="AA888" s="15" t="n"/>
      <c r="AB888" s="15" t="n"/>
      <c r="AC888" s="14" t="n"/>
      <c r="AD888" s="14" t="n"/>
      <c r="AE888" s="13" t="inlineStr">
        <is>
          <t>NOT_UPLOADED</t>
        </is>
      </c>
    </row>
    <row r="889" ht="16" customHeight="1">
      <c r="A889" s="17" t="n"/>
      <c r="B889" s="17" t="n">
        <v>4008600446606</v>
      </c>
      <c r="C889" s="13" t="n"/>
      <c r="D889" s="18" t="inlineStr">
        <is>
          <t>OUT OF STOCK</t>
        </is>
      </c>
      <c r="E889" s="18" t="n"/>
      <c r="F889" s="17" t="n">
        <v>10215414</v>
      </c>
      <c r="G889" s="18" t="inlineStr">
        <is>
          <t>BEBOLINO</t>
        </is>
      </c>
      <c r="H889" s="18" t="inlineStr">
        <is>
          <t>NUK</t>
        </is>
      </c>
      <c r="I889" s="18" t="inlineStr">
        <is>
          <t>NUK First Choice Baby Bottle | 0+ Months | 150 ml | Anti-Colic Bottle | PP | Temperature Control Indicator | Koala | Pack of 1</t>
        </is>
      </c>
      <c r="J889" s="18" t="inlineStr">
        <is>
          <t>No</t>
        </is>
      </c>
      <c r="K889" s="18" t="inlineStr">
        <is>
          <t>https://www.amazon.de/-/en/Choice-Anti-Colic-Temperature-Control-Indicator/dp/B0FP5LBW59/ref=sr_1_1?crid=1SKYY26YXLMX9&amp;dib=eyJ2IjoiMSJ9.VMKUOI2MlqHnFnaTOKd-bA.YP4dAJnslkaHneUuYX2fdg1e27nNUm1eXEcAUuLoCoI&amp;dib_tag=se&amp;keywords=4008600446606&amp;qid=1765968139&amp;sprefix=4008600446606%2Caps%2C202&amp;sr=8-1</t>
        </is>
      </c>
      <c r="L889" s="18" t="inlineStr">
        <is>
          <t>B0FP5LBW59</t>
        </is>
      </c>
      <c r="M889" s="19" t="n"/>
      <c r="N889" s="19" t="n"/>
      <c r="O889" s="19" t="n">
        <v>12.8</v>
      </c>
      <c r="P889" s="19">
        <f>O889/1.19</f>
        <v/>
      </c>
      <c r="Q889" s="19">
        <f>O889-P889</f>
        <v/>
      </c>
      <c r="R889" s="19">
        <f>O889*0.15</f>
        <v/>
      </c>
      <c r="S889" s="19" t="n">
        <v>4.86</v>
      </c>
      <c r="T889" s="19">
        <f>S889*0.2</f>
        <v/>
      </c>
      <c r="U889" s="19" t="n">
        <v>0.400000000000002</v>
      </c>
      <c r="V889" s="19" t="n">
        <v>2.2</v>
      </c>
      <c r="W889" s="19">
        <f>V889*0.2</f>
        <v/>
      </c>
      <c r="X889" s="21">
        <f>O889-Q889-R889-S889-U889-V889+T889+W889</f>
        <v/>
      </c>
      <c r="Y889" s="18" t="n"/>
      <c r="Z889" s="19">
        <f>O889+1.5</f>
        <v/>
      </c>
      <c r="AA889" s="19" t="n"/>
      <c r="AB889" s="19" t="n"/>
      <c r="AC889" s="18" t="n"/>
      <c r="AD889" s="18" t="n"/>
      <c r="AE889" s="13" t="inlineStr">
        <is>
          <t>NOT_UPLOADED</t>
        </is>
      </c>
    </row>
    <row r="890" ht="16" customHeight="1">
      <c r="A890" s="12" t="n"/>
      <c r="B890" s="12" t="n">
        <v>4008600446576</v>
      </c>
      <c r="C890" s="13" t="n"/>
      <c r="D890" s="14" t="n"/>
      <c r="E890" s="14" t="n"/>
      <c r="F890" s="12" t="n">
        <v>10216340</v>
      </c>
      <c r="G890" s="14" t="inlineStr">
        <is>
          <t>BEBOLINO</t>
        </is>
      </c>
      <c r="H890" s="14" t="inlineStr">
        <is>
          <t>NUK</t>
        </is>
      </c>
      <c r="I890" s="14" t="inlineStr">
        <is>
          <t>NUK First Choice Baby Bottle | 3+ Months | 300 ml | Anti-Colic Bottle | PP | Temperature Control Indicator | Whale | Pack of 1</t>
        </is>
      </c>
      <c r="J890" s="14" t="inlineStr">
        <is>
          <t>No</t>
        </is>
      </c>
      <c r="K890" s="14" t="inlineStr">
        <is>
          <t>https://www.amazon.de/-/en/Choice-Anti-Colic-Temperature-Control-Indicator/dp/B0FP5LDRZD/ref=sr_1_1?crid=3TBGH51YV5VXJ&amp;dib=eyJ2IjoiMSJ9.FrI3PkkdiZ1k783Lag-Zww.DB8OmJSF-unnqRa2532NW77532CWI3vWvj9mfREYH58&amp;dib_tag=se&amp;keywords=4008600446576&amp;qid=1765968366&amp;sprefix=4008600446576%2Caps%2C207&amp;sr=8-1</t>
        </is>
      </c>
      <c r="L890" s="14" t="inlineStr">
        <is>
          <t>B0FP5LDRZD</t>
        </is>
      </c>
      <c r="M890" s="15" t="n"/>
      <c r="N890" s="15" t="n"/>
      <c r="O890" s="15" t="n">
        <v>14.4</v>
      </c>
      <c r="P890" s="15">
        <f>O890/1.19</f>
        <v/>
      </c>
      <c r="Q890" s="15">
        <f>O890-P890</f>
        <v/>
      </c>
      <c r="R890" s="15">
        <f>O890*0.15</f>
        <v/>
      </c>
      <c r="S890" s="15" t="n">
        <v>5.25</v>
      </c>
      <c r="T890" s="15">
        <f>S890*0.2</f>
        <v/>
      </c>
      <c r="U890" s="15" t="n">
        <v>0.400000000000002</v>
      </c>
      <c r="V890" s="15" t="n">
        <v>2.7</v>
      </c>
      <c r="W890" s="15">
        <f>V890*0.2</f>
        <v/>
      </c>
      <c r="X890" s="21">
        <f>O890-Q890-R890-S890-U890-V890+T890+W890</f>
        <v/>
      </c>
      <c r="Y890" s="14" t="n"/>
      <c r="Z890" s="15">
        <f>O890+1.5</f>
        <v/>
      </c>
      <c r="AA890" s="15" t="n"/>
      <c r="AB890" s="15" t="n"/>
      <c r="AC890" s="14" t="n"/>
      <c r="AD890" s="14" t="n"/>
      <c r="AE890" s="13" t="inlineStr">
        <is>
          <t>NOT_UPLOADED</t>
        </is>
      </c>
    </row>
    <row r="891" ht="16" customHeight="1">
      <c r="A891" s="17" t="n"/>
      <c r="B891" s="17" t="n">
        <v>4008600446569</v>
      </c>
      <c r="C891" s="13" t="n"/>
      <c r="D891" s="18" t="n"/>
      <c r="E891" s="18" t="n"/>
      <c r="F891" s="17" t="n">
        <v>10216341</v>
      </c>
      <c r="G891" s="18" t="inlineStr">
        <is>
          <t>BEBOLINO</t>
        </is>
      </c>
      <c r="H891" s="18" t="inlineStr">
        <is>
          <t>NUK</t>
        </is>
      </c>
      <c r="I891" s="18" t="inlineStr">
        <is>
          <t>NUK First Choice Baby Bottle | 3+ Months | 300 ml | Anti-Colic Bottle | PP | Temperature Control Indicator | Koala | Pack of 1</t>
        </is>
      </c>
      <c r="J891" s="18" t="inlineStr">
        <is>
          <t>No</t>
        </is>
      </c>
      <c r="K891" s="18" t="inlineStr">
        <is>
          <t>https://www.amazon.de/-/en/Choice-Anti-Colic-Temperature-Control-Indicator/dp/B0FP5JD4SB/ref=sr_1_1?crid=3EDUSUVTJAMZ9&amp;dib=eyJ2IjoiMSJ9.nqumzO2KPb8VToJKiyQwnQ.kAF_cLQ1eHeBaaebwhYMVqNsZaj1OF7JY3KEpnavbpg&amp;dib_tag=se&amp;keywords=4008600446569&amp;qid=1765968492&amp;sprefix=4008600446569%2Caps%2C220&amp;sr=8-1</t>
        </is>
      </c>
      <c r="L891" s="18" t="inlineStr">
        <is>
          <t>B0FP5JD4SB</t>
        </is>
      </c>
      <c r="M891" s="19" t="n"/>
      <c r="N891" s="19" t="n"/>
      <c r="O891" s="19" t="n">
        <v>14.4</v>
      </c>
      <c r="P891" s="19">
        <f>O891/1.19</f>
        <v/>
      </c>
      <c r="Q891" s="19">
        <f>O891-P891</f>
        <v/>
      </c>
      <c r="R891" s="19">
        <f>O891*0.15</f>
        <v/>
      </c>
      <c r="S891" s="19" t="n">
        <v>5.25</v>
      </c>
      <c r="T891" s="19">
        <f>S891*0.2</f>
        <v/>
      </c>
      <c r="U891" s="19" t="n">
        <v>0.400000000000002</v>
      </c>
      <c r="V891" s="19" t="n">
        <v>2.7</v>
      </c>
      <c r="W891" s="19">
        <f>V891*0.2</f>
        <v/>
      </c>
      <c r="X891" s="21">
        <f>O891-Q891-R891-S891-U891-V891+T891+W891</f>
        <v/>
      </c>
      <c r="Y891" s="18" t="n"/>
      <c r="Z891" s="19">
        <f>O891+1.5</f>
        <v/>
      </c>
      <c r="AA891" s="19" t="n"/>
      <c r="AB891" s="19" t="n"/>
      <c r="AC891" s="18" t="n"/>
      <c r="AD891" s="18" t="n"/>
      <c r="AE891" s="13" t="inlineStr">
        <is>
          <t>NOT_UPLOADED</t>
        </is>
      </c>
    </row>
    <row r="892" ht="16" customHeight="1">
      <c r="A892" s="12" t="n"/>
      <c r="B892" s="12" t="n">
        <v>4008600446521</v>
      </c>
      <c r="C892" s="13" t="n"/>
      <c r="D892" s="14" t="inlineStr">
        <is>
          <t>NO AD</t>
        </is>
      </c>
      <c r="E892" s="14" t="n"/>
      <c r="F892" s="12" t="n">
        <v>10217004</v>
      </c>
      <c r="G892" s="14" t="inlineStr">
        <is>
          <t>BEBOLINO</t>
        </is>
      </c>
      <c r="H892" s="14" t="inlineStr">
        <is>
          <t>NUK</t>
        </is>
      </c>
      <c r="I892" s="14" t="n"/>
      <c r="J892" s="14" t="inlineStr">
        <is>
          <t>No</t>
        </is>
      </c>
      <c r="K892" s="14" t="n"/>
      <c r="L892" s="14" t="n"/>
      <c r="M892" s="15" t="n"/>
      <c r="N892" s="15" t="n"/>
      <c r="O892" s="15" t="n"/>
      <c r="P892" s="15" t="n"/>
      <c r="Q892" s="15" t="n"/>
      <c r="R892" s="15" t="n"/>
      <c r="S892" s="15" t="n">
        <v>7.67</v>
      </c>
      <c r="T892" s="15">
        <f>S892*0.2</f>
        <v/>
      </c>
      <c r="U892" s="15" t="n">
        <v>0.400000000000002</v>
      </c>
      <c r="V892" s="15" t="n">
        <v>3</v>
      </c>
      <c r="W892" s="15">
        <f>V892*0.2</f>
        <v/>
      </c>
      <c r="X892" s="22" t="n"/>
      <c r="Y892" s="14" t="n"/>
      <c r="Z892" s="15" t="n"/>
      <c r="AA892" s="15" t="n"/>
      <c r="AB892" s="15" t="n"/>
      <c r="AC892" s="14" t="n"/>
      <c r="AD892" s="14" t="n"/>
      <c r="AE892" s="13" t="inlineStr">
        <is>
          <t>NOT_UPLOADED</t>
        </is>
      </c>
    </row>
    <row r="893" ht="16" customHeight="1">
      <c r="A893" s="17" t="n"/>
      <c r="B893" s="17" t="n">
        <v>4008600448686</v>
      </c>
      <c r="C893" s="13" t="n"/>
      <c r="D893" s="18" t="n"/>
      <c r="E893" s="18" t="n"/>
      <c r="F893" s="17" t="n">
        <v>10225356</v>
      </c>
      <c r="G893" s="18" t="inlineStr">
        <is>
          <t>BEBOLINO</t>
        </is>
      </c>
      <c r="H893" s="18" t="inlineStr">
        <is>
          <t>NUK</t>
        </is>
      </c>
      <c r="I893" s="18" t="inlineStr">
        <is>
          <t>NUK First Choice Perfect Start Baby Bottle Set | 0-6 Months | 4 x Anti Colic Bottles (150ml, 300ml), 2 x Teats, 1 x First Choice Pacifier, 1 x Bottle Brush | Whale | 8 Pack</t>
        </is>
      </c>
      <c r="J893" s="18" t="inlineStr">
        <is>
          <t>No</t>
        </is>
      </c>
      <c r="K893" s="18" t="inlineStr">
        <is>
          <t>https://www.amazon.de/-/en/Choice-Perfect-Bottle-Bottles-Pacifier/dp/B0FP5KW2C5/ref=sr_1_1?crid=2L4ZAOC01S284&amp;dib=eyJ2IjoiMSJ9.QX7NTUuB84x57RzEDYLBGQ.qSTS12XIjTw1RBCC7LCLk6OX2GTVZk5PXNahw5OBhPU&amp;dib_tag=se&amp;keywords=4008600448686&amp;qid=1765968825&amp;sprefix=4008600448686%2Caps%2C219&amp;sr=8-1</t>
        </is>
      </c>
      <c r="L893" s="18" t="inlineStr">
        <is>
          <t>B0FP5KW2C5</t>
        </is>
      </c>
      <c r="M893" s="19" t="n"/>
      <c r="N893" s="19" t="n"/>
      <c r="O893" s="19" t="n">
        <v>44</v>
      </c>
      <c r="P893" s="19">
        <f>O893/1.19</f>
        <v/>
      </c>
      <c r="Q893" s="19">
        <f>O893-P893</f>
        <v/>
      </c>
      <c r="R893" s="19">
        <f>O893*0.15</f>
        <v/>
      </c>
      <c r="S893" s="19" t="n">
        <v>24.05</v>
      </c>
      <c r="T893" s="19">
        <f>S893*0.2</f>
        <v/>
      </c>
      <c r="U893" s="19" t="n">
        <v>0.400000000000002</v>
      </c>
      <c r="V893" s="19" t="n">
        <v>7</v>
      </c>
      <c r="W893" s="19">
        <f>V893*0.2</f>
        <v/>
      </c>
      <c r="X893" s="21">
        <f>O893-Q893-R893-S893-U893-V893+T893+W893</f>
        <v/>
      </c>
      <c r="Y893" s="18" t="n"/>
      <c r="Z893" s="19">
        <f>O893+1.5</f>
        <v/>
      </c>
      <c r="AA893" s="19" t="n"/>
      <c r="AB893" s="19" t="n"/>
      <c r="AC893" s="18" t="n"/>
      <c r="AD893" s="18" t="n"/>
      <c r="AE893" s="13" t="inlineStr">
        <is>
          <t>NOT_UPLOADED</t>
        </is>
      </c>
    </row>
    <row r="894" ht="16" customHeight="1">
      <c r="A894" s="12" t="n"/>
      <c r="B894" s="12" t="n">
        <v>4008600448679</v>
      </c>
      <c r="C894" s="13" t="n"/>
      <c r="D894" s="14" t="n"/>
      <c r="E894" s="14" t="n"/>
      <c r="F894" s="12" t="n">
        <v>10225357</v>
      </c>
      <c r="G894" s="14" t="inlineStr">
        <is>
          <t>BEBOLINO</t>
        </is>
      </c>
      <c r="H894" s="14" t="inlineStr">
        <is>
          <t>NUK</t>
        </is>
      </c>
      <c r="I894" s="14" t="inlineStr">
        <is>
          <t>NUK First Choice Perfect Start Baby Bottle Set | 0-6 Months | 4 x Anti Colic Bottles (150ml, 300ml) 2 x Teats, 1 x First Choice Soother, 1 x Bottle Brush | Koala | 8 Pack</t>
        </is>
      </c>
      <c r="J894" s="14" t="inlineStr">
        <is>
          <t>No</t>
        </is>
      </c>
      <c r="K894" s="14" t="inlineStr">
        <is>
          <t>https://www.amazon.de/-/en/Choice-Perfect-Bottle-Bottles-Soother/dp/B0FP5JDXKR/ref=sr_1_1?crid=18K6SH6GF8QB9&amp;dib=eyJ2IjoiMSJ9.uGZ0Erk9Mlq-bTaNRWlwwQ.mQC5g98T1AlKJpXtJFbxodHA60qlPDtozW5QqnZa4Tw&amp;dib_tag=se&amp;keywords=4008600448679&amp;qid=1765971199&amp;sprefix=4008600448679%2Caps%2C239&amp;sr=8-1</t>
        </is>
      </c>
      <c r="L894" s="14" t="inlineStr">
        <is>
          <t>B0FP5JDXKR</t>
        </is>
      </c>
      <c r="M894" s="15" t="n"/>
      <c r="N894" s="15" t="n"/>
      <c r="O894" s="15" t="n">
        <v>44</v>
      </c>
      <c r="P894" s="15">
        <f>O894/1.19</f>
        <v/>
      </c>
      <c r="Q894" s="15">
        <f>O894-P894</f>
        <v/>
      </c>
      <c r="R894" s="15">
        <f>O894*0.15</f>
        <v/>
      </c>
      <c r="S894" s="15" t="n">
        <v>24.05</v>
      </c>
      <c r="T894" s="15">
        <f>S894*0.2</f>
        <v/>
      </c>
      <c r="U894" s="15" t="n">
        <v>0.400000000000002</v>
      </c>
      <c r="V894" s="15" t="n">
        <v>7</v>
      </c>
      <c r="W894" s="15">
        <f>V894*0.2</f>
        <v/>
      </c>
      <c r="X894" s="21">
        <f>O894-Q894-R894-S894-U894-V894+T894+W894</f>
        <v/>
      </c>
      <c r="Y894" s="14" t="n"/>
      <c r="Z894" s="15">
        <f>O894+1.5</f>
        <v/>
      </c>
      <c r="AA894" s="15" t="n"/>
      <c r="AB894" s="15" t="n"/>
      <c r="AC894" s="14" t="n"/>
      <c r="AD894" s="14" t="n"/>
      <c r="AE894" s="13" t="inlineStr">
        <is>
          <t>NOT_UPLOADED</t>
        </is>
      </c>
    </row>
    <row r="895" ht="16" customHeight="1">
      <c r="A895" s="17" t="n"/>
      <c r="B895" s="17" t="n">
        <v>4008600446644</v>
      </c>
      <c r="C895" s="13" t="n"/>
      <c r="D895" s="18" t="n"/>
      <c r="E895" s="18" t="n"/>
      <c r="F895" s="17" t="n">
        <v>10212057</v>
      </c>
      <c r="G895" s="18" t="inlineStr">
        <is>
          <t>BEBOLINO</t>
        </is>
      </c>
      <c r="H895" s="18" t="inlineStr">
        <is>
          <t>NUK</t>
        </is>
      </c>
      <c r="I895" s="18" t="inlineStr">
        <is>
          <t>NUK First Choice Baby Bottle | 3+ Months | 240 ml | Anti-Colic Bottle | Glass | Temperature Control Indicator | Seahorse | Pack of 1</t>
        </is>
      </c>
      <c r="J895" s="18" t="inlineStr">
        <is>
          <t>No</t>
        </is>
      </c>
      <c r="K895" s="18" t="inlineStr">
        <is>
          <t>https://www.amazon.de/-/en/Anti-Colic-Temperature-Control-Indicator-Seahorse/dp/B0FP5MR7W2/ref=sr_1_1?dib=eyJ2IjoiMSJ9.co5YUYBOEc1JQOO6DKEMQQ.67WHPy8Fv_Vu18mltDETjas8y8o2o2K28Xcp6yllGTQ&amp;dib_tag=se&amp;keywords=4008600446644&amp;qid=1765971380&amp;sr=8-1</t>
        </is>
      </c>
      <c r="L895" s="18" t="inlineStr">
        <is>
          <t>B0FP5MR7W2</t>
        </is>
      </c>
      <c r="M895" s="19" t="n"/>
      <c r="N895" s="19" t="n"/>
      <c r="O895" s="19" t="n">
        <v>16.45</v>
      </c>
      <c r="P895" s="19">
        <f>O895/1.19</f>
        <v/>
      </c>
      <c r="Q895" s="19">
        <f>O895-P895</f>
        <v/>
      </c>
      <c r="R895" s="19">
        <f>O895*0.15</f>
        <v/>
      </c>
      <c r="S895" s="19" t="n">
        <v>7.16</v>
      </c>
      <c r="T895" s="19">
        <f>S895*0.2</f>
        <v/>
      </c>
      <c r="U895" s="19" t="n">
        <v>0.400000000000002</v>
      </c>
      <c r="V895" s="19" t="n">
        <v>3</v>
      </c>
      <c r="W895" s="19">
        <f>V895*0.2</f>
        <v/>
      </c>
      <c r="X895" s="21">
        <f>O895-Q895-R895-S895-U895-V895+T895+W895</f>
        <v/>
      </c>
      <c r="Y895" s="18" t="n"/>
      <c r="Z895" s="19">
        <f>O895+1.5</f>
        <v/>
      </c>
      <c r="AA895" s="19" t="n"/>
      <c r="AB895" s="19" t="n"/>
      <c r="AC895" s="18" t="n"/>
      <c r="AD895" s="18" t="n"/>
      <c r="AE895" s="13" t="inlineStr">
        <is>
          <t>NOT_UPLOADED</t>
        </is>
      </c>
    </row>
    <row r="896" ht="16" customHeight="1">
      <c r="A896" s="12" t="n"/>
      <c r="B896" s="12" t="n">
        <v>4008600448761</v>
      </c>
      <c r="C896" s="13" t="n"/>
      <c r="D896" s="14" t="n"/>
      <c r="E896" s="14" t="n"/>
      <c r="F896" s="12" t="n">
        <v>10225363</v>
      </c>
      <c r="G896" s="14" t="inlineStr">
        <is>
          <t>BEBOLINO</t>
        </is>
      </c>
      <c r="H896" s="14" t="inlineStr">
        <is>
          <t>NUK</t>
        </is>
      </c>
      <c r="I896" s="14" t="inlineStr">
        <is>
          <t>NUK First Choice Baby Bottles | 3+ Months | 240ml | Anti-Colic Bottle | Glass | Temperature Control Indicator | Seahorse | Pack of 4</t>
        </is>
      </c>
      <c r="J896" s="14" t="inlineStr">
        <is>
          <t>No</t>
        </is>
      </c>
      <c r="K896" s="14" t="inlineStr">
        <is>
          <t>https://www.amazon.de/-/en/Bottles-Anti-Colic-Temperature-Indicator-Seahorse/dp/B0FP5GWCP7/ref=sr_1_1?crid=1NLYAB8QXT4HD&amp;dib=eyJ2IjoiMSJ9.m6EaQwV86fHup_ixIHqhiw.SG5PvN2F8qhe7_-MlO8tKFifJ855b46n7NpJFHiNNME&amp;dib_tag=se&amp;keywords=4008600448761&amp;qid=1765971738&amp;sprefix=4008600448761%2Caps%2C241&amp;sr=8-1</t>
        </is>
      </c>
      <c r="L896" s="14" t="inlineStr">
        <is>
          <t>B0FP5GWCP7</t>
        </is>
      </c>
      <c r="M896" s="15" t="n"/>
      <c r="N896" s="15" t="n"/>
      <c r="O896" s="15" t="n">
        <v>49.99</v>
      </c>
      <c r="P896" s="15">
        <f>O896/1.19</f>
        <v/>
      </c>
      <c r="Q896" s="15">
        <f>O896-P896</f>
        <v/>
      </c>
      <c r="R896" s="15">
        <f>O896*0.15</f>
        <v/>
      </c>
      <c r="S896" s="15" t="n">
        <v>24.05</v>
      </c>
      <c r="T896" s="15">
        <f>S896*0.2</f>
        <v/>
      </c>
      <c r="U896" s="15" t="n">
        <v>0.400000000000002</v>
      </c>
      <c r="V896" s="15" t="n">
        <v>10</v>
      </c>
      <c r="W896" s="15">
        <f>V896*0.2</f>
        <v/>
      </c>
      <c r="X896" s="21">
        <f>O896-Q896-R896-S896-U896-V896+T896+W896</f>
        <v/>
      </c>
      <c r="Y896" s="14" t="n"/>
      <c r="Z896" s="15">
        <f>O896+1.5</f>
        <v/>
      </c>
      <c r="AA896" s="15" t="n"/>
      <c r="AB896" s="15" t="n"/>
      <c r="AC896" s="14" t="n"/>
      <c r="AD896" s="14" t="n"/>
      <c r="AE896" s="13" t="inlineStr">
        <is>
          <t>NOT_UPLOADED</t>
        </is>
      </c>
    </row>
    <row r="897" ht="16" customHeight="1">
      <c r="A897" s="17" t="n"/>
      <c r="B897" s="17" t="n">
        <v>4008600445586</v>
      </c>
      <c r="C897" s="13" t="n"/>
      <c r="D897" s="18" t="n"/>
      <c r="E897" s="18" t="n"/>
      <c r="F897" s="17" t="n">
        <v>10124032</v>
      </c>
      <c r="G897" s="18" t="inlineStr">
        <is>
          <t>BEBOLINO</t>
        </is>
      </c>
      <c r="H897" s="18" t="inlineStr">
        <is>
          <t>NUK</t>
        </is>
      </c>
      <c r="I897" s="18" t="inlineStr">
        <is>
          <t>NUK Perfect Match Baby Bottle Teats | 0+ Months | Anti-Colic Bottle Teat | Silicone | Small | Pack of 2</t>
        </is>
      </c>
      <c r="J897" s="18" t="inlineStr">
        <is>
          <t>No</t>
        </is>
      </c>
      <c r="K897" s="18" t="inlineStr">
        <is>
          <t>https://www.amazon.de/-/en/Perfect-Bottle-Months-Anti-Colic-Silicone/dp/B0FP5K9CQS/ref=sr_1_1?crid=321ZDMFXWSBXV&amp;dib=eyJ2IjoiMSJ9.K77nmy-e8_n4tg_9d_Yy4Q.GyRc5dgIgsf-LYG8O6-DD1_G3jtHlexfu48AcA72WrQ&amp;dib_tag=se&amp;keywords=4008600445586&amp;qid=1765971977&amp;sprefix=4008600445586%2Caps%2C339&amp;sr=8-1</t>
        </is>
      </c>
      <c r="L897" s="18" t="inlineStr">
        <is>
          <t>B0FP5K9CQS</t>
        </is>
      </c>
      <c r="M897" s="19" t="n"/>
      <c r="N897" s="19" t="n"/>
      <c r="O897" s="19" t="n">
        <v>9.9</v>
      </c>
      <c r="P897" s="19">
        <f>O897/1.19</f>
        <v/>
      </c>
      <c r="Q897" s="19">
        <f>O897-P897</f>
        <v/>
      </c>
      <c r="R897" s="19">
        <f>O897*0.15</f>
        <v/>
      </c>
      <c r="S897" s="19" t="n">
        <v>4.1</v>
      </c>
      <c r="T897" s="19">
        <f>S897*0.2</f>
        <v/>
      </c>
      <c r="U897" s="19" t="n">
        <v>0.400000000000002</v>
      </c>
      <c r="V897" s="19" t="n">
        <v>2</v>
      </c>
      <c r="W897" s="19">
        <f>V897*0.2</f>
        <v/>
      </c>
      <c r="X897" s="16">
        <f>O897-Q897-R897-S897-U897-V897+T897+W897</f>
        <v/>
      </c>
      <c r="Y897" s="18" t="n"/>
      <c r="Z897" s="19">
        <f>O897+1.5</f>
        <v/>
      </c>
      <c r="AA897" s="19" t="n"/>
      <c r="AB897" s="19" t="n"/>
      <c r="AC897" s="18" t="n"/>
      <c r="AD897" s="18" t="n"/>
      <c r="AE897" s="13" t="inlineStr">
        <is>
          <t>NOT_UPLOADED</t>
        </is>
      </c>
    </row>
    <row r="898" ht="16" customHeight="1">
      <c r="A898" s="12" t="n"/>
      <c r="B898" s="12" t="n">
        <v>4008600445579</v>
      </c>
      <c r="C898" s="13" t="n"/>
      <c r="D898" s="14" t="n"/>
      <c r="E898" s="14" t="n"/>
      <c r="F898" s="12" t="n">
        <v>10124033</v>
      </c>
      <c r="G898" s="14" t="inlineStr">
        <is>
          <t>BEBOLINO</t>
        </is>
      </c>
      <c r="H898" s="14" t="inlineStr">
        <is>
          <t>NUK</t>
        </is>
      </c>
      <c r="I898" s="14" t="inlineStr">
        <is>
          <t>NUK Perfect Match Baby Bottle Teat, 3+ Months, Anti-Colic Bottle Teat, Silicone, Medium, Pack of 2</t>
        </is>
      </c>
      <c r="J898" s="14" t="inlineStr">
        <is>
          <t>No</t>
        </is>
      </c>
      <c r="K898" s="14" t="inlineStr">
        <is>
          <t>https://www.amazon.de/-/en/Perfect-Bottle-Months-Anti-Colic-Silicone/dp/B0FP5MZFJZ/ref=sr_1_1?crid=3K4OCB7MAWTVA&amp;dib=eyJ2IjoiMSJ9.GRAswPztPaYc_nbi71Z5gA.YhXaWQp-wnWiVxvz5OYxnMpn1p2JjxrMdaHOzCx0O1w&amp;dib_tag=se&amp;keywords=4008600445579&amp;qid=1765972098&amp;sprefix=4008600445579%2Caps%2C213&amp;sr=8-1</t>
        </is>
      </c>
      <c r="L898" s="14" t="inlineStr">
        <is>
          <t>B0FP5MZFJZ</t>
        </is>
      </c>
      <c r="M898" s="15" t="n"/>
      <c r="N898" s="15" t="n"/>
      <c r="O898" s="15" t="n">
        <v>9.9</v>
      </c>
      <c r="P898" s="15">
        <f>O898/1.19</f>
        <v/>
      </c>
      <c r="Q898" s="15">
        <f>O898-P898</f>
        <v/>
      </c>
      <c r="R898" s="15">
        <f>O898*0.15</f>
        <v/>
      </c>
      <c r="S898" s="15" t="n">
        <v>4.1</v>
      </c>
      <c r="T898" s="15">
        <f>S898*0.2</f>
        <v/>
      </c>
      <c r="U898" s="15" t="n">
        <v>0.400000000000002</v>
      </c>
      <c r="V898" s="15" t="n">
        <v>2</v>
      </c>
      <c r="W898" s="15">
        <f>V898*0.2</f>
        <v/>
      </c>
      <c r="X898" s="16">
        <f>O898-Q898-R898-S898-U898-V898+T898+W898</f>
        <v/>
      </c>
      <c r="Y898" s="14" t="n"/>
      <c r="Z898" s="15">
        <f>O898+1.5</f>
        <v/>
      </c>
      <c r="AA898" s="15" t="n"/>
      <c r="AB898" s="15" t="n"/>
      <c r="AC898" s="14" t="n"/>
      <c r="AD898" s="14" t="n"/>
      <c r="AE898" s="13" t="inlineStr">
        <is>
          <t>NOT_UPLOADED</t>
        </is>
      </c>
    </row>
    <row r="899" ht="16" customHeight="1">
      <c r="A899" s="17" t="n"/>
      <c r="B899" s="17" t="n">
        <v>4008600445562</v>
      </c>
      <c r="C899" s="13" t="n"/>
      <c r="D899" s="18" t="n"/>
      <c r="E899" s="18" t="n"/>
      <c r="F899" s="17" t="n">
        <v>10124034</v>
      </c>
      <c r="G899" s="18" t="inlineStr">
        <is>
          <t>BEBOLINO</t>
        </is>
      </c>
      <c r="H899" s="18" t="inlineStr">
        <is>
          <t>NUK</t>
        </is>
      </c>
      <c r="I899" s="18" t="inlineStr">
        <is>
          <t>NUK Perfect Match Learner Drinking Bottle Straws | From 8 Months | Leak-proof Sippy Cup Straws | Silicone | Pack of 2</t>
        </is>
      </c>
      <c r="J899" s="18" t="inlineStr">
        <is>
          <t>No</t>
        </is>
      </c>
      <c r="K899" s="18" t="inlineStr">
        <is>
          <t>https://www.amazon.de/-/en/Perfect-Learner-Drinking-Leak-proof-Silicone/dp/B0FP5L6GMR/ref=sr_1_1?crid=2CZXVP3K0AI5P&amp;dib=eyJ2IjoiMSJ9.ez6jndjiiINWHzFMtb9kkA.itJ6saCBGKH_SVzow7JILpfIDWfe6Sek8ZpS7IJ7xWg&amp;dib_tag=se&amp;keywords=4008600445562&amp;qid=1765974174&amp;sprefix=4008600445562%2Caps%2C210&amp;sr=8-1</t>
        </is>
      </c>
      <c r="L899" s="18" t="inlineStr">
        <is>
          <t>B0FP5L6GMR</t>
        </is>
      </c>
      <c r="M899" s="19" t="n"/>
      <c r="N899" s="19" t="n"/>
      <c r="O899" s="19" t="n">
        <v>9.9</v>
      </c>
      <c r="P899" s="19">
        <f>O899/1.19</f>
        <v/>
      </c>
      <c r="Q899" s="19">
        <f>O899-P899</f>
        <v/>
      </c>
      <c r="R899" s="19">
        <f>O899*0.15</f>
        <v/>
      </c>
      <c r="S899" s="19" t="n">
        <v>4.1</v>
      </c>
      <c r="T899" s="19">
        <f>S899*0.2</f>
        <v/>
      </c>
      <c r="U899" s="19" t="n">
        <v>0.400000000000002</v>
      </c>
      <c r="V899" s="19" t="n">
        <v>2</v>
      </c>
      <c r="W899" s="19">
        <f>V899*0.2</f>
        <v/>
      </c>
      <c r="X899" s="16">
        <f>O899-Q899-R899-S899-U899-V899+T899+W899</f>
        <v/>
      </c>
      <c r="Y899" s="18" t="n"/>
      <c r="Z899" s="19">
        <f>O899+1.5</f>
        <v/>
      </c>
      <c r="AA899" s="19" t="n"/>
      <c r="AB899" s="19" t="n"/>
      <c r="AC899" s="18" t="n"/>
      <c r="AD899" s="18" t="n"/>
      <c r="AE899" s="13" t="inlineStr">
        <is>
          <t>NOT_UPLOADED</t>
        </is>
      </c>
    </row>
    <row r="900" ht="16" customHeight="1">
      <c r="A900" s="12" t="n"/>
      <c r="B900" s="12" t="n">
        <v>4008600445555</v>
      </c>
      <c r="C900" s="13" t="n"/>
      <c r="D900" s="14" t="n"/>
      <c r="E900" s="14" t="n"/>
      <c r="F900" s="12" t="n">
        <v>10124035</v>
      </c>
      <c r="G900" s="14" t="inlineStr">
        <is>
          <t>BEBOLINO</t>
        </is>
      </c>
      <c r="H900" s="14" t="inlineStr">
        <is>
          <t>NUK</t>
        </is>
      </c>
      <c r="I900" s="14" t="inlineStr">
        <is>
          <t>NUK Perfect Match Baby Bottle Teat | 6+ Months | Anti-Colic Bottle Teat | Silicone | XL | Pack of 2</t>
        </is>
      </c>
      <c r="J900" s="14" t="inlineStr">
        <is>
          <t>No</t>
        </is>
      </c>
      <c r="K900" s="14" t="inlineStr">
        <is>
          <t>https://www.amazon.de/-/en/Perfect-Bottle-Months-Anti-Colic-Silicone/dp/B0FP5Q2CMZ/ref=sr_1_1?crid=L6G3ZCKHDZ6Z&amp;dib=eyJ2IjoiMSJ9.dAqtT8Fe7hqyBHn0lFizFQ.a3BFOmcmtOG8q7br631H1C-8q9e_gpmVDsyoknh6yeg&amp;dib_tag=se&amp;keywords=4008600445555&amp;qid=1765974279&amp;sprefix=4008600445555%2Caps%2C186&amp;sr=8-1</t>
        </is>
      </c>
      <c r="L900" s="14" t="inlineStr">
        <is>
          <t>B0FP5Q2CMZ</t>
        </is>
      </c>
      <c r="M900" s="15" t="n"/>
      <c r="N900" s="15" t="n"/>
      <c r="O900" s="15" t="n">
        <v>9.9</v>
      </c>
      <c r="P900" s="15">
        <f>O900/1.19</f>
        <v/>
      </c>
      <c r="Q900" s="15">
        <f>O900-P900</f>
        <v/>
      </c>
      <c r="R900" s="15">
        <f>O900*0.15</f>
        <v/>
      </c>
      <c r="S900" s="15" t="n">
        <v>4.1</v>
      </c>
      <c r="T900" s="15">
        <f>S900*0.2</f>
        <v/>
      </c>
      <c r="U900" s="15" t="n">
        <v>0.400000000000002</v>
      </c>
      <c r="V900" s="15" t="n">
        <v>2</v>
      </c>
      <c r="W900" s="15">
        <f>V900*0.2</f>
        <v/>
      </c>
      <c r="X900" s="16">
        <f>O900-Q900-R900-S900-U900-V900+T900+W900</f>
        <v/>
      </c>
      <c r="Y900" s="14" t="n"/>
      <c r="Z900" s="15">
        <f>O900+1.5</f>
        <v/>
      </c>
      <c r="AA900" s="15" t="n"/>
      <c r="AB900" s="15" t="n"/>
      <c r="AC900" s="14" t="n"/>
      <c r="AD900" s="14" t="n"/>
      <c r="AE900" s="13" t="inlineStr">
        <is>
          <t>NOT_UPLOADED</t>
        </is>
      </c>
    </row>
    <row r="901" ht="16" customHeight="1">
      <c r="A901" s="17" t="n"/>
      <c r="B901" s="17" t="n">
        <v>4008600445944</v>
      </c>
      <c r="C901" s="13" t="n"/>
      <c r="D901" s="18" t="n"/>
      <c r="E901" s="18" t="n"/>
      <c r="F901" s="17" t="n">
        <v>10215406</v>
      </c>
      <c r="G901" s="18" t="inlineStr">
        <is>
          <t>BEBOLINO</t>
        </is>
      </c>
      <c r="H901" s="18" t="inlineStr">
        <is>
          <t>NUK</t>
        </is>
      </c>
      <c r="I901" s="18" t="inlineStr">
        <is>
          <t>NUK Perfect Match Baby Bottle | 0+ Months | 150 ml | Anti-Colic Drinking Bottle | PP | Temperature Control Display | Sheep | Pack of 1</t>
        </is>
      </c>
      <c r="J901" s="18" t="inlineStr">
        <is>
          <t>No</t>
        </is>
      </c>
      <c r="K901" s="18" t="inlineStr">
        <is>
          <t>https://www.amazon.de/-/en/Perfect-Anti-Colic-Drinking-Temperature-Control/dp/B0FP5LB3GJ/ref=sr_1_1?crid=2D199VCDS8T05&amp;dib=eyJ2IjoiMSJ9.ULi9XyOPblgSB7yBTjTDYQ.U-xkmTGhEhB-kFTq2PQPB5htiAy_kNpQg0JUhUedRFU&amp;dib_tag=se&amp;keywords=4008600445944&amp;qid=1765974381&amp;sprefix=4008600445944%2Caps%2C94&amp;sr=8-1</t>
        </is>
      </c>
      <c r="L901" s="18" t="inlineStr">
        <is>
          <t>B0FP5LB3GJ</t>
        </is>
      </c>
      <c r="M901" s="19" t="n"/>
      <c r="N901" s="19" t="n"/>
      <c r="O901" s="19" t="n">
        <v>13.5</v>
      </c>
      <c r="P901" s="19">
        <f>O901/1.19</f>
        <v/>
      </c>
      <c r="Q901" s="19">
        <f>O901-P901</f>
        <v/>
      </c>
      <c r="R901" s="19">
        <f>O901*0.15</f>
        <v/>
      </c>
      <c r="S901" s="19" t="n">
        <v>5.63</v>
      </c>
      <c r="T901" s="19">
        <f>S901*0.2</f>
        <v/>
      </c>
      <c r="U901" s="19" t="n">
        <v>0.400000000000002</v>
      </c>
      <c r="V901" s="19" t="n">
        <v>2.5</v>
      </c>
      <c r="W901" s="19">
        <f>V901*0.2</f>
        <v/>
      </c>
      <c r="X901" s="21">
        <f>O901-Q901-R901-S901-U901-V901+T901+W901</f>
        <v/>
      </c>
      <c r="Y901" s="18" t="n"/>
      <c r="Z901" s="19">
        <f>O901+1.5</f>
        <v/>
      </c>
      <c r="AA901" s="19" t="n"/>
      <c r="AB901" s="19" t="n"/>
      <c r="AC901" s="18" t="n"/>
      <c r="AD901" s="18" t="n"/>
      <c r="AE901" s="13" t="inlineStr">
        <is>
          <t>NOT_UPLOADED</t>
        </is>
      </c>
    </row>
    <row r="902" ht="16" customHeight="1">
      <c r="A902" s="12" t="n"/>
      <c r="B902" s="12" t="n">
        <v>4008600445937</v>
      </c>
      <c r="C902" s="13" t="n"/>
      <c r="D902" s="14" t="n"/>
      <c r="E902" s="14" t="n"/>
      <c r="F902" s="12" t="n">
        <v>10215407</v>
      </c>
      <c r="G902" s="14" t="inlineStr">
        <is>
          <t>BEBOLINO</t>
        </is>
      </c>
      <c r="H902" s="14" t="inlineStr">
        <is>
          <t>NUK</t>
        </is>
      </c>
      <c r="I902" s="14" t="inlineStr">
        <is>
          <t>NUK Perfect Match Baby Bottle | 0+ Months | 150 ml | Anti-Colic Bottle | PP | Temperature Control Indicator | Hippo | Pack of 1</t>
        </is>
      </c>
      <c r="J902" s="14" t="inlineStr">
        <is>
          <t>No</t>
        </is>
      </c>
      <c r="K902" s="14" t="inlineStr">
        <is>
          <t>https://www.amazon.de/-/en/Perfect-Anti-Colic-Temperature-Control-Indicator/dp/B0FP5J8RNW/ref=sr_1_1?crid=39VNUC2BPL6OW&amp;dib=eyJ2IjoiMSJ9.a2Ff8aWzDvHd9Wcw-V3-wA.6OE7Rk1b08D3RniHI-eE1W7lqteU2idFUhSX-gdQ8nM&amp;dib_tag=se&amp;keywords=4008600445937&amp;qid=1765974534&amp;sprefix=4008600445937%2Caps%2C186&amp;sr=8-1</t>
        </is>
      </c>
      <c r="L902" s="14" t="inlineStr">
        <is>
          <t>B0FP5J8RNW</t>
        </is>
      </c>
      <c r="M902" s="15" t="n"/>
      <c r="N902" s="15" t="n"/>
      <c r="O902" s="15" t="n">
        <v>13.5</v>
      </c>
      <c r="P902" s="15">
        <f>O902/1.19</f>
        <v/>
      </c>
      <c r="Q902" s="15">
        <f>O902-P902</f>
        <v/>
      </c>
      <c r="R902" s="15">
        <f>O902*0.15</f>
        <v/>
      </c>
      <c r="S902" s="15" t="n">
        <v>5.63</v>
      </c>
      <c r="T902" s="15">
        <f>S902*0.2</f>
        <v/>
      </c>
      <c r="U902" s="15" t="n">
        <v>0.400000000000002</v>
      </c>
      <c r="V902" s="15" t="n">
        <v>2.5</v>
      </c>
      <c r="W902" s="15">
        <f>V902*0.2</f>
        <v/>
      </c>
      <c r="X902" s="21">
        <f>O902-Q902-R902-S902-U902-V902+T902+W902</f>
        <v/>
      </c>
      <c r="Y902" s="14" t="n"/>
      <c r="Z902" s="15">
        <f>O902+1.5</f>
        <v/>
      </c>
      <c r="AA902" s="15" t="n"/>
      <c r="AB902" s="15" t="n"/>
      <c r="AC902" s="14" t="n"/>
      <c r="AD902" s="14" t="n"/>
      <c r="AE902" s="13" t="inlineStr">
        <is>
          <t>NOT_UPLOADED</t>
        </is>
      </c>
    </row>
    <row r="903" ht="16" customHeight="1">
      <c r="A903" s="17" t="n"/>
      <c r="B903" s="17" t="n">
        <v>4008600445920</v>
      </c>
      <c r="C903" s="13" t="n"/>
      <c r="D903" s="18" t="n"/>
      <c r="E903" s="18" t="n"/>
      <c r="F903" s="17" t="n">
        <v>10215408</v>
      </c>
      <c r="G903" s="18" t="inlineStr">
        <is>
          <t>BEBOLINO</t>
        </is>
      </c>
      <c r="H903" s="18" t="inlineStr">
        <is>
          <t>NUK</t>
        </is>
      </c>
      <c r="I903" s="18" t="inlineStr">
        <is>
          <t>NUK Perfect Match Baby Bottle | 0+ Months | 150 ml | Anti-Colic Bottle | PP | Temperature Control Indicator | Monkey | Pack of 1</t>
        </is>
      </c>
      <c r="J903" s="18" t="inlineStr">
        <is>
          <t>No</t>
        </is>
      </c>
      <c r="K903" s="18" t="inlineStr">
        <is>
          <t>https://www.amazon.de/-/en/Perfect-Anti-Colic-Temperature-Control-Indicator/dp/B0FP5KW8Z6/ref=sr_1_1?crid=ADNXAGYZI1Y&amp;dib=eyJ2IjoiMSJ9.78xDN_2iUqDddmYLQoDq9Q.oRHJ22OZ7x0vPCqXdudpdoIRauxsvpQcFLPqIeeZ76A&amp;dib_tag=se&amp;keywords=4008600445920&amp;qid=1765974605&amp;sprefix=4008600445920%2Caps%2C192&amp;sr=8-1</t>
        </is>
      </c>
      <c r="L903" s="18" t="inlineStr">
        <is>
          <t>B0FP5KW8Z6</t>
        </is>
      </c>
      <c r="M903" s="19" t="n"/>
      <c r="N903" s="19" t="n"/>
      <c r="O903" s="19" t="n">
        <v>13.5</v>
      </c>
      <c r="P903" s="19">
        <f>O903/1.19</f>
        <v/>
      </c>
      <c r="Q903" s="19">
        <f>O903-P903</f>
        <v/>
      </c>
      <c r="R903" s="19">
        <f>O903*0.15</f>
        <v/>
      </c>
      <c r="S903" s="19" t="n">
        <v>5.63</v>
      </c>
      <c r="T903" s="19">
        <f>S903*0.2</f>
        <v/>
      </c>
      <c r="U903" s="19" t="n">
        <v>0.400000000000002</v>
      </c>
      <c r="V903" s="19" t="n">
        <v>2.5</v>
      </c>
      <c r="W903" s="19">
        <f>V903*0.2</f>
        <v/>
      </c>
      <c r="X903" s="21">
        <f>O903-Q903-R903-S903-U903-V903+T903+W903</f>
        <v/>
      </c>
      <c r="Y903" s="18" t="n"/>
      <c r="Z903" s="19">
        <f>O903+1.5</f>
        <v/>
      </c>
      <c r="AA903" s="19" t="n"/>
      <c r="AB903" s="19" t="n"/>
      <c r="AC903" s="18" t="n"/>
      <c r="AD903" s="18" t="n"/>
      <c r="AE903" s="13" t="inlineStr">
        <is>
          <t>NOT_UPLOADED</t>
        </is>
      </c>
    </row>
    <row r="904" ht="16" customHeight="1">
      <c r="A904" s="12" t="n"/>
      <c r="B904" s="12" t="n">
        <v>4008600445876</v>
      </c>
      <c r="C904" s="13" t="n"/>
      <c r="D904" s="14" t="n"/>
      <c r="E904" s="14" t="n"/>
      <c r="F904" s="12" t="n">
        <v>10216323</v>
      </c>
      <c r="G904" s="14" t="inlineStr">
        <is>
          <t>BEBOLINO</t>
        </is>
      </c>
      <c r="H904" s="14" t="inlineStr">
        <is>
          <t>NUK</t>
        </is>
      </c>
      <c r="I904" s="14" t="inlineStr">
        <is>
          <t>NUK Perfect Match Learning Bottle | 6+ Months | 260 ml | Leak-proof Drinking Bottle for Toddlers | Non-Slip Handles | Sheep | Pack of 1</t>
        </is>
      </c>
      <c r="J904" s="14" t="inlineStr">
        <is>
          <t>No</t>
        </is>
      </c>
      <c r="K904" s="14" t="inlineStr">
        <is>
          <t>https://www.amazon.de/-/en/Learning-Leak-proof-Drinking-Toddlers-Non-Slip/dp/B0FP5K3T2N/ref=sr_1_1?crid=2IW4KBHSLYE2N&amp;dib=eyJ2IjoiMSJ9.x_eEAyUT1nUns6Eo-WuYrg.fCutYJQdobESTj0EPmBiqvgKuQ7Zu-eBfPspHirjX0E&amp;dib_tag=se&amp;keywords=4008600445876&amp;qid=1765974800&amp;sprefix=4008600445876%2Caps%2C206&amp;sr=8-1</t>
        </is>
      </c>
      <c r="L904" s="14" t="inlineStr">
        <is>
          <t>B0FP5K3T2N</t>
        </is>
      </c>
      <c r="M904" s="15" t="n"/>
      <c r="N904" s="15" t="n"/>
      <c r="O904" s="15" t="n">
        <v>15.95</v>
      </c>
      <c r="P904" s="15">
        <f>O904/1.19</f>
        <v/>
      </c>
      <c r="Q904" s="15">
        <f>O904-P904</f>
        <v/>
      </c>
      <c r="R904" s="15">
        <f>O904*0.15</f>
        <v/>
      </c>
      <c r="S904" s="15" t="n">
        <v>6.14</v>
      </c>
      <c r="T904" s="15">
        <f>S904*0.2</f>
        <v/>
      </c>
      <c r="U904" s="15" t="n">
        <v>0.400000000000002</v>
      </c>
      <c r="V904" s="15" t="n">
        <v>3.3</v>
      </c>
      <c r="W904" s="15">
        <f>V904*0.2</f>
        <v/>
      </c>
      <c r="X904" s="21">
        <f>O904-Q904-R904-S904-U904-V904+T904+W904</f>
        <v/>
      </c>
      <c r="Y904" s="14" t="n"/>
      <c r="Z904" s="15">
        <f>O904+1.5</f>
        <v/>
      </c>
      <c r="AA904" s="15" t="n"/>
      <c r="AB904" s="15" t="n"/>
      <c r="AC904" s="14" t="n"/>
      <c r="AD904" s="14" t="n"/>
      <c r="AE904" s="13" t="inlineStr">
        <is>
          <t>NOT_UPLOADED</t>
        </is>
      </c>
    </row>
    <row r="905" ht="16" customHeight="1">
      <c r="A905" s="17" t="n"/>
      <c r="B905" s="17" t="n">
        <v>4008600445869</v>
      </c>
      <c r="C905" s="13" t="n"/>
      <c r="D905" s="18" t="n"/>
      <c r="E905" s="18" t="n"/>
      <c r="F905" s="17" t="n">
        <v>10216324</v>
      </c>
      <c r="G905" s="18" t="inlineStr">
        <is>
          <t>BEBOLINO</t>
        </is>
      </c>
      <c r="H905" s="18" t="inlineStr">
        <is>
          <t>NUK</t>
        </is>
      </c>
      <c r="I905" s="18" t="inlineStr">
        <is>
          <t>NUK Perfect Match Baby Bottle | 3+ Months | 260 ml | Anti-Colic Drinking Bottle | PP | Temperature Control Display | Hippo | Pack of 1</t>
        </is>
      </c>
      <c r="J905" s="18" t="inlineStr">
        <is>
          <t>No</t>
        </is>
      </c>
      <c r="K905" s="18" t="inlineStr">
        <is>
          <t>https://www.amazon.de/-/en/Perfect-Anti-Colic-Drinking-Temperature-Control/dp/B0FP5Q7DLQ/ref=sr_1_1?crid=KB6BO18ILTUB&amp;dib=eyJ2IjoiMSJ9.Pvb2FyvyZT5QST6e7OVQcw.2e6ugEU5oD44goHLj0LL1JrNdgoT_eXh5WLcVOqO_ls&amp;dib_tag=se&amp;keywords=4008600445869&amp;qid=1765974976&amp;sprefix=4008600445869%2Caps%2C109&amp;sr=8-1</t>
        </is>
      </c>
      <c r="L905" s="18" t="inlineStr">
        <is>
          <t>B0FP5Q7DLQ</t>
        </is>
      </c>
      <c r="M905" s="19" t="n"/>
      <c r="N905" s="19" t="n"/>
      <c r="O905" s="19" t="n">
        <v>15.95</v>
      </c>
      <c r="P905" s="19">
        <f>O905/1.19</f>
        <v/>
      </c>
      <c r="Q905" s="19">
        <f>O905-P905</f>
        <v/>
      </c>
      <c r="R905" s="19">
        <f>O905*0.15</f>
        <v/>
      </c>
      <c r="S905" s="19" t="n">
        <v>6.14</v>
      </c>
      <c r="T905" s="19">
        <f>S905*0.2</f>
        <v/>
      </c>
      <c r="U905" s="19" t="n">
        <v>0.400000000000002</v>
      </c>
      <c r="V905" s="19" t="n">
        <v>3.3</v>
      </c>
      <c r="W905" s="19">
        <f>V905*0.2</f>
        <v/>
      </c>
      <c r="X905" s="21">
        <f>O905-Q905-R905-S905-U905-V905+T905+W905</f>
        <v/>
      </c>
      <c r="Y905" s="18" t="n"/>
      <c r="Z905" s="19">
        <f>O905+1.5</f>
        <v/>
      </c>
      <c r="AA905" s="19" t="n"/>
      <c r="AB905" s="19" t="n"/>
      <c r="AC905" s="18" t="n"/>
      <c r="AD905" s="18" t="n"/>
      <c r="AE905" s="13" t="inlineStr">
        <is>
          <t>NOT_UPLOADED</t>
        </is>
      </c>
    </row>
    <row r="906" ht="16" customHeight="1">
      <c r="A906" s="12" t="n"/>
      <c r="B906" s="12" t="n">
        <v>4008600445852</v>
      </c>
      <c r="C906" s="13" t="n"/>
      <c r="D906" s="14" t="n"/>
      <c r="E906" s="14" t="n"/>
      <c r="F906" s="12" t="n">
        <v>10216325</v>
      </c>
      <c r="G906" s="14" t="inlineStr">
        <is>
          <t>BEBOLINO</t>
        </is>
      </c>
      <c r="H906" s="14" t="inlineStr">
        <is>
          <t>NUK</t>
        </is>
      </c>
      <c r="I906" s="14" t="inlineStr">
        <is>
          <t>NUK Perfect Match Baby Bottle | 3+ Months | 260 ml | Anti-Colic Drinking Bottle | PP | Temperature Control Display | Monkey | Pack of 1</t>
        </is>
      </c>
      <c r="J906" s="14" t="inlineStr">
        <is>
          <t>No</t>
        </is>
      </c>
      <c r="K906" s="14" t="inlineStr">
        <is>
          <t>https://www.amazon.de/-/en/Perfect-Anti-Colic-Drinking-Temperature-Control/dp/B0FP5JKKLB/ref=sr_1_1?crid=1E3PW69BYF8OG&amp;dib=eyJ2IjoiMSJ9.56HCW5-f5SHoS5NO4rwOiA.QeDXiBTJYbsiVpMwhMGA9cdyJr0XOFssGkGOD9H8Pc8&amp;dib_tag=se&amp;keywords=4008600445852&amp;qid=1765975072&amp;sprefix=4008600445852%2Caps%2C208&amp;sr=8-1</t>
        </is>
      </c>
      <c r="L906" s="14" t="inlineStr">
        <is>
          <t>B0FP5JKKLB</t>
        </is>
      </c>
      <c r="M906" s="15" t="n"/>
      <c r="N906" s="15" t="n"/>
      <c r="O906" s="15" t="n">
        <v>15.95</v>
      </c>
      <c r="P906" s="15">
        <f>O906/1.19</f>
        <v/>
      </c>
      <c r="Q906" s="15">
        <f>O906-P906</f>
        <v/>
      </c>
      <c r="R906" s="15">
        <f>O906*0.15</f>
        <v/>
      </c>
      <c r="S906" s="15" t="n">
        <v>6.14</v>
      </c>
      <c r="T906" s="15">
        <f>S906*0.2</f>
        <v/>
      </c>
      <c r="U906" s="15" t="n">
        <v>0.400000000000002</v>
      </c>
      <c r="V906" s="15" t="n">
        <v>3.3</v>
      </c>
      <c r="W906" s="15">
        <f>V906*0.2</f>
        <v/>
      </c>
      <c r="X906" s="21">
        <f>O906-Q906-R906-S906-U906-V906+T906+W906</f>
        <v/>
      </c>
      <c r="Y906" s="14" t="n"/>
      <c r="Z906" s="15">
        <f>O906+1.5</f>
        <v/>
      </c>
      <c r="AA906" s="15" t="n"/>
      <c r="AB906" s="15" t="n"/>
      <c r="AC906" s="14" t="n"/>
      <c r="AD906" s="14" t="n"/>
      <c r="AE906" s="13" t="inlineStr">
        <is>
          <t>NOT_UPLOADED</t>
        </is>
      </c>
    </row>
    <row r="907" ht="16" customHeight="1">
      <c r="A907" s="17" t="n"/>
      <c r="B907" s="17" t="n">
        <v>4008600445999</v>
      </c>
      <c r="C907" s="13" t="n"/>
      <c r="D907" s="18" t="inlineStr">
        <is>
          <t>OUT OF STOCK</t>
        </is>
      </c>
      <c r="E907" s="18" t="n"/>
      <c r="F907" s="17" t="n">
        <v>10216335</v>
      </c>
      <c r="G907" s="18" t="inlineStr">
        <is>
          <t>BEBOLINO</t>
        </is>
      </c>
      <c r="H907" s="18" t="inlineStr">
        <is>
          <t>NUK</t>
        </is>
      </c>
      <c r="I907" s="18" t="inlineStr">
        <is>
          <t>NUK Perfect Match Learning Bottle | 6+ Months | 260 ml | Leak-proof Drinking Bottle for Toddlers | Non-Slip Handles | Mickey Mouse | Pack of 1</t>
        </is>
      </c>
      <c r="J907" s="18" t="inlineStr">
        <is>
          <t>No</t>
        </is>
      </c>
      <c r="K907" s="18" t="inlineStr">
        <is>
          <t>https://www.amazon.de/-/en/Learning-Leak-proof-Drinking-Toddlers-Non-Slip/dp/B0FP5KK6LR/ref=sr_1_1?crid=1LN0P2YL2DQRV&amp;dib=eyJ2IjoiMSJ9.CVDiKhpR9keQ_dZLXfqFMQ.9QoJHRX2Jx5m58f6k0lGyeEsQ482SHfrZlH5ijaHUAI&amp;dib_tag=se&amp;keywords=4008600445999&amp;qid=1765975170&amp;sprefix=4008600445999%2Caps%2C194&amp;sr=8-1</t>
        </is>
      </c>
      <c r="L907" s="18" t="inlineStr">
        <is>
          <t>B0FP5KK6LR</t>
        </is>
      </c>
      <c r="M907" s="19" t="n"/>
      <c r="N907" s="19" t="n"/>
      <c r="O907" s="19" t="n">
        <v>16.4</v>
      </c>
      <c r="P907" s="19">
        <f>O907/1.19</f>
        <v/>
      </c>
      <c r="Q907" s="19">
        <f>O907-P907</f>
        <v/>
      </c>
      <c r="R907" s="19">
        <f>O907*0.15</f>
        <v/>
      </c>
      <c r="S907" s="19" t="n">
        <v>6.65</v>
      </c>
      <c r="T907" s="19">
        <f>S907*0.2</f>
        <v/>
      </c>
      <c r="U907" s="19" t="n">
        <v>0.400000000000002</v>
      </c>
      <c r="V907" s="19" t="n">
        <v>3.3</v>
      </c>
      <c r="W907" s="19">
        <f>V907*0.2</f>
        <v/>
      </c>
      <c r="X907" s="21">
        <f>O907-Q907-R907-S907-U907-V907+T907+W907</f>
        <v/>
      </c>
      <c r="Y907" s="18" t="n"/>
      <c r="Z907" s="19">
        <f>O907+1.5</f>
        <v/>
      </c>
      <c r="AA907" s="19" t="n"/>
      <c r="AB907" s="19" t="n"/>
      <c r="AC907" s="18" t="n"/>
      <c r="AD907" s="18" t="n"/>
      <c r="AE907" s="13" t="inlineStr">
        <is>
          <t>NOT_UPLOADED</t>
        </is>
      </c>
    </row>
    <row r="908" ht="16" customHeight="1">
      <c r="A908" s="12" t="n"/>
      <c r="B908" s="12" t="n">
        <v>4008600445982</v>
      </c>
      <c r="C908" s="13" t="n"/>
      <c r="D908" s="14" t="inlineStr">
        <is>
          <t>OUT OF STOCK</t>
        </is>
      </c>
      <c r="E908" s="14" t="n"/>
      <c r="F908" s="12" t="n">
        <v>10216336</v>
      </c>
      <c r="G908" s="14" t="inlineStr">
        <is>
          <t>BEBOLINO</t>
        </is>
      </c>
      <c r="H908" s="14" t="inlineStr">
        <is>
          <t>NUK</t>
        </is>
      </c>
      <c r="I908" s="14" t="inlineStr">
        <is>
          <t>NUK Perfect Match Learning Bottle | 6+ Months | 260 ml | Leak-proof Drinking Bottle for Toddlers | Non-Slip Handles | Minnie Mouse | Pack of 1</t>
        </is>
      </c>
      <c r="J908" s="14" t="inlineStr">
        <is>
          <t>No</t>
        </is>
      </c>
      <c r="K908" s="14" t="inlineStr">
        <is>
          <t>https://www.amazon.de/-/en/Learning-Leak-proof-Drinking-Toddlers-Non-Slip/dp/B0FP5LCRXX/ref=sr_1_1?crid=22YXVNG612C3D&amp;dib=eyJ2IjoiMSJ9.xyaBqPNVHBsRHAwr5-9P6Q.q8wfV_SL_XXeC82z3bATJBcyF1VENaVOgBZFSn-YKBc&amp;dib_tag=se&amp;keywords=4008600445982&amp;qid=1765975309&amp;sprefix=4008600445982%2Caps%2C242&amp;sr=8-1</t>
        </is>
      </c>
      <c r="L908" s="14" t="inlineStr">
        <is>
          <t>B0FP5LCRXX</t>
        </is>
      </c>
      <c r="M908" s="15" t="n"/>
      <c r="N908" s="15" t="n"/>
      <c r="O908" s="15" t="n">
        <v>16.4</v>
      </c>
      <c r="P908" s="15">
        <f>O908/1.19</f>
        <v/>
      </c>
      <c r="Q908" s="15">
        <f>O908-P908</f>
        <v/>
      </c>
      <c r="R908" s="15">
        <f>O908*0.15</f>
        <v/>
      </c>
      <c r="S908" s="15" t="n">
        <v>6.65</v>
      </c>
      <c r="T908" s="15">
        <f>S908*0.2</f>
        <v/>
      </c>
      <c r="U908" s="15" t="n">
        <v>0.400000000000002</v>
      </c>
      <c r="V908" s="15" t="n">
        <v>3.3</v>
      </c>
      <c r="W908" s="15">
        <f>V908*0.2</f>
        <v/>
      </c>
      <c r="X908" s="21">
        <f>O908-Q908-R908-S908-U908-V908+T908+W908</f>
        <v/>
      </c>
      <c r="Y908" s="14" t="n"/>
      <c r="Z908" s="15">
        <f>O908+1.5</f>
        <v/>
      </c>
      <c r="AA908" s="15" t="n"/>
      <c r="AB908" s="15" t="n"/>
      <c r="AC908" s="14" t="n"/>
      <c r="AD908" s="14" t="n"/>
      <c r="AE908" s="13" t="inlineStr">
        <is>
          <t>NOT_UPLOADED</t>
        </is>
      </c>
    </row>
    <row r="909" ht="16" customHeight="1">
      <c r="A909" s="17" t="n"/>
      <c r="B909" s="17" t="n">
        <v>4008600446057</v>
      </c>
      <c r="C909" s="13" t="n"/>
      <c r="D909" s="18" t="inlineStr">
        <is>
          <t>OUT OF STOCK</t>
        </is>
      </c>
      <c r="E909" s="18" t="n"/>
      <c r="F909" s="17" t="n">
        <v>10216330</v>
      </c>
      <c r="G909" s="18" t="inlineStr">
        <is>
          <t>BEBOLINO</t>
        </is>
      </c>
      <c r="H909" s="18" t="inlineStr">
        <is>
          <t>NUK</t>
        </is>
      </c>
      <c r="I909" s="18" t="inlineStr">
        <is>
          <t>NUK Perfect Match Baby Bottle | 3+ Months | 260 ml | Anti-Colic Drinking Bottle | PP | Temperature Control Display | Disney Winnie the Pooh | Pack of 1</t>
        </is>
      </c>
      <c r="J909" s="18" t="inlineStr">
        <is>
          <t>No</t>
        </is>
      </c>
      <c r="K909" s="18" t="inlineStr">
        <is>
          <t>https://www.amazon.de/-/en/Perfect-Anti-Colic-Drinking-Temperature-Control/dp/B0FP5QNQFW/ref=sr_1_2?crid=21D4S7XGRD9RB&amp;dib=eyJ2IjoiMSJ9.6tVFEoy-GJrvSA8zMakWgA.ZiJ7GdJXGYOgwatrf63DSa07WanJ4YIkkmLkGO8u5i0&amp;dib_tag=se&amp;keywords=4008600446057&amp;qid=1765975512&amp;sprefix=4008600446057%2Caps%2C221&amp;sr=8-2</t>
        </is>
      </c>
      <c r="L909" s="18" t="inlineStr">
        <is>
          <t>B0FP5QNQFW</t>
        </is>
      </c>
      <c r="M909" s="19" t="n"/>
      <c r="N909" s="19" t="n"/>
      <c r="O909" s="19" t="n">
        <v>16.4</v>
      </c>
      <c r="P909" s="19">
        <f>O909/1.19</f>
        <v/>
      </c>
      <c r="Q909" s="19">
        <f>O909-P909</f>
        <v/>
      </c>
      <c r="R909" s="19">
        <f>O909*0.15</f>
        <v/>
      </c>
      <c r="S909" s="19" t="n">
        <v>6.65</v>
      </c>
      <c r="T909" s="19">
        <f>S909*0.2</f>
        <v/>
      </c>
      <c r="U909" s="19" t="n">
        <v>0.400000000000002</v>
      </c>
      <c r="V909" s="19" t="n">
        <v>3.3</v>
      </c>
      <c r="W909" s="19">
        <f>V909*0.2</f>
        <v/>
      </c>
      <c r="X909" s="21">
        <f>O909-Q909-R909-S909-U909-V909+T909+W909</f>
        <v/>
      </c>
      <c r="Y909" s="18" t="n"/>
      <c r="Z909" s="19">
        <f>O909+1.5</f>
        <v/>
      </c>
      <c r="AA909" s="19" t="n"/>
      <c r="AB909" s="19" t="n"/>
      <c r="AC909" s="18" t="n"/>
      <c r="AD909" s="18" t="n"/>
      <c r="AE909" s="13" t="inlineStr">
        <is>
          <t>NOT_UPLOADED</t>
        </is>
      </c>
    </row>
    <row r="910" ht="16" customHeight="1">
      <c r="A910" s="12" t="n"/>
      <c r="B910" s="12" t="n">
        <v>4008600446040</v>
      </c>
      <c r="C910" s="13" t="n"/>
      <c r="D910" s="14" t="inlineStr">
        <is>
          <t>OUT OF STOCK</t>
        </is>
      </c>
      <c r="E910" s="14" t="n"/>
      <c r="F910" s="12" t="n">
        <v>10216331</v>
      </c>
      <c r="G910" s="14" t="inlineStr">
        <is>
          <t>BEBOLINO</t>
        </is>
      </c>
      <c r="H910" s="14" t="inlineStr">
        <is>
          <t>NUK</t>
        </is>
      </c>
      <c r="I910" s="14" t="inlineStr">
        <is>
          <t>NUK Perfect Match Baby Bottle | 3+ Months | 260 ml | Anti-Colic Drinking Bottle | PP | Temperature Control Display | Disney Tigger | Pack of 1</t>
        </is>
      </c>
      <c r="J910" s="14" t="inlineStr">
        <is>
          <t>No</t>
        </is>
      </c>
      <c r="K910" s="14" t="inlineStr">
        <is>
          <t>https://www.amazon.de/-/en/Perfect-Anti-Colic-Drinking-Temperature-Control/dp/B0FP5LBQ3P/ref=sr_1_1?crid=136F5D9PSBPN2&amp;dib=eyJ2IjoiMSJ9.Hx5Kfmmtc6omeRT7YzBQ_g.KiJ178gnz2-9XlPm8tGbsw-PBhdYGUYli-uN_z9j0uY&amp;dib_tag=se&amp;keywords=4008600446040&amp;qid=1765975596&amp;sprefix=4008600446040%2Caps%2C189&amp;sr=8-1</t>
        </is>
      </c>
      <c r="L910" s="14" t="inlineStr">
        <is>
          <t>B0FP5LBQ3P</t>
        </is>
      </c>
      <c r="M910" s="15" t="n"/>
      <c r="N910" s="15" t="n"/>
      <c r="O910" s="15" t="n">
        <v>16.4</v>
      </c>
      <c r="P910" s="15">
        <f>O910/1.19</f>
        <v/>
      </c>
      <c r="Q910" s="15">
        <f>O910-P910</f>
        <v/>
      </c>
      <c r="R910" s="15">
        <f>O910*0.15</f>
        <v/>
      </c>
      <c r="S910" s="15" t="n">
        <v>6.65</v>
      </c>
      <c r="T910" s="15">
        <f>S910*0.2</f>
        <v/>
      </c>
      <c r="U910" s="15" t="n">
        <v>0.400000000000002</v>
      </c>
      <c r="V910" s="15" t="n">
        <v>3.3</v>
      </c>
      <c r="W910" s="15">
        <f>V910*0.2</f>
        <v/>
      </c>
      <c r="X910" s="21">
        <f>O910-Q910-R910-S910-U910-V910+T910+W910</f>
        <v/>
      </c>
      <c r="Y910" s="14" t="n"/>
      <c r="Z910" s="15">
        <f>O910+1.5</f>
        <v/>
      </c>
      <c r="AA910" s="15" t="n"/>
      <c r="AB910" s="15" t="n"/>
      <c r="AC910" s="14" t="n"/>
      <c r="AD910" s="14" t="n"/>
      <c r="AE910" s="13" t="inlineStr">
        <is>
          <t>NOT_UPLOADED</t>
        </is>
      </c>
    </row>
    <row r="911" ht="16" customHeight="1">
      <c r="A911" s="17" t="n"/>
      <c r="B911" s="17" t="n">
        <v>4008600445807</v>
      </c>
      <c r="C911" s="13" t="n"/>
      <c r="D911" s="18" t="n"/>
      <c r="E911" s="18" t="n"/>
      <c r="F911" s="17" t="n">
        <v>10217001</v>
      </c>
      <c r="G911" s="18" t="inlineStr">
        <is>
          <t>BEBOLINO</t>
        </is>
      </c>
      <c r="H911" s="18" t="inlineStr">
        <is>
          <t>NUK</t>
        </is>
      </c>
      <c r="I911" s="18" t="inlineStr">
        <is>
          <t>NUK Perfect Match Baby Bottle | 0+ Months | 360 ml | Anti-Colic Bottle | PP | Temperature Control Indicator | Monkey | Pack of 1</t>
        </is>
      </c>
      <c r="J911" s="18" t="inlineStr">
        <is>
          <t>No</t>
        </is>
      </c>
      <c r="K911" s="18" t="inlineStr">
        <is>
          <t>https://www.amazon.de/-/en/Perfect-Anti-Colic-Temperature-Control-Indicator/dp/B0FP5N8C5T/ref=sr_1_1?crid=3L2TDM871G91&amp;dib=eyJ2IjoiMSJ9.Thlg4TGps9kdMKuq3g1jyA.HJHeOk9jKDJPeZeuq1BxoEMcW-C00N7KOoYLDzIed7Q&amp;dib_tag=se&amp;keywords=4008600445807&amp;qid=1765975677&amp;sprefix=4008600445807%2Caps%2C97&amp;sr=8-1</t>
        </is>
      </c>
      <c r="L911" s="18" t="inlineStr">
        <is>
          <t>B0FP5N8C5T</t>
        </is>
      </c>
      <c r="M911" s="19" t="n"/>
      <c r="N911" s="19" t="n"/>
      <c r="O911" s="19" t="n">
        <v>16.4</v>
      </c>
      <c r="P911" s="19">
        <f>O911/1.19</f>
        <v/>
      </c>
      <c r="Q911" s="19">
        <f>O911-P911</f>
        <v/>
      </c>
      <c r="R911" s="19">
        <f>O911*0.15</f>
        <v/>
      </c>
      <c r="S911" s="19" t="n">
        <v>6.65</v>
      </c>
      <c r="T911" s="19">
        <f>S911*0.2</f>
        <v/>
      </c>
      <c r="U911" s="19" t="n">
        <v>0.400000000000002</v>
      </c>
      <c r="V911" s="19" t="n">
        <v>3.3</v>
      </c>
      <c r="W911" s="19">
        <f>V911*0.2</f>
        <v/>
      </c>
      <c r="X911" s="21">
        <f>O911-Q911-R911-S911-U911-V911+T911+W911</f>
        <v/>
      </c>
      <c r="Y911" s="18" t="n"/>
      <c r="Z911" s="19">
        <f>O911+1.5</f>
        <v/>
      </c>
      <c r="AA911" s="19" t="n"/>
      <c r="AB911" s="19" t="n"/>
      <c r="AC911" s="18" t="n"/>
      <c r="AD911" s="18" t="n"/>
      <c r="AE911" s="13" t="inlineStr">
        <is>
          <t>NOT_UPLOADED</t>
        </is>
      </c>
    </row>
    <row r="912" ht="16" customHeight="1">
      <c r="A912" s="12" t="n"/>
      <c r="B912" s="12" t="n">
        <v>4008600448587</v>
      </c>
      <c r="C912" s="13" t="n"/>
      <c r="D912" s="14" t="n"/>
      <c r="E912" s="14" t="n"/>
      <c r="F912" s="12" t="n">
        <v>10225343</v>
      </c>
      <c r="G912" s="14" t="inlineStr">
        <is>
          <t>BEBOLINO</t>
        </is>
      </c>
      <c r="H912" s="14" t="inlineStr">
        <is>
          <t>NUK</t>
        </is>
      </c>
      <c r="I912" s="14" t="inlineStr">
        <is>
          <t>NUK Perfect Match Perfect Start Baby Bottle Set | 0-6 Months | 4 x Anti Colic Bottles (150ml, 260ml) 2 x Teats, 1 x Perfect Match Air Soother, 1 x Bottle Brush | Rainbow | 8 Pack</t>
        </is>
      </c>
      <c r="J912" s="14" t="inlineStr">
        <is>
          <t>No</t>
        </is>
      </c>
      <c r="K912" s="14" t="inlineStr">
        <is>
          <t>https://www.amazon.de/-/en/Perfect-Bottle-Bottles-Soother-Rainbow/dp/B0FP5LBJP1/ref=sr_1_1?crid=10NES8MFJ3QGV&amp;dib=eyJ2IjoiMSJ9.uLw_A_P5pDPCxm5g-l0zbA.OviRD721OHatgYz6ZNsLQg3KT4q3MZ37uYDzDMtaGE8&amp;dib_tag=se&amp;keywords=4008600448587&amp;qid=1765977290&amp;sprefix=4008600448587%2Caps%2C205&amp;sr=8-1</t>
        </is>
      </c>
      <c r="L912" s="14" t="inlineStr">
        <is>
          <t>B0FP5LBJP1</t>
        </is>
      </c>
      <c r="M912" s="15" t="n"/>
      <c r="N912" s="15" t="n"/>
      <c r="O912" s="15" t="n">
        <v>47.9</v>
      </c>
      <c r="P912" s="15">
        <f>O912/1.19</f>
        <v/>
      </c>
      <c r="Q912" s="15">
        <f>O912-P912</f>
        <v/>
      </c>
      <c r="R912" s="15">
        <f>O912*0.15</f>
        <v/>
      </c>
      <c r="S912" s="15" t="n">
        <v>22.5</v>
      </c>
      <c r="T912" s="15">
        <f>S912*0.2</f>
        <v/>
      </c>
      <c r="U912" s="15" t="n">
        <v>0.400000000000002</v>
      </c>
      <c r="V912" s="15" t="n">
        <v>11</v>
      </c>
      <c r="W912" s="15">
        <f>V912*0.2</f>
        <v/>
      </c>
      <c r="X912" s="21">
        <f>O912-Q912-R912-S912-U912-V912+T912+W912</f>
        <v/>
      </c>
      <c r="Y912" s="14" t="n"/>
      <c r="Z912" s="15">
        <f>O912+1.5</f>
        <v/>
      </c>
      <c r="AA912" s="15" t="n"/>
      <c r="AB912" s="15" t="n"/>
      <c r="AC912" s="14" t="n"/>
      <c r="AD912" s="14" t="n"/>
      <c r="AE912" s="13" t="inlineStr">
        <is>
          <t>NOT_UPLOADED</t>
        </is>
      </c>
    </row>
    <row r="913" ht="16" customHeight="1">
      <c r="A913" s="17" t="n"/>
      <c r="B913" s="17" t="n">
        <v>4008600448518</v>
      </c>
      <c r="C913" s="13" t="n"/>
      <c r="D913" s="18" t="n"/>
      <c r="E913" s="18" t="n"/>
      <c r="F913" s="17" t="n">
        <v>10225350</v>
      </c>
      <c r="G913" s="18" t="inlineStr">
        <is>
          <t>BEBOLINO</t>
        </is>
      </c>
      <c r="H913" s="18" t="inlineStr">
        <is>
          <t>NUK</t>
        </is>
      </c>
      <c r="I913" s="18" t="inlineStr">
        <is>
          <t>NUK Perfect Match Baby Bottles 0-3+ Months 150 ml &amp; 260 ml Anti-Colic Drinking Bottle PP Temperature Control Display Rainbow Pack of 4</t>
        </is>
      </c>
      <c r="J913" s="18" t="inlineStr">
        <is>
          <t>No</t>
        </is>
      </c>
      <c r="K913" s="18" t="inlineStr">
        <is>
          <t>https://www.amazon.de/-/en/Perfect-Bottles-Anti-Colic-Drinking-Temperature/dp/B0FP5Q65TH/ref=sr_1_1?crid=2HDOZF63FGN6A&amp;dib=eyJ2IjoiMSJ9.ZueJqOwX9cNMQx8aZEZLtA.LsgT3XFGiOjICAXGEP4o4MepiPcT86-neLlwSpFXQzg&amp;dib_tag=se&amp;keywords=4008600448518&amp;qid=1765977485&amp;sprefix=4008600448518%2Caps%2C200&amp;sr=8-1</t>
        </is>
      </c>
      <c r="L913" s="18" t="inlineStr">
        <is>
          <t>B0FP5Q65TH</t>
        </is>
      </c>
      <c r="M913" s="19" t="n"/>
      <c r="N913" s="19" t="n"/>
      <c r="O913" s="19" t="n">
        <v>36.75</v>
      </c>
      <c r="P913" s="19">
        <f>O913/1.19</f>
        <v/>
      </c>
      <c r="Q913" s="19">
        <f>O913-P913</f>
        <v/>
      </c>
      <c r="R913" s="19">
        <f>O913*0.15</f>
        <v/>
      </c>
      <c r="S913" s="19" t="n">
        <v>17.9</v>
      </c>
      <c r="T913" s="19">
        <f>S913*0.2</f>
        <v/>
      </c>
      <c r="U913" s="19" t="n">
        <v>0.400000000000002</v>
      </c>
      <c r="V913" s="19" t="n">
        <v>8</v>
      </c>
      <c r="W913" s="19">
        <f>V913*0.2</f>
        <v/>
      </c>
      <c r="X913" s="21">
        <f>O913-Q913-R913-S913-U913-V913+T913+W913</f>
        <v/>
      </c>
      <c r="Y913" s="18" t="n"/>
      <c r="Z913" s="19">
        <f>O913+1.5</f>
        <v/>
      </c>
      <c r="AA913" s="19" t="n"/>
      <c r="AB913" s="19" t="n"/>
      <c r="AC913" s="18" t="n"/>
      <c r="AD913" s="18" t="n"/>
      <c r="AE913" s="13" t="inlineStr">
        <is>
          <t>NOT_UPLOADED</t>
        </is>
      </c>
    </row>
    <row r="914" ht="16" customHeight="1">
      <c r="A914" s="12" t="n"/>
      <c r="B914" s="12" t="n">
        <v>4008600448471</v>
      </c>
      <c r="C914" s="13" t="n"/>
      <c r="D914" s="14" t="n"/>
      <c r="E914" s="14" t="n"/>
      <c r="F914" s="12" t="n">
        <v>10225354</v>
      </c>
      <c r="G914" s="14" t="inlineStr">
        <is>
          <t>BEBOLINO</t>
        </is>
      </c>
      <c r="H914" s="14" t="inlineStr">
        <is>
          <t>NUK</t>
        </is>
      </c>
      <c r="I914" s="14" t="inlineStr">
        <is>
          <t>NUK Perfect Match Baby Bottles &amp; Pacifier Set | 0-6 Months | 3 x Anti-Colic Bottles (150ml, 260ml), 1 x Perfect Match Air Pacifier | Disney Winnie the Pooh | 4 Piece</t>
        </is>
      </c>
      <c r="J914" s="14" t="inlineStr">
        <is>
          <t>No</t>
        </is>
      </c>
      <c r="K914" s="14" t="inlineStr">
        <is>
          <t>https://www.amazon.de/-/en/Perfect-Bottles-Pacifier-Months-Anti-Colic/dp/B0FP5KLXBB/ref=sr_1_1?crid=1QLDSS6MQ5IPV&amp;dib=eyJ2IjoiMSJ9.-rPfb3mq5bi0Y8Z9xzDvvQ.kePCK1kG7MMQ-L7AXcV51Vvb67pmw8eFEIHWiDg5LJA&amp;dib_tag=se&amp;keywords=4008600448471&amp;qid=1765977773&amp;sprefix=4008600448471%2Caps%2C218&amp;sr=8-1</t>
        </is>
      </c>
      <c r="L914" s="14" t="inlineStr">
        <is>
          <t>B0FP5KLXBB</t>
        </is>
      </c>
      <c r="M914" s="15" t="n"/>
      <c r="N914" s="15" t="n"/>
      <c r="O914" s="15" t="n">
        <v>36.5</v>
      </c>
      <c r="P914" s="15">
        <f>O914/1.19</f>
        <v/>
      </c>
      <c r="Q914" s="15">
        <f>O914-P914</f>
        <v/>
      </c>
      <c r="R914" s="15">
        <f>O914*0.15</f>
        <v/>
      </c>
      <c r="S914" s="15" t="n">
        <v>18.41</v>
      </c>
      <c r="T914" s="15">
        <f>S914*0.2</f>
        <v/>
      </c>
      <c r="U914" s="15" t="n">
        <v>0.400000000000002</v>
      </c>
      <c r="V914" s="15" t="n">
        <v>8</v>
      </c>
      <c r="W914" s="15">
        <f>V914*0.2</f>
        <v/>
      </c>
      <c r="X914" s="21">
        <f>O914-Q914-R914-S914-U914-V914+T914+W914</f>
        <v/>
      </c>
      <c r="Y914" s="14" t="n"/>
      <c r="Z914" s="15">
        <f>O914+1.5</f>
        <v/>
      </c>
      <c r="AA914" s="15" t="n"/>
      <c r="AB914" s="15" t="n"/>
      <c r="AC914" s="14" t="n"/>
      <c r="AD914" s="14" t="n"/>
      <c r="AE914" s="13" t="inlineStr">
        <is>
          <t>NOT_UPLOADED</t>
        </is>
      </c>
    </row>
    <row r="915" ht="16" customHeight="1">
      <c r="A915" s="17" t="n"/>
      <c r="B915" s="17" t="n">
        <v>4008600448464</v>
      </c>
      <c r="C915" s="13" t="n"/>
      <c r="D915" s="18" t="inlineStr">
        <is>
          <t>OUT OF STOCK</t>
        </is>
      </c>
      <c r="E915" s="18" t="n"/>
      <c r="F915" s="17" t="n">
        <v>10225355</v>
      </c>
      <c r="G915" s="18" t="inlineStr">
        <is>
          <t>BEBOLINO</t>
        </is>
      </c>
      <c r="H915" s="18" t="inlineStr">
        <is>
          <t>NUK</t>
        </is>
      </c>
      <c r="I915" s="18" t="inlineStr">
        <is>
          <t>NUK Perfect Match Baby Bottles &amp; Pacifier Set | 0-6 Months | 3 x Anti-Colic Bottles (150ml, 260ml), 1 x Perfect Match Air Pacifier | Disney Mickey Mouse | 4 Pieces</t>
        </is>
      </c>
      <c r="J915" s="18" t="inlineStr">
        <is>
          <t>No</t>
        </is>
      </c>
      <c r="K915" s="18" t="inlineStr">
        <is>
          <t>https://www.amazon.de/-/en/Perfect-Bottles-Pacifier-Months-Anti-Colic/dp/B0FP5L7338/ref=sr_1_1?crid=3SG7IFH4BRV6N&amp;dib=eyJ2IjoiMSJ9.AAJGptyFx0eBvFvIMSiOug.QmG4xkFjEDX6WNVaYdIJpCRTAw5Zt86Z_vxdezTUpaY&amp;dib_tag=se&amp;keywords=4008600448464&amp;qid=1765977908&amp;sprefix=4008600448464%2Caps%2C204&amp;sr=8-1</t>
        </is>
      </c>
      <c r="L915" s="18" t="inlineStr">
        <is>
          <t>B0FP5L7338</t>
        </is>
      </c>
      <c r="M915" s="19" t="n"/>
      <c r="N915" s="19" t="n"/>
      <c r="O915" s="19" t="n">
        <v>36.5</v>
      </c>
      <c r="P915" s="19">
        <f>O915/1.19</f>
        <v/>
      </c>
      <c r="Q915" s="19">
        <f>O915-P915</f>
        <v/>
      </c>
      <c r="R915" s="19">
        <f>O915*0.15</f>
        <v/>
      </c>
      <c r="S915" s="19" t="n">
        <v>18.41</v>
      </c>
      <c r="T915" s="19">
        <f>S915*0.2</f>
        <v/>
      </c>
      <c r="U915" s="19" t="n">
        <v>0.400000000000002</v>
      </c>
      <c r="V915" s="19" t="n">
        <v>8</v>
      </c>
      <c r="W915" s="19">
        <f>V915*0.2</f>
        <v/>
      </c>
      <c r="X915" s="21">
        <f>O915-Q915-R915-S915-U915-V915+T915+W915</f>
        <v/>
      </c>
      <c r="Y915" s="18" t="n"/>
      <c r="Z915" s="19">
        <f>O915+1.5</f>
        <v/>
      </c>
      <c r="AA915" s="19" t="n"/>
      <c r="AB915" s="19" t="n"/>
      <c r="AC915" s="18" t="n"/>
      <c r="AD915" s="18" t="n"/>
      <c r="AE915" s="13" t="inlineStr">
        <is>
          <t>NOT_UPLOADED</t>
        </is>
      </c>
    </row>
    <row r="916" ht="16" customHeight="1">
      <c r="A916" s="12" t="n"/>
      <c r="B916" s="12" t="n">
        <v>4008600448488</v>
      </c>
      <c r="C916" s="13" t="n"/>
      <c r="D916" s="14" t="n"/>
      <c r="E916" s="14" t="n"/>
      <c r="F916" s="12" t="n">
        <v>10225353</v>
      </c>
      <c r="G916" s="14" t="inlineStr">
        <is>
          <t>BEBOLINO</t>
        </is>
      </c>
      <c r="H916" s="14" t="inlineStr">
        <is>
          <t>NUK</t>
        </is>
      </c>
      <c r="I916" s="14" t="inlineStr">
        <is>
          <t>NUK Perfect Match Baby Bottles &amp; Pacifier Set | 0-3 Months | 2 x Anti-Colic Bottles (150ml, 260ml), 1 x Perfect Match Air Pacifier | Rainbow | 4 Pieces</t>
        </is>
      </c>
      <c r="J916" s="14" t="inlineStr">
        <is>
          <t>No</t>
        </is>
      </c>
      <c r="K916" s="14" t="inlineStr">
        <is>
          <t>https://www.amazon.de/-/en/Perfect-Bottles-Pacifier-Anti-Colic-Rainbow/dp/B0FYGZQL4N/ref=sr_1_1?crid=1PGLLD5P2LOIB&amp;dib=eyJ2IjoiMSJ9.N1QlkEmLTbfRBnvkyJWgCA.6G6QTy5V2P5543jkzLLd5z8Y86IvGi9CegYKHFKK5i0&amp;dib_tag=se&amp;keywords=4008600448488&amp;qid=1765978059&amp;sprefix=4008600448488%2Caps%2C189&amp;sr=8-1</t>
        </is>
      </c>
      <c r="L916" s="14" t="inlineStr">
        <is>
          <t>B0FYGZQL4N</t>
        </is>
      </c>
      <c r="M916" s="15" t="n"/>
      <c r="N916" s="15" t="n"/>
      <c r="O916" s="15" t="n">
        <v>26.7</v>
      </c>
      <c r="P916" s="15">
        <f>O916/1.19</f>
        <v/>
      </c>
      <c r="Q916" s="15">
        <f>O916-P916</f>
        <v/>
      </c>
      <c r="R916" s="15">
        <f>O916*0.15</f>
        <v/>
      </c>
      <c r="S916" s="15" t="n">
        <v>11.48</v>
      </c>
      <c r="T916" s="15">
        <f>S916*0.2</f>
        <v/>
      </c>
      <c r="U916" s="15" t="n">
        <v>0.400000000000002</v>
      </c>
      <c r="V916" s="15" t="n">
        <v>6.5</v>
      </c>
      <c r="W916" s="15">
        <f>V916*0.2</f>
        <v/>
      </c>
      <c r="X916" s="21">
        <f>O916-Q916-R916-S916-U916-V916+T916+W916</f>
        <v/>
      </c>
      <c r="Y916" s="14" t="n"/>
      <c r="Z916" s="15">
        <f>O916+1.5</f>
        <v/>
      </c>
      <c r="AA916" s="15" t="n"/>
      <c r="AB916" s="15" t="n"/>
      <c r="AC916" s="14" t="n"/>
      <c r="AD916" s="14" t="n"/>
      <c r="AE916" s="13" t="inlineStr">
        <is>
          <t>NOT_UPLOADED</t>
        </is>
      </c>
    </row>
    <row r="917" ht="16" customHeight="1">
      <c r="A917" s="17" t="n"/>
      <c r="B917" s="17" t="n">
        <v>4008600448501</v>
      </c>
      <c r="C917" s="13" t="n"/>
      <c r="D917" s="18" t="n"/>
      <c r="E917" s="18" t="n"/>
      <c r="F917" s="17" t="n">
        <v>10225351</v>
      </c>
      <c r="G917" s="18" t="inlineStr">
        <is>
          <t>BEBOLINO</t>
        </is>
      </c>
      <c r="H917" s="18" t="inlineStr">
        <is>
          <t>NUK</t>
        </is>
      </c>
      <c r="I917" s="18" t="inlineStr">
        <is>
          <t>NUK Perfect Match Baby Bottles 0-3+ Months 120 ml &amp; 230 ml Anti-Colic Drinking Bottle Glass Temperature Control Display Rainbow Pack of 4</t>
        </is>
      </c>
      <c r="J917" s="18" t="inlineStr">
        <is>
          <t>No</t>
        </is>
      </c>
      <c r="K917" s="18" t="inlineStr">
        <is>
          <t>https://www.amazon.de/-/en/Perfect-Bottles-Anti-Colic-Drinking-Temperature/dp/B0FP5JQ5VQ/ref=sr_1_1?crid=9H9E9IJORCQV&amp;dib=eyJ2IjoiMSJ9.SP09TPPlL4hM6BfwOdSezQ.QOWR3YIAxR6uVLmEvTXy4rmpTxSugGyYYrx8ml4pwio&amp;dib_tag=se&amp;keywords=4008600448501&amp;qid=1765978227&amp;sprefix=4008600448501%2Caps%2C200&amp;sr=8-1</t>
        </is>
      </c>
      <c r="L917" s="18" t="inlineStr">
        <is>
          <t>B0FP5JQ5VQ</t>
        </is>
      </c>
      <c r="M917" s="19" t="n"/>
      <c r="N917" s="19" t="n"/>
      <c r="O917" s="19" t="n">
        <v>58</v>
      </c>
      <c r="P917" s="19">
        <f>O917/1.19</f>
        <v/>
      </c>
      <c r="Q917" s="19">
        <f>O917-P917</f>
        <v/>
      </c>
      <c r="R917" s="19">
        <f>O917*0.15</f>
        <v/>
      </c>
      <c r="S917" s="19" t="n">
        <v>25.57</v>
      </c>
      <c r="T917" s="19">
        <f>S917*0.2</f>
        <v/>
      </c>
      <c r="U917" s="19" t="n">
        <v>0.400000000000002</v>
      </c>
      <c r="V917" s="19" t="n">
        <v>11</v>
      </c>
      <c r="W917" s="19">
        <f>V917*0.2</f>
        <v/>
      </c>
      <c r="X917" s="21">
        <f>O917-Q917-R917-S917-U917-V917+T917+W917</f>
        <v/>
      </c>
      <c r="Y917" s="18" t="n"/>
      <c r="Z917" s="19">
        <f>O917+1.5</f>
        <v/>
      </c>
      <c r="AA917" s="19" t="n"/>
      <c r="AB917" s="19" t="n"/>
      <c r="AC917" s="18" t="n"/>
      <c r="AD917" s="18" t="n"/>
      <c r="AE917" s="13" t="inlineStr">
        <is>
          <t>NOT_UPLOADED</t>
        </is>
      </c>
    </row>
    <row r="918" ht="16" customHeight="1">
      <c r="A918" s="12" t="n"/>
      <c r="B918" s="12" t="n">
        <v>4008600446217</v>
      </c>
      <c r="C918" s="13" t="n"/>
      <c r="D918" s="14" t="n"/>
      <c r="E918" s="14" t="n"/>
      <c r="F918" s="12" t="n">
        <v>10215379</v>
      </c>
      <c r="G918" s="14" t="inlineStr">
        <is>
          <t>BEBOLINO</t>
        </is>
      </c>
      <c r="H918" s="14" t="inlineStr">
        <is>
          <t>NUK</t>
        </is>
      </c>
      <c r="I918" s="14" t="inlineStr">
        <is>
          <t>NUK Perfect Match Learning Bottle | 6+ Months | 150 ml | Leak-proof Drinking Cup for Toddlers | Non-Slip Handles | Sheep | Pack of 1</t>
        </is>
      </c>
      <c r="J918" s="14" t="inlineStr">
        <is>
          <t>No</t>
        </is>
      </c>
      <c r="K918" s="14" t="inlineStr">
        <is>
          <t>https://www.amazon.de/-/en/Learning-Leak-proof-Drinking-Toddlers-Non-Slip/dp/B0FP5P9WWY/ref=sr_1_1?crid=3D0UQWY8VX9GG&amp;dib=eyJ2IjoiMSJ9.u66EnSWynnX1KbMTZJGByg.ulKwTYs81qYg-eAiAEaJ-eVmkuR4vBxL2CyJINCu0qU&amp;dib_tag=se&amp;keywords=4008600446217&amp;qid=1765980475&amp;sprefix=4008600446217%2Caps%2C183&amp;sr=8-1</t>
        </is>
      </c>
      <c r="L918" s="14" t="inlineStr">
        <is>
          <t>B0FP5P9WWY</t>
        </is>
      </c>
      <c r="M918" s="15" t="n"/>
      <c r="N918" s="15" t="n"/>
      <c r="O918" s="15" t="n">
        <v>15.7</v>
      </c>
      <c r="P918" s="15">
        <f>O918/1.19</f>
        <v/>
      </c>
      <c r="Q918" s="15">
        <f>O918-P918</f>
        <v/>
      </c>
      <c r="R918" s="15">
        <f>O918*0.15</f>
        <v/>
      </c>
      <c r="S918" s="15" t="n">
        <v>7.16</v>
      </c>
      <c r="T918" s="15">
        <f>S918*0.2</f>
        <v/>
      </c>
      <c r="U918" s="15" t="n">
        <v>0.400000000000002</v>
      </c>
      <c r="V918" s="15" t="n">
        <v>2.5</v>
      </c>
      <c r="W918" s="15">
        <f>V918*0.2</f>
        <v/>
      </c>
      <c r="X918" s="21">
        <f>O918-Q918-R918-S918-U918-V918+T918+W918</f>
        <v/>
      </c>
      <c r="Y918" s="14" t="n"/>
      <c r="Z918" s="15">
        <f>O918+1.5</f>
        <v/>
      </c>
      <c r="AA918" s="15" t="n"/>
      <c r="AB918" s="15" t="n"/>
      <c r="AC918" s="14" t="n"/>
      <c r="AD918" s="14" t="n"/>
      <c r="AE918" s="13" t="inlineStr">
        <is>
          <t>NOT_UPLOADED</t>
        </is>
      </c>
    </row>
    <row r="919" ht="16" customHeight="1">
      <c r="A919" s="17" t="n"/>
      <c r="B919" s="17" t="n">
        <v>4008600446200</v>
      </c>
      <c r="C919" s="13" t="n"/>
      <c r="D919" s="18" t="n"/>
      <c r="E919" s="18" t="n"/>
      <c r="F919" s="17" t="n">
        <v>10215380</v>
      </c>
      <c r="G919" s="18" t="inlineStr">
        <is>
          <t>BEBOLINO</t>
        </is>
      </c>
      <c r="H919" s="18" t="inlineStr">
        <is>
          <t>NUK</t>
        </is>
      </c>
      <c r="I919" s="18" t="inlineStr">
        <is>
          <t>NUK Perfect Match Learning Bottle | 6+ Months | 150 ml | Leak-proof Drinking Cup for Toddlers | Non-Slip Handles | Hippo | Pack of 1</t>
        </is>
      </c>
      <c r="J919" s="18" t="inlineStr">
        <is>
          <t>No</t>
        </is>
      </c>
      <c r="K919" s="18" t="inlineStr">
        <is>
          <t>https://www.amazon.de/-/en/Learning-Leak-proof-Drinking-Toddlers-Non-Slip/dp/B0FP5K1PTF/ref=sr_1_1?crid=1L3LEP6N043Y&amp;dib=eyJ2IjoiMSJ9.yCWwIIk4DiSFuQji_DrLQw.9PnbXPc5j2SMifE-y3Lbh8rMITTaW0LIt3udR_TFGFQ&amp;dib_tag=se&amp;keywords=4008600446200&amp;qid=1766144379&amp;sprefix=4008600446200%2Caps%2C216&amp;sr=8-1</t>
        </is>
      </c>
      <c r="L919" s="18" t="inlineStr">
        <is>
          <t>B0FP5K1PTF</t>
        </is>
      </c>
      <c r="M919" s="19" t="n"/>
      <c r="N919" s="19" t="n"/>
      <c r="O919" s="19" t="n">
        <v>15.7</v>
      </c>
      <c r="P919" s="19">
        <f>O919/1.19</f>
        <v/>
      </c>
      <c r="Q919" s="19">
        <f>O919-P919</f>
        <v/>
      </c>
      <c r="R919" s="19">
        <f>O919*0.15</f>
        <v/>
      </c>
      <c r="S919" s="19" t="n">
        <v>7.16</v>
      </c>
      <c r="T919" s="19">
        <f>S919*0.2</f>
        <v/>
      </c>
      <c r="U919" s="19" t="n">
        <v>0.400000000000002</v>
      </c>
      <c r="V919" s="19" t="n">
        <v>2.5</v>
      </c>
      <c r="W919" s="19">
        <f>V919*0.2</f>
        <v/>
      </c>
      <c r="X919" s="21">
        <f>O919-Q919-R919-S919-U919-V919+T919+W919</f>
        <v/>
      </c>
      <c r="Y919" s="18" t="n"/>
      <c r="Z919" s="19">
        <f>O919+1.5</f>
        <v/>
      </c>
      <c r="AA919" s="19" t="n"/>
      <c r="AB919" s="19" t="n"/>
      <c r="AC919" s="18" t="n"/>
      <c r="AD919" s="18" t="n"/>
      <c r="AE919" s="13" t="inlineStr">
        <is>
          <t>NOT_UPLOADED</t>
        </is>
      </c>
    </row>
    <row r="920" ht="16" customHeight="1">
      <c r="A920" s="12" t="n"/>
      <c r="B920" s="12" t="n">
        <v>4008600446194</v>
      </c>
      <c r="C920" s="13" t="n"/>
      <c r="D920" s="14" t="n"/>
      <c r="E920" s="14" t="n"/>
      <c r="F920" s="12" t="n">
        <v>10215381</v>
      </c>
      <c r="G920" s="14" t="inlineStr">
        <is>
          <t>BEBOLINO</t>
        </is>
      </c>
      <c r="H920" s="14" t="inlineStr">
        <is>
          <t>NUK</t>
        </is>
      </c>
      <c r="I920" s="14" t="inlineStr">
        <is>
          <t>NUK Perfect Match Learning Bottle | 6+ Months | 150 ml | Leak-proof Drinking Cup for Toddlers | Non-Slip Handles | Monkey | Pack of 1</t>
        </is>
      </c>
      <c r="J920" s="14" t="inlineStr">
        <is>
          <t>No</t>
        </is>
      </c>
      <c r="K920" s="14" t="inlineStr">
        <is>
          <t>https://www.amazon.de/-/en/Learning-Leak-proof-Drinking-Toddlers-Non-Slip/dp/B0FP5KC37K/ref=sr_1_1?crid=1OJPRN9FZ2D78&amp;dib=eyJ2IjoiMSJ9.KidkS78jlLWVYnCa10VKJQ.XoCIRSVHcpEatZhYcTor5elHCBHr7-4iLZvfsST5Q2o&amp;dib_tag=se&amp;keywords=4008600446194&amp;qid=1766144526&amp;sprefix=4008600446194%2Caps%2C134&amp;sr=8-1</t>
        </is>
      </c>
      <c r="L920" s="14" t="inlineStr">
        <is>
          <t>B0FP5KC37K</t>
        </is>
      </c>
      <c r="M920" s="15" t="n"/>
      <c r="N920" s="15" t="n"/>
      <c r="O920" s="15" t="n">
        <v>15.7</v>
      </c>
      <c r="P920" s="15">
        <f>O920/1.19</f>
        <v/>
      </c>
      <c r="Q920" s="15">
        <f>O920-P920</f>
        <v/>
      </c>
      <c r="R920" s="15">
        <f>O920*0.15</f>
        <v/>
      </c>
      <c r="S920" s="15" t="n">
        <v>7.16</v>
      </c>
      <c r="T920" s="15">
        <f>S920*0.2</f>
        <v/>
      </c>
      <c r="U920" s="15" t="n">
        <v>0.400000000000002</v>
      </c>
      <c r="V920" s="15" t="n">
        <v>2.5</v>
      </c>
      <c r="W920" s="15">
        <f>V920*0.2</f>
        <v/>
      </c>
      <c r="X920" s="21">
        <f>O920-Q920-R920-S920-U920-V920+T920+W920</f>
        <v/>
      </c>
      <c r="Y920" s="14" t="n"/>
      <c r="Z920" s="15">
        <f>O920+1.5</f>
        <v/>
      </c>
      <c r="AA920" s="15" t="n"/>
      <c r="AB920" s="15" t="n"/>
      <c r="AC920" s="14" t="n"/>
      <c r="AD920" s="14" t="n"/>
      <c r="AE920" s="13" t="inlineStr">
        <is>
          <t>NOT_UPLOADED</t>
        </is>
      </c>
    </row>
    <row r="921" ht="16" customHeight="1">
      <c r="A921" s="17" t="n"/>
      <c r="B921" s="17" t="n">
        <v>4008600446149</v>
      </c>
      <c r="C921" s="13" t="n"/>
      <c r="D921" s="18" t="n"/>
      <c r="E921" s="18" t="n"/>
      <c r="F921" s="17" t="n">
        <v>10215386</v>
      </c>
      <c r="G921" s="18" t="inlineStr">
        <is>
          <t>BEBOLINO</t>
        </is>
      </c>
      <c r="H921" s="18" t="inlineStr">
        <is>
          <t>NUK</t>
        </is>
      </c>
      <c r="I921" s="18" t="inlineStr">
        <is>
          <t>NUK Perfect Match Learning Bottle | 6+ Months | 150 ml | Leak-proof Drinking Cup for Toddlers | Non-Slip Handles | Glows in the Dark | Koala | Pack of 1</t>
        </is>
      </c>
      <c r="J921" s="18" t="inlineStr">
        <is>
          <t>No</t>
        </is>
      </c>
      <c r="K921" s="18" t="inlineStr">
        <is>
          <t>https://www.amazon.de/-/en/Learning-Leak-proof-Drinking-Toddlers-Non-Slip/dp/B0FP5L4GX5/ref=sr_1_1?crid=1ICXMQU38PY25&amp;dib=eyJ2IjoiMSJ9.95aYgmlEeZIzf-PrM6FaeA.OjZzAuROVkaxHv9iN4Rv-OSr0tVUfOB6igrZfBzVy5c&amp;dib_tag=se&amp;keywords=4008600446149&amp;qid=1766144645&amp;sprefix=4008600446149%2Caps%2C343&amp;sr=8-1</t>
        </is>
      </c>
      <c r="L921" s="18" t="inlineStr">
        <is>
          <t>B0FP5L4GX5</t>
        </is>
      </c>
      <c r="M921" s="19" t="n"/>
      <c r="N921" s="19" t="n"/>
      <c r="O921" s="19" t="n">
        <v>16.7</v>
      </c>
      <c r="P921" s="19">
        <f>O921/1.19</f>
        <v/>
      </c>
      <c r="Q921" s="19">
        <f>O921-P921</f>
        <v/>
      </c>
      <c r="R921" s="19">
        <f>O921*0.15</f>
        <v/>
      </c>
      <c r="S921" s="19" t="n">
        <v>8.19</v>
      </c>
      <c r="T921" s="19">
        <f>S921*0.2</f>
        <v/>
      </c>
      <c r="U921" s="19" t="n">
        <v>0.400000000000002</v>
      </c>
      <c r="V921" s="19" t="n">
        <v>2.5</v>
      </c>
      <c r="W921" s="19">
        <f>V921*0.2</f>
        <v/>
      </c>
      <c r="X921" s="21">
        <f>O921-Q921-R921-S921-U921-V921+T921+W921</f>
        <v/>
      </c>
      <c r="Y921" s="18" t="n"/>
      <c r="Z921" s="19">
        <f>O921+1.5</f>
        <v/>
      </c>
      <c r="AA921" s="19" t="n"/>
      <c r="AB921" s="19" t="n"/>
      <c r="AC921" s="18" t="n"/>
      <c r="AD921" s="18" t="n"/>
      <c r="AE921" s="13" t="inlineStr">
        <is>
          <t>NOT_UPLOADED</t>
        </is>
      </c>
    </row>
    <row r="922" ht="16" customHeight="1">
      <c r="A922" s="12" t="n"/>
      <c r="B922" s="12" t="n">
        <v>4008600446132</v>
      </c>
      <c r="C922" s="13" t="n"/>
      <c r="D922" s="14" t="n"/>
      <c r="E922" s="14" t="n"/>
      <c r="F922" s="12" t="n">
        <v>10215387</v>
      </c>
      <c r="G922" s="14" t="inlineStr">
        <is>
          <t>BEBOLINO</t>
        </is>
      </c>
      <c r="H922" s="14" t="inlineStr">
        <is>
          <t>NUK</t>
        </is>
      </c>
      <c r="I922" s="14" t="inlineStr">
        <is>
          <t>NUK Perfect Match Learning Bottle | 6+ Months | 150 ml | Leak-proof Drinking Cup for Toddlers | Non-Slip Handles | Glows in the Dark | Rabbit | Pack of 1</t>
        </is>
      </c>
      <c r="J922" s="14" t="inlineStr">
        <is>
          <t>No</t>
        </is>
      </c>
      <c r="K922" s="14" t="inlineStr">
        <is>
          <t>https://www.amazon.de/-/en/Learning-Leak-proof-Drinking-Toddlers-Non-Slip/dp/B0FP5J4XB6/ref=sr_1_1?crid=33X0VWA3I0G7M&amp;dib=eyJ2IjoiMSJ9.UzetO4_mw82_67upldXhpw.pId-HhMHDieAIMNPrVQ-xJrM38VSZfP7wvFBVrylXM0&amp;dib_tag=se&amp;keywords=4008600446132&amp;qid=1766144781&amp;sprefix=4008600446132%2Caps%2C178&amp;sr=8-1</t>
        </is>
      </c>
      <c r="L922" s="14" t="inlineStr">
        <is>
          <t>B0FP5J4XB6</t>
        </is>
      </c>
      <c r="M922" s="15" t="n"/>
      <c r="N922" s="15" t="n"/>
      <c r="O922" s="15" t="n">
        <v>16.7</v>
      </c>
      <c r="P922" s="15">
        <f>O922/1.19</f>
        <v/>
      </c>
      <c r="Q922" s="15">
        <f>O922-P922</f>
        <v/>
      </c>
      <c r="R922" s="15">
        <f>O922*0.15</f>
        <v/>
      </c>
      <c r="S922" s="15" t="n">
        <v>8.19</v>
      </c>
      <c r="T922" s="15">
        <f>S922*0.2</f>
        <v/>
      </c>
      <c r="U922" s="15" t="n">
        <v>0.400000000000002</v>
      </c>
      <c r="V922" s="15" t="n">
        <v>2.5</v>
      </c>
      <c r="W922" s="15">
        <f>V922*0.2</f>
        <v/>
      </c>
      <c r="X922" s="21">
        <f>O922-Q922-R922-S922-U922-V922+T922+W922</f>
        <v/>
      </c>
      <c r="Y922" s="14" t="n"/>
      <c r="Z922" s="15">
        <f>O922+1.5</f>
        <v/>
      </c>
      <c r="AA922" s="15" t="n"/>
      <c r="AB922" s="15" t="n"/>
      <c r="AC922" s="14" t="n"/>
      <c r="AD922" s="14" t="n"/>
      <c r="AE922" s="13" t="inlineStr">
        <is>
          <t>NOT_UPLOADED</t>
        </is>
      </c>
    </row>
    <row r="923" ht="16" customHeight="1">
      <c r="A923" s="17" t="n"/>
      <c r="B923" s="17" t="n">
        <v>4008600446330</v>
      </c>
      <c r="C923" s="13" t="n"/>
      <c r="D923" s="18" t="n"/>
      <c r="E923" s="18" t="n"/>
      <c r="F923" s="17" t="n">
        <v>10215391</v>
      </c>
      <c r="G923" s="18" t="inlineStr">
        <is>
          <t>BEBOLINO</t>
        </is>
      </c>
      <c r="H923" s="18" t="inlineStr">
        <is>
          <t>NUK</t>
        </is>
      </c>
      <c r="I923" s="18" t="inlineStr">
        <is>
          <t>NUK Perfect Match Learning Bottle | 6+ Months | 150 ml | Leak-proof Drinking Cup for Toddlers | Non-Slip Handles | Disney Winnie the Pooh | Pack of 1</t>
        </is>
      </c>
      <c r="J923" s="18" t="inlineStr">
        <is>
          <t>No</t>
        </is>
      </c>
      <c r="K923" s="18" t="inlineStr">
        <is>
          <t>https://www.amazon.de/-/en/Learning-Leak-proof-Drinking-Toddlers-Non-Slip/dp/B0FP5PJ2JJ/ref=sr_1_1?crid=L0WY3PRYREUX&amp;dib=eyJ2IjoiMSJ9.WYfHaRSsSp-pXNQDsiEcpA.H86lie42unJRdQ1_nGEpxAV88feMN-BKqARag-RwTK0&amp;dib_tag=se&amp;keywords=4008600446330&amp;qid=1766144919&amp;sprefix=4008600446330%2Caps%2C173&amp;sr=8-1</t>
        </is>
      </c>
      <c r="L923" s="18" t="inlineStr">
        <is>
          <t>B0FP5PJ2JJ</t>
        </is>
      </c>
      <c r="M923" s="19" t="n"/>
      <c r="N923" s="19" t="n"/>
      <c r="O923" s="19" t="n">
        <v>16.9</v>
      </c>
      <c r="P923" s="19">
        <f>O923/1.19</f>
        <v/>
      </c>
      <c r="Q923" s="19">
        <f>O923-P923</f>
        <v/>
      </c>
      <c r="R923" s="19">
        <f>O923*0.15</f>
        <v/>
      </c>
      <c r="S923" s="19" t="n">
        <v>8.19</v>
      </c>
      <c r="T923" s="19">
        <f>S923*0.2</f>
        <v/>
      </c>
      <c r="U923" s="19" t="n">
        <v>0.400000000000002</v>
      </c>
      <c r="V923" s="19" t="n">
        <v>2.5</v>
      </c>
      <c r="W923" s="19">
        <f>V923*0.2</f>
        <v/>
      </c>
      <c r="X923" s="21">
        <f>O923-Q923-R923-S923-U923-V923+T923+W923</f>
        <v/>
      </c>
      <c r="Y923" s="18" t="n"/>
      <c r="Z923" s="19">
        <f>O923+1.5</f>
        <v/>
      </c>
      <c r="AA923" s="19" t="n"/>
      <c r="AB923" s="19" t="n"/>
      <c r="AC923" s="18" t="n"/>
      <c r="AD923" s="18" t="n"/>
      <c r="AE923" s="13" t="inlineStr">
        <is>
          <t>NOT_UPLOADED</t>
        </is>
      </c>
    </row>
    <row r="924" ht="16" customHeight="1">
      <c r="A924" s="12" t="n"/>
      <c r="B924" s="12" t="n">
        <v>4008600446323</v>
      </c>
      <c r="C924" s="13" t="n"/>
      <c r="D924" s="14" t="n"/>
      <c r="E924" s="14" t="n"/>
      <c r="F924" s="12" t="n">
        <v>10215392</v>
      </c>
      <c r="G924" s="14" t="inlineStr">
        <is>
          <t>BEBOLINO</t>
        </is>
      </c>
      <c r="H924" s="14" t="inlineStr">
        <is>
          <t>NUK</t>
        </is>
      </c>
      <c r="I924" s="14" t="inlineStr">
        <is>
          <t>NUK Perfect Match Learning Bottle | 6+ Months | 150 ml | Leak-proof Drinking Cup for Toddlers | Non-Slip Handles | Disney Eeyore | Pack of 1</t>
        </is>
      </c>
      <c r="J924" s="14" t="inlineStr">
        <is>
          <t>No</t>
        </is>
      </c>
      <c r="K924" s="14" t="inlineStr">
        <is>
          <t>https://www.amazon.de/-/en/Learning-Leak-proof-Drinking-Toddlers-Non-Slip/dp/B0FP5MMJQF/ref=sr_1_1?crid=273Y6M7NXA2VI&amp;dib=eyJ2IjoiMSJ9.61VDYzrxkyX2qSXKtLkwNw.vRXrE4Anzs0TV08UHk5S7gKJ70HyF2NWDqdjOlL5cgg&amp;dib_tag=se&amp;keywords=4008600446323&amp;qid=1766145347&amp;sprefix=4008600446323%2Caps%2C210&amp;sr=8-1</t>
        </is>
      </c>
      <c r="L924" s="14" t="inlineStr">
        <is>
          <t>B0FP5MMJQF</t>
        </is>
      </c>
      <c r="M924" s="15" t="n"/>
      <c r="N924" s="15" t="n"/>
      <c r="O924" s="15" t="n">
        <v>16.9</v>
      </c>
      <c r="P924" s="15">
        <f>O924/1.19</f>
        <v/>
      </c>
      <c r="Q924" s="15">
        <f>O924-P924</f>
        <v/>
      </c>
      <c r="R924" s="15">
        <f>O924*0.15</f>
        <v/>
      </c>
      <c r="S924" s="15" t="n">
        <v>8.19</v>
      </c>
      <c r="T924" s="15">
        <f>S924*0.2</f>
        <v/>
      </c>
      <c r="U924" s="15" t="n">
        <v>0.400000000000002</v>
      </c>
      <c r="V924" s="15" t="n">
        <v>2.5</v>
      </c>
      <c r="W924" s="15">
        <f>V924*0.2</f>
        <v/>
      </c>
      <c r="X924" s="21">
        <f>O924-Q924-R924-S924-U924-V924+T924+W924</f>
        <v/>
      </c>
      <c r="Y924" s="14" t="n"/>
      <c r="Z924" s="15">
        <f>O924+1.5</f>
        <v/>
      </c>
      <c r="AA924" s="15" t="n"/>
      <c r="AB924" s="15" t="n"/>
      <c r="AC924" s="14" t="n"/>
      <c r="AD924" s="14" t="n"/>
      <c r="AE924" s="13" t="inlineStr">
        <is>
          <t>NOT_UPLOADED</t>
        </is>
      </c>
    </row>
    <row r="925" ht="16" customHeight="1">
      <c r="A925" s="17" t="n"/>
      <c r="B925" s="17" t="n">
        <v>4008600446286</v>
      </c>
      <c r="C925" s="13" t="n"/>
      <c r="D925" s="18" t="n"/>
      <c r="E925" s="18" t="n"/>
      <c r="F925" s="17" t="n">
        <v>10215396</v>
      </c>
      <c r="G925" s="18" t="inlineStr">
        <is>
          <t>BEBOLINO</t>
        </is>
      </c>
      <c r="H925" s="18" t="inlineStr">
        <is>
          <t>NUK</t>
        </is>
      </c>
      <c r="I925" s="18" t="inlineStr">
        <is>
          <t>NUK Perfect Match Learning Bottle | 6+ Months | 150 ml | Leak-proof Drinking Cup for Toddlers | Non-Slip Handles | Disney Mickey Mouse | Pack of 1</t>
        </is>
      </c>
      <c r="J925" s="18" t="inlineStr">
        <is>
          <t>No</t>
        </is>
      </c>
      <c r="K925" s="18" t="inlineStr">
        <is>
          <t>https://www.amazon.de/-/en/Learning-Leak-proof-Drinking-Toddlers-Non-Slip/dp/B0FP5HSH69/ref=sr_1_1?crid=24UERWMNGWF4K&amp;dib=eyJ2IjoiMSJ9.esnE_SkAONd8kpbgpbzGaw.O4dcqRKWGdRugDF952XJhhd2JWXGPbc2chPgpFYUB4M&amp;dib_tag=se&amp;keywords=4008600446286&amp;qid=1766145434&amp;sprefix=4008600446286%2Caps%2C192&amp;sr=8-1</t>
        </is>
      </c>
      <c r="L925" s="18" t="inlineStr">
        <is>
          <t>B0FP5HSH69</t>
        </is>
      </c>
      <c r="M925" s="19" t="n"/>
      <c r="N925" s="19" t="n"/>
      <c r="O925" s="19" t="n">
        <v>16.9</v>
      </c>
      <c r="P925" s="19">
        <f>O925/1.19</f>
        <v/>
      </c>
      <c r="Q925" s="19">
        <f>O925-P925</f>
        <v/>
      </c>
      <c r="R925" s="19">
        <f>O925*0.15</f>
        <v/>
      </c>
      <c r="S925" s="19" t="n">
        <v>8.19</v>
      </c>
      <c r="T925" s="19">
        <f>S925*0.2</f>
        <v/>
      </c>
      <c r="U925" s="19" t="n">
        <v>0.400000000000002</v>
      </c>
      <c r="V925" s="19" t="n">
        <v>2.5</v>
      </c>
      <c r="W925" s="19">
        <f>V925*0.2</f>
        <v/>
      </c>
      <c r="X925" s="21">
        <f>O925-Q925-R925-S925-U925-V925+T925+W925</f>
        <v/>
      </c>
      <c r="Y925" s="18" t="n"/>
      <c r="Z925" s="19">
        <f>O925+1.5</f>
        <v/>
      </c>
      <c r="AA925" s="19" t="n"/>
      <c r="AB925" s="19" t="n"/>
      <c r="AC925" s="18" t="n"/>
      <c r="AD925" s="18" t="n"/>
      <c r="AE925" s="13" t="inlineStr">
        <is>
          <t>NOT_UPLOADED</t>
        </is>
      </c>
    </row>
    <row r="926" ht="16" customHeight="1">
      <c r="A926" s="12" t="n"/>
      <c r="B926" s="12" t="n">
        <v>4008600446279</v>
      </c>
      <c r="C926" s="13" t="n"/>
      <c r="D926" s="14" t="n"/>
      <c r="E926" s="14" t="n"/>
      <c r="F926" s="12" t="n">
        <v>10215397</v>
      </c>
      <c r="G926" s="14" t="inlineStr">
        <is>
          <t>BEBOLINO</t>
        </is>
      </c>
      <c r="H926" s="14" t="inlineStr">
        <is>
          <t>NUK</t>
        </is>
      </c>
      <c r="I926" s="14" t="inlineStr">
        <is>
          <t>NUK Perfect Match Learning Bottle | 6+ Months | 150 ml | Leak-proof Drinking Cup for Toddlers | Non-Slip Handles | Disney Minnie Mouse | Pack of 1</t>
        </is>
      </c>
      <c r="J926" s="14" t="inlineStr">
        <is>
          <t>No</t>
        </is>
      </c>
      <c r="K926" s="14" t="inlineStr">
        <is>
          <t>https://www.amazon.de/-/en/Learning-Leak-proof-Drinking-Toddlers-Non-Slip/dp/B0FP5KZMT1/ref=sr_1_1?crid=54D2Z6EVMTH7&amp;dib=eyJ2IjoiMSJ9.02tpQr2jzOMwgfSVyINrXw.MkCFhjEO5QVAFtkATttgPPq-rP0KGLcst33Lq-P3P18&amp;dib_tag=se&amp;keywords=4008600446279&amp;qid=1766145804&amp;sprefix=4008600446279%2Caps%2C221&amp;sr=8-1</t>
        </is>
      </c>
      <c r="L926" s="14" t="inlineStr">
        <is>
          <t>B0FP5KZMT1</t>
        </is>
      </c>
      <c r="M926" s="15" t="n"/>
      <c r="N926" s="15" t="n"/>
      <c r="O926" s="15" t="n">
        <v>16.9</v>
      </c>
      <c r="P926" s="15">
        <f>O926/1.19</f>
        <v/>
      </c>
      <c r="Q926" s="15">
        <f>O926-P926</f>
        <v/>
      </c>
      <c r="R926" s="15">
        <f>O926*0.15</f>
        <v/>
      </c>
      <c r="S926" s="15" t="n">
        <v>8.19</v>
      </c>
      <c r="T926" s="15">
        <f>S926*0.2</f>
        <v/>
      </c>
      <c r="U926" s="15" t="n">
        <v>0.400000000000002</v>
      </c>
      <c r="V926" s="15" t="n">
        <v>2.5</v>
      </c>
      <c r="W926" s="15">
        <f>V926*0.2</f>
        <v/>
      </c>
      <c r="X926" s="21">
        <f>O926-Q926-R926-S926-U926-V926+T926+W926</f>
        <v/>
      </c>
      <c r="Y926" s="14" t="n"/>
      <c r="Z926" s="15">
        <f>O926+1.5</f>
        <v/>
      </c>
      <c r="AA926" s="15" t="n"/>
      <c r="AB926" s="15" t="n"/>
      <c r="AC926" s="14" t="n"/>
      <c r="AD926" s="14" t="n"/>
      <c r="AE926" s="13" t="inlineStr">
        <is>
          <t>NOT_UPLOADED</t>
        </is>
      </c>
    </row>
    <row r="927" ht="16" customHeight="1">
      <c r="A927" s="17" t="n"/>
      <c r="B927" s="17" t="n">
        <v>4008600446408</v>
      </c>
      <c r="C927" s="13" t="n"/>
      <c r="D927" s="18" t="n"/>
      <c r="E927" s="18" t="n"/>
      <c r="F927" s="17" t="n">
        <v>10216311</v>
      </c>
      <c r="G927" s="18" t="inlineStr">
        <is>
          <t>BEBOLINO</t>
        </is>
      </c>
      <c r="H927" s="18" t="inlineStr">
        <is>
          <t>NUK</t>
        </is>
      </c>
      <c r="I927" s="18" t="inlineStr">
        <is>
          <t>NUK Perfect Match Learning Bottle | 6+ Months | 260 ml | Leak-proof Drinking Cup for Toddlers | Non-Slip Handles | Sheep | Pack of 1</t>
        </is>
      </c>
      <c r="J927" s="18" t="inlineStr">
        <is>
          <t>No</t>
        </is>
      </c>
      <c r="K927" s="18" t="inlineStr">
        <is>
          <t>https://www.amazon.de/-/en/Learning-Leak-proof-Drinking-Toddlers-Non-Slip/dp/B0FP5N6VQX/ref=sr_1_1?crid=19HCCGOJE0KL0&amp;dib=eyJ2IjoiMSJ9.gRLLKTP3bebsf1dj2f397w.Md37HTpE_wfjgF5NGyTsPuhSHHf5eRynNnZS6WWxB30&amp;dib_tag=se&amp;keywords=4008600446408&amp;qid=1766145869&amp;sprefix=4008600446408%2Caps%2C127&amp;sr=8-1</t>
        </is>
      </c>
      <c r="L927" s="18" t="inlineStr">
        <is>
          <t>B0FP5N6VQX</t>
        </is>
      </c>
      <c r="M927" s="19" t="n"/>
      <c r="N927" s="19" t="n"/>
      <c r="O927" s="19" t="n">
        <v>17.3</v>
      </c>
      <c r="P927" s="19">
        <f>O927/1.19</f>
        <v/>
      </c>
      <c r="Q927" s="19">
        <f>O927-P927</f>
        <v/>
      </c>
      <c r="R927" s="19">
        <f>O927*0.15</f>
        <v/>
      </c>
      <c r="S927" s="19" t="n">
        <v>8.19</v>
      </c>
      <c r="T927" s="19">
        <f>S927*0.2</f>
        <v/>
      </c>
      <c r="U927" s="19" t="n">
        <v>0.400000000000002</v>
      </c>
      <c r="V927" s="19" t="n">
        <v>2.5</v>
      </c>
      <c r="W927" s="19">
        <f>V927*0.2</f>
        <v/>
      </c>
      <c r="X927" s="21">
        <f>O927-Q927-R927-S927-U927-V927+T927+W927</f>
        <v/>
      </c>
      <c r="Y927" s="18" t="n"/>
      <c r="Z927" s="19">
        <f>O927+1.5</f>
        <v/>
      </c>
      <c r="AA927" s="19" t="n"/>
      <c r="AB927" s="19" t="n"/>
      <c r="AC927" s="18" t="n"/>
      <c r="AD927" s="18" t="n"/>
      <c r="AE927" s="13" t="inlineStr">
        <is>
          <t>NOT_UPLOADED</t>
        </is>
      </c>
    </row>
    <row r="928" ht="16" customHeight="1">
      <c r="A928" s="12" t="n"/>
      <c r="B928" s="12" t="n">
        <v>4008600446392</v>
      </c>
      <c r="C928" s="13" t="n"/>
      <c r="D928" s="14" t="n"/>
      <c r="E928" s="14" t="n"/>
      <c r="F928" s="12" t="n">
        <v>10216312</v>
      </c>
      <c r="G928" s="14" t="inlineStr">
        <is>
          <t>BEBOLINO</t>
        </is>
      </c>
      <c r="H928" s="14" t="inlineStr">
        <is>
          <t>NUK</t>
        </is>
      </c>
      <c r="I928" s="14" t="inlineStr">
        <is>
          <t>NUK Perfect Match Learning Bottle | 6+ Months | 260 ml | Leak-proof Drinking Cup for Toddlers | Non-Slip Handles | Hippo | Pack of 1</t>
        </is>
      </c>
      <c r="J928" s="14" t="inlineStr">
        <is>
          <t>No</t>
        </is>
      </c>
      <c r="K928" s="14" t="inlineStr">
        <is>
          <t>https://www.amazon.de/-/en/Learning-Leak-proof-Drinking-Toddlers-Non-Slip/dp/B0FP5K2JVC/ref=sr_1_1?crid=215F834G0T848&amp;dib=eyJ2IjoiMSJ9.eeUFTfyQuFeMdxggK7Jcgw.w2G8kSuv6STNfshwYXaYCuWKRqYr0XR-5XwURWuQsK4&amp;dib_tag=se&amp;keywords=4008600446392&amp;qid=1766145966&amp;sprefix=4008600446392%2Caps%2C179&amp;sr=8-1</t>
        </is>
      </c>
      <c r="L928" s="14" t="inlineStr">
        <is>
          <t>B0FP5K2JVC</t>
        </is>
      </c>
      <c r="M928" s="15" t="n"/>
      <c r="N928" s="15" t="n"/>
      <c r="O928" s="15" t="n">
        <v>17.3</v>
      </c>
      <c r="P928" s="15">
        <f>O928/1.19</f>
        <v/>
      </c>
      <c r="Q928" s="15">
        <f>O928-P928</f>
        <v/>
      </c>
      <c r="R928" s="15">
        <f>O928*0.15</f>
        <v/>
      </c>
      <c r="S928" s="15" t="n">
        <v>8.19</v>
      </c>
      <c r="T928" s="15">
        <f>S928*0.2</f>
        <v/>
      </c>
      <c r="U928" s="15" t="n">
        <v>0.400000000000002</v>
      </c>
      <c r="V928" s="15" t="n">
        <v>2.5</v>
      </c>
      <c r="W928" s="15">
        <f>V928*0.2</f>
        <v/>
      </c>
      <c r="X928" s="21">
        <f>O928-Q928-R928-S928-U928-V928+T928+W928</f>
        <v/>
      </c>
      <c r="Y928" s="14" t="n"/>
      <c r="Z928" s="15">
        <f>O928+1.5</f>
        <v/>
      </c>
      <c r="AA928" s="15" t="n"/>
      <c r="AB928" s="15" t="n"/>
      <c r="AC928" s="14" t="n"/>
      <c r="AD928" s="14" t="n"/>
      <c r="AE928" s="13" t="inlineStr">
        <is>
          <t>NOT_UPLOADED</t>
        </is>
      </c>
    </row>
    <row r="929" ht="16" customHeight="1">
      <c r="A929" s="17" t="n"/>
      <c r="B929" s="17" t="n">
        <v>4008600446385</v>
      </c>
      <c r="C929" s="13" t="n"/>
      <c r="D929" s="18" t="n"/>
      <c r="E929" s="18" t="n"/>
      <c r="F929" s="17" t="n">
        <v>10216313</v>
      </c>
      <c r="G929" s="18" t="inlineStr">
        <is>
          <t>BEBOLINO</t>
        </is>
      </c>
      <c r="H929" s="18" t="inlineStr">
        <is>
          <t>NUK</t>
        </is>
      </c>
      <c r="I929" s="18" t="inlineStr">
        <is>
          <t>NUK Perfect Match Learning Bottle | 6+ Months | 260 ml | Leak-proof Drinking Cup for Toddlers | Non-Slip Handles | Monkey | Pack of 1</t>
        </is>
      </c>
      <c r="J929" s="18" t="inlineStr">
        <is>
          <t>No</t>
        </is>
      </c>
      <c r="K929" s="18" t="inlineStr">
        <is>
          <t>https://www.amazon.de/-/en/Learning-Leak-proof-Drinking-Toddlers-Non-Slip/dp/B0FP5LF13B/ref=sr_1_1?crid=1RZHLUXSHVMP9&amp;dib=eyJ2IjoiMSJ9.3SEJu-EQoOBaZ_QFaKVnEQ.p4tRMb0i1pA6VtPOH9Q1rf2D5YYAIrVM3VHsxZ_MX0g&amp;dib_tag=se&amp;keywords=4008600446385&amp;qid=1766146040&amp;sprefix=4008600446385%2Caps%2C214&amp;sr=8-1</t>
        </is>
      </c>
      <c r="L929" s="18" t="inlineStr">
        <is>
          <t>B0FP5LF13B</t>
        </is>
      </c>
      <c r="M929" s="19" t="n"/>
      <c r="N929" s="19" t="n"/>
      <c r="O929" s="19" t="n">
        <v>17.3</v>
      </c>
      <c r="P929" s="19">
        <f>O929/1.19</f>
        <v/>
      </c>
      <c r="Q929" s="19">
        <f>O929-P929</f>
        <v/>
      </c>
      <c r="R929" s="19">
        <f>O929*0.15</f>
        <v/>
      </c>
      <c r="S929" s="19" t="n">
        <v>8.19</v>
      </c>
      <c r="T929" s="19">
        <f>S929*0.2</f>
        <v/>
      </c>
      <c r="U929" s="19" t="n">
        <v>0.400000000000002</v>
      </c>
      <c r="V929" s="19" t="n">
        <v>2.5</v>
      </c>
      <c r="W929" s="19">
        <f>V929*0.2</f>
        <v/>
      </c>
      <c r="X929" s="21">
        <f>O929-Q929-R929-S929-U929-V929+T929+W929</f>
        <v/>
      </c>
      <c r="Y929" s="18" t="n"/>
      <c r="Z929" s="19">
        <f>O929+1.5</f>
        <v/>
      </c>
      <c r="AA929" s="19" t="n"/>
      <c r="AB929" s="19" t="n"/>
      <c r="AC929" s="18" t="n"/>
      <c r="AD929" s="18" t="n"/>
      <c r="AE929" s="13" t="inlineStr">
        <is>
          <t>NOT_UPLOADED</t>
        </is>
      </c>
    </row>
    <row r="930" ht="16" customHeight="1">
      <c r="A930" s="12" t="n"/>
      <c r="B930" s="12" t="n">
        <v>4008600446507</v>
      </c>
      <c r="C930" s="13" t="n"/>
      <c r="D930" s="14" t="n"/>
      <c r="E930" s="14" t="n"/>
      <c r="F930" s="12" t="n">
        <v>10215401</v>
      </c>
      <c r="G930" s="14" t="inlineStr">
        <is>
          <t>BEBOLINO</t>
        </is>
      </c>
      <c r="H930" s="14" t="inlineStr">
        <is>
          <t>NUK</t>
        </is>
      </c>
      <c r="I930" s="14" t="inlineStr">
        <is>
          <t>NUK Perfect Match Learning Drinking Bottle with Straw | 8+ Months | 150ml | Leak-proof Baby Straw Cup | Non-Slip Handles | Blue | 1 Piece</t>
        </is>
      </c>
      <c r="J930" s="14" t="inlineStr">
        <is>
          <t>No</t>
        </is>
      </c>
      <c r="K930" s="14" t="inlineStr">
        <is>
          <t>https://www.amazon.de/-/en/Perfect-Learning-Drinking-Leak-proof-Non-Slip/dp/B0FP5HQ8FL/ref=sr_1_1?crid=2B6EA6W2CQPPV&amp;dib=eyJ2IjoiMSJ9.IA3Fb18-BCEilGDy77x1rA.4S_yxhI_a-DcK69wSZDJscsDEyj7XqE7EkqLhL1IWNs&amp;dib_tag=se&amp;keywords=4008600446507&amp;qid=1766146127&amp;sprefix=4008600446507%2Caps%2C197&amp;sr=8-1</t>
        </is>
      </c>
      <c r="L930" s="14" t="inlineStr">
        <is>
          <t>B0FP5HQ8FL</t>
        </is>
      </c>
      <c r="M930" s="15" t="n"/>
      <c r="N930" s="15" t="n"/>
      <c r="O930" s="15" t="n">
        <v>16.9</v>
      </c>
      <c r="P930" s="15">
        <f>O930/1.19</f>
        <v/>
      </c>
      <c r="Q930" s="15">
        <f>O930-P930</f>
        <v/>
      </c>
      <c r="R930" s="15">
        <f>O930*0.15</f>
        <v/>
      </c>
      <c r="S930" s="15" t="n">
        <v>8.19</v>
      </c>
      <c r="T930" s="15">
        <f>S930*0.2</f>
        <v/>
      </c>
      <c r="U930" s="15" t="n">
        <v>0.400000000000002</v>
      </c>
      <c r="V930" s="15" t="n">
        <v>2.5</v>
      </c>
      <c r="W930" s="15">
        <f>V930*0.2</f>
        <v/>
      </c>
      <c r="X930" s="21">
        <f>O930-Q930-R930-S930-U930-V930+T930+W930</f>
        <v/>
      </c>
      <c r="Y930" s="14" t="n"/>
      <c r="Z930" s="15">
        <f>O930+1.5</f>
        <v/>
      </c>
      <c r="AA930" s="15" t="n"/>
      <c r="AB930" s="15" t="n"/>
      <c r="AC930" s="14" t="n"/>
      <c r="AD930" s="14" t="n"/>
      <c r="AE930" s="13" t="inlineStr">
        <is>
          <t>NOT_UPLOADED</t>
        </is>
      </c>
    </row>
    <row r="931" ht="16" customHeight="1">
      <c r="A931" s="17" t="n"/>
      <c r="B931" s="17" t="n">
        <v>4008600446491</v>
      </c>
      <c r="C931" s="13" t="n"/>
      <c r="D931" s="18" t="n"/>
      <c r="E931" s="18" t="n"/>
      <c r="F931" s="17" t="n">
        <v>10215402</v>
      </c>
      <c r="G931" s="18" t="inlineStr">
        <is>
          <t>BEBOLINO</t>
        </is>
      </c>
      <c r="H931" s="18" t="inlineStr">
        <is>
          <t>NUK</t>
        </is>
      </c>
      <c r="I931" s="18" t="inlineStr">
        <is>
          <t>NUK Perfect Match Learning Drinking Bottle with Straw | 8+ Months | 150ml | Leak-proof Baby Straw Cup | Non-Slip Handles | Pink | 1 Piece</t>
        </is>
      </c>
      <c r="J931" s="18" t="inlineStr">
        <is>
          <t>No</t>
        </is>
      </c>
      <c r="K931" s="18" t="inlineStr">
        <is>
          <t>https://www.amazon.de/-/en/Perfect-Learning-Drinking-Leak-proof-Non-Slip/dp/B0FP5LBRQR/ref=sr_1_1?crid=21URJMUTAZXWY&amp;dib=eyJ2IjoiMSJ9.eXs62BZ_o6U9S8jIlWYAxA.hdB7ug-ttfIP9U6y0HONRHdrm6XcFi2CDCLz5i051oE&amp;dib_tag=se&amp;keywords=4008600446491&amp;qid=1766146256&amp;sprefix=4008600446491%2Caps%2C153&amp;sr=8-1</t>
        </is>
      </c>
      <c r="L931" s="18" t="inlineStr">
        <is>
          <t>B0FP5LBRQR</t>
        </is>
      </c>
      <c r="M931" s="19" t="n"/>
      <c r="N931" s="19" t="n"/>
      <c r="O931" s="19" t="n">
        <v>17.3</v>
      </c>
      <c r="P931" s="19">
        <f>O931/1.19</f>
        <v/>
      </c>
      <c r="Q931" s="19">
        <f>O931-P931</f>
        <v/>
      </c>
      <c r="R931" s="19">
        <f>O931*0.15</f>
        <v/>
      </c>
      <c r="S931" s="19" t="n">
        <v>8.19</v>
      </c>
      <c r="T931" s="19">
        <f>S931*0.2</f>
        <v/>
      </c>
      <c r="U931" s="19" t="n">
        <v>0.400000000000002</v>
      </c>
      <c r="V931" s="19" t="n">
        <v>2.5</v>
      </c>
      <c r="W931" s="19">
        <f>V931*0.2</f>
        <v/>
      </c>
      <c r="X931" s="21">
        <f>O931-Q931-R931-S931-U931-V931+T931+W931</f>
        <v/>
      </c>
      <c r="Y931" s="18" t="n"/>
      <c r="Z931" s="19">
        <f>O931+1.5</f>
        <v/>
      </c>
      <c r="AA931" s="19" t="n"/>
      <c r="AB931" s="19" t="n"/>
      <c r="AC931" s="18" t="n"/>
      <c r="AD931" s="18" t="n"/>
      <c r="AE931" s="13" t="inlineStr">
        <is>
          <t>NOT_UPLOADED</t>
        </is>
      </c>
    </row>
    <row r="932" ht="16" customHeight="1">
      <c r="A932" s="12" t="n"/>
      <c r="B932" s="12" t="n">
        <v>4008600446453</v>
      </c>
      <c r="C932" s="13" t="n"/>
      <c r="D932" s="14" t="n"/>
      <c r="E932" s="14" t="n"/>
      <c r="F932" s="12" t="n">
        <v>10216318</v>
      </c>
      <c r="G932" s="14" t="inlineStr">
        <is>
          <t>BEBOLINO</t>
        </is>
      </c>
      <c r="H932" s="14" t="inlineStr">
        <is>
          <t>NUK</t>
        </is>
      </c>
      <c r="I932" s="14" t="inlineStr">
        <is>
          <t>NUK Perfect Match Learning Drinking Bottle with Straw | 8+ Months | 260ml | Leak-proof Baby Straw Cup | Non-Slip Handles | Blue | 1 Piece</t>
        </is>
      </c>
      <c r="J932" s="14" t="inlineStr">
        <is>
          <t>No</t>
        </is>
      </c>
      <c r="K932" s="14" t="inlineStr">
        <is>
          <t>https://www.amazon.de/-/en/Perfect-Learning-Drinking-Leak-proof-Non-Slip/dp/B0FP5LCTPM/ref=sr_1_1?crid=PTUS6JQE49VG&amp;dib=eyJ2IjoiMSJ9.pjJl4IwOWHI5fvwNN461zQ.-UtE6u-A_g-7n7tfvelHVuMmlu5TXuhDAeSApizLKdc&amp;dib_tag=se&amp;keywords=4008600446453&amp;qid=1766146360&amp;sprefix=4008600446453%2Caps%2C424&amp;sr=8-1</t>
        </is>
      </c>
      <c r="L932" s="14" t="inlineStr">
        <is>
          <t>B0FP5LCTPM</t>
        </is>
      </c>
      <c r="M932" s="15" t="n"/>
      <c r="N932" s="15" t="n"/>
      <c r="O932" s="15" t="n">
        <v>17.9</v>
      </c>
      <c r="P932" s="15">
        <f>O932/1.19</f>
        <v/>
      </c>
      <c r="Q932" s="15">
        <f>O932-P932</f>
        <v/>
      </c>
      <c r="R932" s="15">
        <f>O932*0.15</f>
        <v/>
      </c>
      <c r="S932" s="15" t="n">
        <v>9.199999999999999</v>
      </c>
      <c r="T932" s="15">
        <f>S932*0.2</f>
        <v/>
      </c>
      <c r="U932" s="15" t="n">
        <v>0.400000000000002</v>
      </c>
      <c r="V932" s="15" t="n">
        <v>2.5</v>
      </c>
      <c r="W932" s="15">
        <f>V932*0.2</f>
        <v/>
      </c>
      <c r="X932" s="21">
        <f>O932-Q932-R932-S932-U932-V932+T932+W932</f>
        <v/>
      </c>
      <c r="Y932" s="14" t="n"/>
      <c r="Z932" s="15">
        <f>O932+1.5</f>
        <v/>
      </c>
      <c r="AA932" s="15" t="n"/>
      <c r="AB932" s="15" t="n"/>
      <c r="AC932" s="14" t="n"/>
      <c r="AD932" s="14" t="n"/>
      <c r="AE932" s="13" t="inlineStr">
        <is>
          <t>NOT_UPLOADED</t>
        </is>
      </c>
    </row>
    <row r="933" ht="16" customHeight="1">
      <c r="A933" s="17" t="n">
        <v>4008600446439</v>
      </c>
      <c r="B933" s="17" t="n">
        <v>4008600446439</v>
      </c>
      <c r="C933" s="13" t="n"/>
      <c r="D933" s="18" t="inlineStr">
        <is>
          <t>ONLY FR/UK</t>
        </is>
      </c>
      <c r="E933" s="18" t="inlineStr">
        <is>
          <t>BEB-4008600446439</t>
        </is>
      </c>
      <c r="F933" s="17" t="n">
        <v>10216319</v>
      </c>
      <c r="G933" s="18" t="inlineStr">
        <is>
          <t>BEBOLINO</t>
        </is>
      </c>
      <c r="H933" s="18" t="inlineStr">
        <is>
          <t>NUK</t>
        </is>
      </c>
      <c r="I933" s="18" t="inlineStr">
        <is>
          <t>NUK Perfect Match Learning Drinking Bottle with Straw | 8+ Months | 260ml | Leak-proof Baby Straw Cup | Non-Slip Handles | Pink | 1 Piece</t>
        </is>
      </c>
      <c r="J933" s="18" t="inlineStr">
        <is>
          <t>No</t>
        </is>
      </c>
      <c r="K933" s="18" t="inlineStr">
        <is>
          <t>https://www.amazon.de/-/en/Perfect-Learning-Drinking-Leak-proof-Non-Slip/dp/B0FP5JWSL5/ref=sr_1_1?crid=2VD9J3S0WHV8H&amp;dib=eyJ2IjoiMSJ9.5C96FxWchVlxxNba_3d86g.hlcO0xtKJI9NuPr34jSh49xa0LWChD5m1ag7piwIplM&amp;dib_tag=se&amp;keywords=4008600446439&amp;qid=1766146474&amp;sprefix=4008600446439%2Caps%2C202&amp;sr=8-1</t>
        </is>
      </c>
      <c r="L933" s="18" t="inlineStr">
        <is>
          <t>B0FP5JWSL5</t>
        </is>
      </c>
      <c r="M933" s="19" t="n"/>
      <c r="N933" s="19" t="n"/>
      <c r="O933" s="19" t="n">
        <v>17.9</v>
      </c>
      <c r="P933" s="19">
        <f>O933/1.19</f>
        <v/>
      </c>
      <c r="Q933" s="19">
        <f>O933-P933</f>
        <v/>
      </c>
      <c r="R933" s="19">
        <f>O933*0.15</f>
        <v/>
      </c>
      <c r="S933" s="19" t="n">
        <v>9.199999999999999</v>
      </c>
      <c r="T933" s="19">
        <f>S933*0.2</f>
        <v/>
      </c>
      <c r="U933" s="19" t="n">
        <v>0.400000000000002</v>
      </c>
      <c r="V933" s="19" t="n">
        <v>2.5</v>
      </c>
      <c r="W933" s="19">
        <f>V933*0.2</f>
        <v/>
      </c>
      <c r="X933" s="21">
        <f>O933-Q933-R933-S933-U933-V933+T933+W933</f>
        <v/>
      </c>
      <c r="Y933" s="18" t="n"/>
      <c r="Z933" s="19">
        <f>O933+1.5</f>
        <v/>
      </c>
      <c r="AA933" s="19" t="n"/>
      <c r="AB933" s="19" t="n"/>
      <c r="AC933" s="18" t="n"/>
      <c r="AD933" s="18" t="n"/>
      <c r="AE933" s="13" t="inlineStr">
        <is>
          <t>NOT_UPLOADED</t>
        </is>
      </c>
    </row>
    <row r="934" ht="16" customHeight="1">
      <c r="A934" s="12" t="n">
        <v>4008600446248</v>
      </c>
      <c r="B934" s="12" t="n">
        <v>4008600446248</v>
      </c>
      <c r="C934" s="13" t="n"/>
      <c r="D934" s="14" t="n"/>
      <c r="E934" s="14" t="inlineStr">
        <is>
          <t>BEB-4008600446248</t>
        </is>
      </c>
      <c r="F934" s="12" t="n">
        <v>10256514</v>
      </c>
      <c r="G934" s="14" t="inlineStr">
        <is>
          <t>BEBOLINO</t>
        </is>
      </c>
      <c r="H934" s="14" t="inlineStr">
        <is>
          <t>NUK</t>
        </is>
      </c>
      <c r="I934" s="14" t="inlineStr">
        <is>
          <t>NUK Perfect Match Learning Bottle Teat | From 6 Months | Leak-proof Drinking Attachments | Silicone | Pack of 2</t>
        </is>
      </c>
      <c r="J934" s="14" t="inlineStr">
        <is>
          <t>No</t>
        </is>
      </c>
      <c r="K934" s="14" t="inlineStr">
        <is>
          <t>https://www.amazon.de/-/en/Learning-Leak-proof-Drinking-Attachments-Silicone/dp/B0FP5L3636/ref=sr_1_1?crid=3MLIMJK1EFONK&amp;dib=eyJ2IjoiMSJ9.w7ILfP2s-sDmRuO6LIqbOw.kbWQJKmLXxJ4PhwGHff1HjDiybK2bH_OPaQDAKy-c5s&amp;dib_tag=se&amp;keywords=4008600446248&amp;qid=1766146568&amp;sprefix=4008600446248%2Caps%2C222&amp;sr=8-1</t>
        </is>
      </c>
      <c r="L934" s="14" t="inlineStr">
        <is>
          <t>B0FP5L3636</t>
        </is>
      </c>
      <c r="M934" s="15" t="n"/>
      <c r="N934" s="15" t="n"/>
      <c r="O934" s="15" t="n">
        <v>10.95</v>
      </c>
      <c r="P934" s="15">
        <f>O934/1.19</f>
        <v/>
      </c>
      <c r="Q934" s="15">
        <f>O934-P934</f>
        <v/>
      </c>
      <c r="R934" s="15">
        <f>O934*0.15</f>
        <v/>
      </c>
      <c r="S934" s="15" t="n">
        <v>5.12</v>
      </c>
      <c r="T934" s="15">
        <f>S934*0.2</f>
        <v/>
      </c>
      <c r="U934" s="15" t="n">
        <v>0.400000000000002</v>
      </c>
      <c r="V934" s="15" t="n">
        <v>2</v>
      </c>
      <c r="W934" s="15">
        <f>V934*0.2</f>
        <v/>
      </c>
      <c r="X934" s="16">
        <f>O934-Q934-R934-S934-U934-V934+T934+W934</f>
        <v/>
      </c>
      <c r="Y934" s="14" t="n"/>
      <c r="Z934" s="15">
        <f>O934+1.5</f>
        <v/>
      </c>
      <c r="AA934" s="15" t="n"/>
      <c r="AB934" s="15" t="n"/>
      <c r="AC934" s="14" t="n"/>
      <c r="AD934" s="14" t="n"/>
      <c r="AE934" s="13" t="inlineStr">
        <is>
          <t>NOT_UPLOADED</t>
        </is>
      </c>
    </row>
    <row r="935" ht="16" customHeight="1">
      <c r="A935" s="17" t="n">
        <v>4008600446231</v>
      </c>
      <c r="B935" s="17" t="n">
        <v>4008600446231</v>
      </c>
      <c r="C935" s="13" t="n"/>
      <c r="D935" s="18" t="n"/>
      <c r="E935" s="18" t="inlineStr">
        <is>
          <t>BEB-4008600446231</t>
        </is>
      </c>
      <c r="F935" s="17" t="n">
        <v>10256515</v>
      </c>
      <c r="G935" s="18" t="inlineStr">
        <is>
          <t>BEBOLINO</t>
        </is>
      </c>
      <c r="H935" s="18" t="inlineStr">
        <is>
          <t>NUK</t>
        </is>
      </c>
      <c r="I935" s="18" t="inlineStr">
        <is>
          <t>NUK Perfect Match Learning Bottle Teat | From 6 Months | Leak-proof Drinking Attachments | Silicone | Pack of 2</t>
        </is>
      </c>
      <c r="J935" s="18" t="inlineStr">
        <is>
          <t>No</t>
        </is>
      </c>
      <c r="K935" s="18" t="inlineStr">
        <is>
          <t>https://www.amazon.de/-/en/Learning-Leak-proof-Drinking-Attachments-Silicone/dp/B0FP5K2YJL/ref=sr_1_1?crid=2W0VY1LC1P0HL&amp;dib=eyJ2IjoiMSJ9.Ls9LMkjLXbGPKfGJdLF29A._Wlpe6mIGX9i-ylD-G8DJXdOcwLnpRqT7KlA8tb1Ucs&amp;dib_tag=se&amp;keywords=4008600446231&amp;qid=1766146683&amp;sprefix=4008600446231%2Caps%2C188&amp;sr=8-1</t>
        </is>
      </c>
      <c r="L935" s="18" t="inlineStr">
        <is>
          <t>B0FP5K2YJL</t>
        </is>
      </c>
      <c r="M935" s="19" t="n"/>
      <c r="N935" s="19" t="n"/>
      <c r="O935" s="19" t="n">
        <v>10.95</v>
      </c>
      <c r="P935" s="19">
        <f>O935/1.19</f>
        <v/>
      </c>
      <c r="Q935" s="19">
        <f>O935-P935</f>
        <v/>
      </c>
      <c r="R935" s="19">
        <f>O935*0.15</f>
        <v/>
      </c>
      <c r="S935" s="19" t="n">
        <v>5.12</v>
      </c>
      <c r="T935" s="19">
        <f>S935*0.2</f>
        <v/>
      </c>
      <c r="U935" s="19" t="n">
        <v>0.400000000000002</v>
      </c>
      <c r="V935" s="19" t="n">
        <v>2</v>
      </c>
      <c r="W935" s="19">
        <f>V935*0.2</f>
        <v/>
      </c>
      <c r="X935" s="16">
        <f>O935-Q935-R935-S935-U935-V935+T935+W935</f>
        <v/>
      </c>
      <c r="Y935" s="18" t="n"/>
      <c r="Z935" s="19">
        <f>O935+1.5</f>
        <v/>
      </c>
      <c r="AA935" s="19" t="n"/>
      <c r="AB935" s="19" t="n"/>
      <c r="AC935" s="18" t="n"/>
      <c r="AD935" s="18" t="n"/>
      <c r="AE935" s="13" t="inlineStr">
        <is>
          <t>NOT_UPLOADED</t>
        </is>
      </c>
    </row>
    <row r="936" ht="16" customHeight="1">
      <c r="A936" s="12" t="n">
        <v>4008600421047</v>
      </c>
      <c r="B936" s="12" t="n">
        <v>4008600372622</v>
      </c>
      <c r="C936" s="13" t="n"/>
      <c r="D936" s="14" t="inlineStr">
        <is>
          <t>PINK rabbit</t>
        </is>
      </c>
      <c r="E936" s="14" t="inlineStr">
        <is>
          <t>BEB-4008600421047</t>
        </is>
      </c>
      <c r="F936" s="12" t="n">
        <v>10255538</v>
      </c>
      <c r="G936" s="14" t="inlineStr">
        <is>
          <t>BEBOLINO</t>
        </is>
      </c>
      <c r="H936" s="14" t="inlineStr">
        <is>
          <t>NUK</t>
        </is>
      </c>
      <c r="I936" s="14" t="inlineStr">
        <is>
          <t>NUK 10255666 Mini Magic Cup with Luminous Effect 6+ Months 160 ml Leak-proof 360° Drinking Rim Ergonomic Handles BPA-Free Rabbit (Pink)</t>
        </is>
      </c>
      <c r="J936" s="14" t="inlineStr">
        <is>
          <t>No</t>
        </is>
      </c>
      <c r="K936" s="14" t="inlineStr">
        <is>
          <t>https://www.amazon.de/-/en/10255666-Luminous-Leak-proof-Drinking-Ergonomic/dp/B0BB1TLHV3/ref=sr_1_3?crid=3SE8TC40JQ7W6&amp;dib=eyJ2IjoiMSJ9.qqfAHrCWiuFUz-LU3ELkJHXSc7sPP3xwcAHbJ_oybZrmM1ey2BYwRhwVJy8TC_4A91s4HCV9IhtWy5afQriVvZJUGxVNVK32f0WgPrk3thhW5NiX2iQ_2P4Kl6LrVRE_z3DB0pe6paiLgwsAxlSAVyg2FFY2h1Yc6rPaHMtxxLSLv7n4xON_5bM8ksLjJFbWTyAk-9BHKA2bCC1jZJbhbnLLauz8ug-orqOJfor6VmR-mnTMKYl080pgEyeetFz45rnKmxWRfcK5Gxe38UHwDRgM739o15TvKv8Zvwqyn8M.v2WMkRM9jJxv3btzMC0cBHdraBUvfwILhPglfWAikL8&amp;dib_tag=se&amp;keywords=NUK+EVOLUTION+mini+Magic+Cup%2C+6%2B%2C+Glow+in+the+Dark&amp;qid=1766158310&amp;sprefix=nuk+evolution+mini+magic+cup+6%2B+glow+in+the+dark%2Caps%2C117&amp;sr=8-3</t>
        </is>
      </c>
      <c r="L936" s="14" t="inlineStr">
        <is>
          <t>B0BB1TLHV3</t>
        </is>
      </c>
      <c r="M936" s="15" t="n"/>
      <c r="N936" s="15" t="n"/>
      <c r="O936" s="15" t="n">
        <v>16.5</v>
      </c>
      <c r="P936" s="15">
        <f>O936/1.19</f>
        <v/>
      </c>
      <c r="Q936" s="15">
        <f>O936-P936</f>
        <v/>
      </c>
      <c r="R936" s="15">
        <f>O936*0.15</f>
        <v/>
      </c>
      <c r="S936" s="15" t="n">
        <v>7.88</v>
      </c>
      <c r="T936" s="15">
        <f>S936*0.2</f>
        <v/>
      </c>
      <c r="U936" s="15" t="n">
        <v>0.400000000000002</v>
      </c>
      <c r="V936" s="15" t="n">
        <v>2.5</v>
      </c>
      <c r="W936" s="15">
        <f>V936*0.2</f>
        <v/>
      </c>
      <c r="X936" s="21">
        <f>O936-Q936-R936-S936-U936-V936+T936+W936</f>
        <v/>
      </c>
      <c r="Y936" s="14" t="n"/>
      <c r="Z936" s="15">
        <f>O936+1.5</f>
        <v/>
      </c>
      <c r="AA936" s="15" t="n"/>
      <c r="AB936" s="15" t="n"/>
      <c r="AC936" s="14" t="n"/>
      <c r="AD936" s="14" t="n"/>
      <c r="AE936" s="13" t="inlineStr">
        <is>
          <t>NOT_UPLOADED</t>
        </is>
      </c>
    </row>
    <row r="937" ht="16" customHeight="1">
      <c r="A937" s="17" t="n">
        <v>4008600421054</v>
      </c>
      <c r="B937" s="17" t="n">
        <v>4008600372622</v>
      </c>
      <c r="C937" s="13" t="n"/>
      <c r="D937" s="18" t="inlineStr">
        <is>
          <t>BLUE Lion</t>
        </is>
      </c>
      <c r="E937" s="18" t="inlineStr">
        <is>
          <t>BEB-4008600421054</t>
        </is>
      </c>
      <c r="F937" s="17" t="n">
        <v>10255538</v>
      </c>
      <c r="G937" s="18" t="inlineStr">
        <is>
          <t>BEBOLINO</t>
        </is>
      </c>
      <c r="H937" s="18" t="inlineStr">
        <is>
          <t>NUK</t>
        </is>
      </c>
      <c r="I937" s="18" t="inlineStr">
        <is>
          <t>NUK Mini Magic Cup Learning Cup with Luminous Effect | 6+ Months | 160 ml | Leak-proof 360° Drinking Rim | Ergonomic Handles | BPA-Free | Lion (Blue)</t>
        </is>
      </c>
      <c r="J937" s="18" t="inlineStr">
        <is>
          <t>No</t>
        </is>
      </c>
      <c r="K937" s="18" t="inlineStr">
        <is>
          <t>https://www.amazon.de/-/en/Learning-Luminous-Leak-proof-Drinking-Ergonomic/dp/B0BB1WCLSZ/ref=sr_1_1?crid=3SE8TC40JQ7W6&amp;dib=eyJ2IjoiMSJ9.qqfAHrCWiuFUz-LU3ELkJHXSc7sPP3xwcAHbJ_oybZrmM1ey2BYwRhwVJy8TC_4A91s4HCV9IhtWy5afQriVvZJUGxVNVK32f0WgPrk3thhW5NiX2iQ_2P4Kl6LrVRE_z3DB0pe6paiLgwsAxlSAVyg2FFY2h1Yc6rPaHMtxxLSLv7n4xON_5bM8ksLjJFbWTyAk-9BHKA2bCC1jZJbhbnLLauz8ug-orqOJfor6VmR-mnTMKYl080pgEyeetFz45rnKmxWRfcK5Gxe38UHwDRgM739o15TvKv8Zvwqyn8M.v2WMkRM9jJxv3btzMC0cBHdraBUvfwILhPglfWAikL8&amp;dib_tag=se&amp;keywords=NUK+EVOLUTION+mini+Magic+Cup%2C+6%2B%2C+Glow+in+the+Dark&amp;qid=1766158310&amp;sprefix=nuk+evolution+mini+magic+cup+6%2B+glow+in+the+dark%2Caps%2C117&amp;sr=8-1</t>
        </is>
      </c>
      <c r="L937" s="18" t="inlineStr">
        <is>
          <t>B0BB1WCLSZ</t>
        </is>
      </c>
      <c r="M937" s="19" t="n"/>
      <c r="N937" s="19" t="n"/>
      <c r="O937" s="19" t="n">
        <v>16.5</v>
      </c>
      <c r="P937" s="19">
        <f>O937/1.19</f>
        <v/>
      </c>
      <c r="Q937" s="19">
        <f>O937-P937</f>
        <v/>
      </c>
      <c r="R937" s="19">
        <f>O937*0.15</f>
        <v/>
      </c>
      <c r="S937" s="19" t="n">
        <v>7.88</v>
      </c>
      <c r="T937" s="19">
        <f>S937*0.2</f>
        <v/>
      </c>
      <c r="U937" s="19" t="n">
        <v>0.400000000000002</v>
      </c>
      <c r="V937" s="19" t="n">
        <v>2.5</v>
      </c>
      <c r="W937" s="19">
        <f>V937*0.2</f>
        <v/>
      </c>
      <c r="X937" s="21">
        <f>O937-Q937-R937-S937-U937-V937+T937+W937</f>
        <v/>
      </c>
      <c r="Y937" s="18" t="n"/>
      <c r="Z937" s="19">
        <f>O937+1.5</f>
        <v/>
      </c>
      <c r="AA937" s="19" t="n"/>
      <c r="AB937" s="19" t="n"/>
      <c r="AC937" s="18" t="n"/>
      <c r="AD937" s="18" t="n"/>
      <c r="AE937" s="13" t="inlineStr">
        <is>
          <t>NOT_UPLOADED</t>
        </is>
      </c>
    </row>
    <row r="938" ht="16" customHeight="1">
      <c r="A938" s="12" t="n">
        <v>4008600405481</v>
      </c>
      <c r="B938" s="12" t="n"/>
      <c r="C938" s="13" t="n"/>
      <c r="D938" s="14" t="n"/>
      <c r="E938" s="14" t="inlineStr">
        <is>
          <t>BEB-4008600405481</t>
        </is>
      </c>
      <c r="F938" s="12" t="n">
        <v>10255709</v>
      </c>
      <c r="G938" s="14" t="inlineStr">
        <is>
          <t>BEBOLINO</t>
        </is>
      </c>
      <c r="H938" s="14" t="inlineStr">
        <is>
          <t>NUK</t>
        </is>
      </c>
      <c r="I938" s="14" t="inlineStr">
        <is>
          <t>NUK Disney Mickey Sports Cup, From 24 Months, Leak-Proof Push-Pull Drinking Spout, Clip &amp; Protective Cap, BPA-Free, 450 ml, Red</t>
        </is>
      </c>
      <c r="J938" s="14" t="inlineStr">
        <is>
          <t>No</t>
        </is>
      </c>
      <c r="K938" s="14" t="inlineStr">
        <is>
          <t>https://www.amazon.de/-/en/Leak-Proof-Push-Pull-Drinking-Protective-BPA-Free/dp/B09BD4S6R5/ref=sr_1_2?crid=3G9O9JYEAESLK&amp;dib=eyJ2IjoiMSJ9.T4nc-YrRlan2O9UG1hvMNEp4kH6AjfBwMppDoFQ2Gmvz39_9bDNsh-pKKFYSdiOeSEYqVTE_U8cd5I-V6pPz9pkHAuc7SnBJZ-FFwcpbGBpokLfISn5O6OqeIMbMNIwDomypPVEpjk-KO3J53svMOvjGWNH4tdwDMN6Ka5Dkd0vdhriqaRRFeYbi0_YeGwJKpq3szM_TwOoRHVecLeLJArKlMoiuQDyyV4RRro6nliF45fU73VzbTWU17rvXGZeZhNOgK32BR8ZHxAIxpsaAoh3vzlSfFaUIt_CvAHDboUY.MT05gn4pZU8eRoS-hKg6JkimR-Mrtd28hnbtVInaTFg&amp;dib_tag=se&amp;keywords=NUK%2BSports%2Bcup%2BMickey%2BRED&amp;qid=1767387662&amp;sprefix=nuk%2Bsports%2Bcup%2Bmickey%2Bred%2Caps%2C227&amp;sr=8-2&amp;th=1</t>
        </is>
      </c>
      <c r="L938" s="14" t="inlineStr">
        <is>
          <t>B09BD4S6R5</t>
        </is>
      </c>
      <c r="M938" s="15" t="n"/>
      <c r="N938" s="15" t="n"/>
      <c r="O938" s="15" t="n">
        <v>16.95</v>
      </c>
      <c r="P938" s="15">
        <f>O938/1.19</f>
        <v/>
      </c>
      <c r="Q938" s="15">
        <f>O938-P938</f>
        <v/>
      </c>
      <c r="R938" s="15">
        <f>O938*0.15</f>
        <v/>
      </c>
      <c r="S938" s="15" t="n">
        <v>7.16</v>
      </c>
      <c r="T938" s="15">
        <f>S938*0.2</f>
        <v/>
      </c>
      <c r="U938" s="15" t="n">
        <v>0.400000000000002</v>
      </c>
      <c r="V938" s="15" t="n">
        <v>4</v>
      </c>
      <c r="W938" s="15">
        <f>V938*0.2</f>
        <v/>
      </c>
      <c r="X938" s="21">
        <f>O938-Q938-R938-S938-U938-V938+T938+W938</f>
        <v/>
      </c>
      <c r="Y938" s="14" t="n"/>
      <c r="Z938" s="15">
        <f>O938+1.5</f>
        <v/>
      </c>
      <c r="AA938" s="15" t="n"/>
      <c r="AB938" s="15" t="n"/>
      <c r="AC938" s="14" t="n"/>
      <c r="AD938" s="14" t="n"/>
      <c r="AE938" s="13" t="inlineStr">
        <is>
          <t>NOT_UPLOADED</t>
        </is>
      </c>
    </row>
    <row r="939" ht="16" customHeight="1">
      <c r="A939" s="17" t="n">
        <v>4008600382447</v>
      </c>
      <c r="B939" s="17" t="n">
        <v>4008600382447</v>
      </c>
      <c r="C939" s="13" t="n"/>
      <c r="D939" s="18" t="n"/>
      <c r="E939" s="18" t="inlineStr">
        <is>
          <t>BEB-4008600382447</t>
        </is>
      </c>
      <c r="F939" s="17" t="n">
        <v>10255577</v>
      </c>
      <c r="G939" s="18" t="inlineStr">
        <is>
          <t>BEBOLINO</t>
        </is>
      </c>
      <c r="H939" s="18" t="inlineStr">
        <is>
          <t>NUK</t>
        </is>
      </c>
      <c r="I939" s="18" t="inlineStr">
        <is>
          <t>NUK Sports Cup CC CL1 Box (10255577)</t>
        </is>
      </c>
      <c r="J939" s="18" t="inlineStr">
        <is>
          <t>No</t>
        </is>
      </c>
      <c r="K939" s="18" t="inlineStr">
        <is>
          <t>https://www.amazon.de/-/en/dp/B0D6LMYVB8/ref=sr_1_1?crid=16JF6G2J1S8TZ&amp;dib=eyJ2IjoiMSJ9.T0CMpR6BJu17_UGcpkvlCQ.-9IL0gNhUA0Po-7FUcWFx6LKBzqQUHmnteD47AYDP4o&amp;dib_tag=se&amp;keywords=4008600382447&amp;qid=1767428355&amp;sprefix=4008600382447%2Caps%2C314&amp;sr=8-1</t>
        </is>
      </c>
      <c r="L939" s="18" t="inlineStr">
        <is>
          <t>B0D6LMYVB8</t>
        </is>
      </c>
      <c r="M939" s="19" t="n"/>
      <c r="N939" s="19" t="n"/>
      <c r="O939" s="19" t="n">
        <v>16.9</v>
      </c>
      <c r="P939" s="19">
        <f>O939/1.19</f>
        <v/>
      </c>
      <c r="Q939" s="19">
        <f>O939-P939</f>
        <v/>
      </c>
      <c r="R939" s="19">
        <f>O939*0.15</f>
        <v/>
      </c>
      <c r="S939" s="19" t="n">
        <v>6.52</v>
      </c>
      <c r="T939" s="19">
        <f>S939*0.2</f>
        <v/>
      </c>
      <c r="U939" s="19" t="n">
        <v>0.400000000000002</v>
      </c>
      <c r="V939" s="19" t="n">
        <v>4</v>
      </c>
      <c r="W939" s="19">
        <f>V939*0.2</f>
        <v/>
      </c>
      <c r="X939" s="21">
        <f>O939-Q939-R939-S939-U939-V939+T939+W939</f>
        <v/>
      </c>
      <c r="Y939" s="18" t="n"/>
      <c r="Z939" s="19">
        <f>O939+1.5</f>
        <v/>
      </c>
      <c r="AA939" s="19" t="n"/>
      <c r="AB939" s="19" t="n"/>
      <c r="AC939" s="18" t="n"/>
      <c r="AD939" s="18" t="n"/>
      <c r="AE939" s="13" t="inlineStr">
        <is>
          <t>NOT_UPLOADED</t>
        </is>
      </c>
    </row>
    <row r="940" ht="16" customHeight="1">
      <c r="A940" s="12" t="n"/>
      <c r="B940" s="12" t="n">
        <v>4008600446897</v>
      </c>
      <c r="C940" s="13" t="n"/>
      <c r="D940" s="14" t="n"/>
      <c r="E940" s="14" t="n"/>
      <c r="F940" s="12" t="n">
        <v>10174005</v>
      </c>
      <c r="G940" s="14" t="inlineStr">
        <is>
          <t>BEBOLINO</t>
        </is>
      </c>
      <c r="H940" s="14" t="inlineStr">
        <is>
          <t>NUK</t>
        </is>
      </c>
      <c r="I940" s="14" t="inlineStr">
        <is>
          <t>NUK Perfect Match Air Baby Dummy, 0-2 Months, Orthodontic Soothers that Promote Air Circulation &amp; Prevent Saliva Rash, 95% Baby Acceptance, Bear/Fox, Pack of 2</t>
        </is>
      </c>
      <c r="J940" s="14" t="inlineStr">
        <is>
          <t>No</t>
        </is>
      </c>
      <c r="K940" s="14" t="inlineStr">
        <is>
          <t>https://www.amazon.de/-/en/Perfect-Orthodontic-Soothers-Circulation-Acceptance/dp/B0FP5JXD13/ref=sr_1_1?crid=3NBF070JR2F0Y&amp;dib=eyJ2IjoiMSJ9.tqb4NQvznBGqNaTmdG9r7Q.AXwd28XX12baRBqs5Nv_A1G9vANppOEtuVqGideErlg&amp;dib_tag=se&amp;keywords=4008600446897&amp;qid=1767432593&amp;s=baby&amp;sprefix=4008600446897%2Cbaby%2C169&amp;sr=1-1</t>
        </is>
      </c>
      <c r="L940" s="14" t="inlineStr">
        <is>
          <t>B0FP5JXD13</t>
        </is>
      </c>
      <c r="M940" s="15" t="n"/>
      <c r="N940" s="15" t="n"/>
      <c r="O940" s="15" t="n">
        <v>11.4</v>
      </c>
      <c r="P940" s="15">
        <f>O940/1.19</f>
        <v/>
      </c>
      <c r="Q940" s="15">
        <f>O940-P940</f>
        <v/>
      </c>
      <c r="R940" s="15">
        <f>O940*0.15</f>
        <v/>
      </c>
      <c r="S940" s="15" t="n">
        <v>4.81</v>
      </c>
      <c r="T940" s="15">
        <f>S940*0.2</f>
        <v/>
      </c>
      <c r="U940" s="15" t="n">
        <v>0.400000000000002</v>
      </c>
      <c r="V940" s="15" t="n">
        <v>2</v>
      </c>
      <c r="W940" s="15">
        <f>V940*0.2</f>
        <v/>
      </c>
      <c r="X940" s="21">
        <f>O940-Q940-R940-S940-U940-V940+T940+W940</f>
        <v/>
      </c>
      <c r="Y940" s="14" t="n"/>
      <c r="Z940" s="15">
        <f>O940+1.5</f>
        <v/>
      </c>
      <c r="AA940" s="15" t="n"/>
      <c r="AB940" s="15" t="n"/>
      <c r="AC940" s="14" t="n"/>
      <c r="AD940" s="14" t="n"/>
      <c r="AE940" s="13" t="inlineStr">
        <is>
          <t>NOT_UPLOADED</t>
        </is>
      </c>
    </row>
    <row r="941" ht="16" customHeight="1">
      <c r="A941" s="17" t="n">
        <v>4008600446941</v>
      </c>
      <c r="B941" s="17" t="n">
        <v>4008600446941</v>
      </c>
      <c r="C941" s="13" t="n"/>
      <c r="D941" s="18" t="n"/>
      <c r="E941" s="18" t="inlineStr">
        <is>
          <t>BEB-4008600446941</t>
        </is>
      </c>
      <c r="F941" s="17" t="n">
        <v>10175336</v>
      </c>
      <c r="G941" s="18" t="inlineStr">
        <is>
          <t>BEBOLINO</t>
        </is>
      </c>
      <c r="H941" s="18" t="inlineStr">
        <is>
          <t>NUK</t>
        </is>
      </c>
      <c r="I941" s="18" t="inlineStr">
        <is>
          <t>NUK Perfect Match Baby Dummy, 0-6 Months, Nursing Friendly, Orthodontic Soothers, 95% Acceptance in Babies, Green/Blue, Pack of 2</t>
        </is>
      </c>
      <c r="J941" s="18" t="inlineStr">
        <is>
          <t>No</t>
        </is>
      </c>
      <c r="K941" s="18" t="inlineStr">
        <is>
          <t>https://www.amazon.de/-/en/Perfect-Friendly-Orthodontic-Soothers-Acceptance/dp/B0FP5JSYGL/ref=sr_1_1?crid=A65J3UK0CPJL&amp;dib=eyJ2IjoiMSJ9.KBi8Zf-R9fxEvif6trrd2w.KVyB5c_MxwzFGyoufqdX7GRa_RvLWUh2ED6ruG6GUmo&amp;dib_tag=se&amp;keywords=4008600446941&amp;qid=1767432728&amp;s=baby&amp;sprefix=4008600446941%2Cbaby%2C141&amp;sr=1-1</t>
        </is>
      </c>
      <c r="L941" s="18" t="inlineStr">
        <is>
          <t>B0FP5JSYGL</t>
        </is>
      </c>
      <c r="M941" s="19" t="n"/>
      <c r="N941" s="19" t="n"/>
      <c r="O941" s="19" t="n">
        <v>11.99</v>
      </c>
      <c r="P941" s="19">
        <f>O941/1.19</f>
        <v/>
      </c>
      <c r="Q941" s="19">
        <f>O941-P941</f>
        <v/>
      </c>
      <c r="R941" s="19">
        <f>O941*0.15</f>
        <v/>
      </c>
      <c r="S941" s="19" t="n">
        <v>5.91</v>
      </c>
      <c r="T941" s="19">
        <f>S941*0.2</f>
        <v/>
      </c>
      <c r="U941" s="19" t="n">
        <v>0.400000000000002</v>
      </c>
      <c r="V941" s="19" t="n">
        <v>2</v>
      </c>
      <c r="W941" s="19">
        <f>V941*0.2</f>
        <v/>
      </c>
      <c r="X941" s="16">
        <f>O941-Q941-R941-S941-U941-V941+T941+W941</f>
        <v/>
      </c>
      <c r="Y941" s="18" t="n"/>
      <c r="Z941" s="19">
        <f>O941+1.5</f>
        <v/>
      </c>
      <c r="AA941" s="19" t="n"/>
      <c r="AB941" s="19" t="n"/>
      <c r="AC941" s="18" t="n"/>
      <c r="AD941" s="18" t="n"/>
      <c r="AE941" s="13" t="inlineStr">
        <is>
          <t>NOT_UPLOADED</t>
        </is>
      </c>
    </row>
    <row r="942" ht="16" customHeight="1">
      <c r="A942" s="12" t="n"/>
      <c r="B942" s="12" t="n">
        <v>4008600446934</v>
      </c>
      <c r="C942" s="13" t="n"/>
      <c r="D942" s="14" t="n"/>
      <c r="E942" s="14" t="n"/>
      <c r="F942" s="12" t="n">
        <v>10175337</v>
      </c>
      <c r="G942" s="14" t="inlineStr">
        <is>
          <t>BEBOLINO</t>
        </is>
      </c>
      <c r="H942" s="14" t="inlineStr">
        <is>
          <t>NUK</t>
        </is>
      </c>
      <c r="I942" s="14" t="inlineStr">
        <is>
          <t>NUK Perfect Match Baby Dummy, 0-6 Months, Nursing Friendly, Orthodontic Soothers, 95% Acceptance in Babies, Beige/Red, Pack of 2</t>
        </is>
      </c>
      <c r="J942" s="14" t="inlineStr">
        <is>
          <t>No</t>
        </is>
      </c>
      <c r="K942" s="14" t="inlineStr">
        <is>
          <t>https://www.amazon.de/-/en/Perfect-Friendly-Orthodontic-Soothers-Acceptance/dp/B0FP5JN2R7/ref=sr_1_1?crid=16468PZ2MNFSI&amp;dib=eyJ2IjoiMSJ9.K2Uo6krwTUox0BaB1Hvqfg.csRQwrRQQyNzZOWID5UIPmWpkx1OEZMfK7Ta0DWPuWM&amp;dib_tag=se&amp;keywords=4008600446934&amp;qid=1767432825&amp;s=baby&amp;sprefix=4008600446934%2Cbaby%2C123&amp;sr=1-1</t>
        </is>
      </c>
      <c r="L942" s="14" t="inlineStr">
        <is>
          <t>B0FP5JN2R7</t>
        </is>
      </c>
      <c r="M942" s="15" t="n"/>
      <c r="N942" s="15" t="n"/>
      <c r="O942" s="15" t="n">
        <v>12.4</v>
      </c>
      <c r="P942" s="15">
        <f>O942/1.19</f>
        <v/>
      </c>
      <c r="Q942" s="15">
        <f>O942-P942</f>
        <v/>
      </c>
      <c r="R942" s="15">
        <f>O942*0.15</f>
        <v/>
      </c>
      <c r="S942" s="15" t="n">
        <v>5.91</v>
      </c>
      <c r="T942" s="15">
        <f>S942*0.2</f>
        <v/>
      </c>
      <c r="U942" s="15" t="n">
        <v>0.400000000000002</v>
      </c>
      <c r="V942" s="15" t="n">
        <v>2</v>
      </c>
      <c r="W942" s="15">
        <f>V942*0.2</f>
        <v/>
      </c>
      <c r="X942" s="16">
        <f>O942-Q942-R942-S942-U942-V942+T942+W942</f>
        <v/>
      </c>
      <c r="Y942" s="14" t="n"/>
      <c r="Z942" s="15">
        <f>O942+1.5</f>
        <v/>
      </c>
      <c r="AA942" s="15" t="n"/>
      <c r="AB942" s="15" t="n"/>
      <c r="AC942" s="14" t="n"/>
      <c r="AD942" s="14" t="n"/>
      <c r="AE942" s="13" t="inlineStr">
        <is>
          <t>NOT_UPLOADED</t>
        </is>
      </c>
    </row>
    <row r="943" ht="16" customHeight="1">
      <c r="A943" s="17" t="n"/>
      <c r="B943" s="17" t="n">
        <v>4008600447054</v>
      </c>
      <c r="C943" s="13" t="n"/>
      <c r="D943" s="18" t="n"/>
      <c r="E943" s="18" t="n"/>
      <c r="F943" s="17" t="n">
        <v>10175358</v>
      </c>
      <c r="G943" s="18" t="inlineStr">
        <is>
          <t>BEBOLINO</t>
        </is>
      </c>
      <c r="H943" s="18" t="inlineStr">
        <is>
          <t>NUK</t>
        </is>
      </c>
      <c r="I943" s="18" t="inlineStr">
        <is>
          <t>NUK Perfect Match Air Baby Soothers | 0-6 Months | Orthodontic Soothers That Promote Air Circulation &amp; Prevent Saliva Rash | 95% Baby Acceptance** | Disney Winnie the Pooh | Pack of 2</t>
        </is>
      </c>
      <c r="J943" s="18" t="inlineStr">
        <is>
          <t>No</t>
        </is>
      </c>
      <c r="K943" s="18" t="inlineStr">
        <is>
          <t>https://www.amazon.de/-/en/Perfect-Soothers-Orthodontic-Circulation-Acceptance/dp/B0FP5FNYW9/ref=sr_1_1?crid=1P8ZURBVSTW48&amp;dib=eyJ2IjoiMSJ9.j0A_eU6CgvHxfIOrBu0haw.QgJcEafHtkYcKP-BKnQbirYEFy_Qn9W1zH-C2SORD6M&amp;dib_tag=se&amp;keywords=4008600447054&amp;qid=1767432891&amp;s=baby&amp;sprefix=4008600447054%2Cbaby%2C149&amp;sr=1-1</t>
        </is>
      </c>
      <c r="L943" s="18" t="inlineStr">
        <is>
          <t>B0FP5FNYW9</t>
        </is>
      </c>
      <c r="M943" s="19" t="n"/>
      <c r="N943" s="19" t="n"/>
      <c r="O943" s="19" t="n">
        <v>12.4</v>
      </c>
      <c r="P943" s="19">
        <f>O943/1.19</f>
        <v/>
      </c>
      <c r="Q943" s="19">
        <f>O943-P943</f>
        <v/>
      </c>
      <c r="R943" s="19">
        <f>O943*0.15</f>
        <v/>
      </c>
      <c r="S943" s="19" t="n">
        <v>5.58</v>
      </c>
      <c r="T943" s="19">
        <f>S943*0.2</f>
        <v/>
      </c>
      <c r="U943" s="19" t="n">
        <v>0.400000000000002</v>
      </c>
      <c r="V943" s="19" t="n">
        <v>2</v>
      </c>
      <c r="W943" s="19">
        <f>V943*0.2</f>
        <v/>
      </c>
      <c r="X943" s="21">
        <f>O943-Q943-R943-S943-U943-V943+T943+W943</f>
        <v/>
      </c>
      <c r="Y943" s="18" t="n"/>
      <c r="Z943" s="19">
        <f>O943+1.5</f>
        <v/>
      </c>
      <c r="AA943" s="19" t="n"/>
      <c r="AB943" s="19" t="n"/>
      <c r="AC943" s="18" t="n"/>
      <c r="AD943" s="18" t="n"/>
      <c r="AE943" s="13" t="inlineStr">
        <is>
          <t>NOT_UPLOADED</t>
        </is>
      </c>
    </row>
    <row r="944" ht="16" customHeight="1">
      <c r="A944" s="12" t="n"/>
      <c r="B944" s="12" t="n">
        <v>4008600447009</v>
      </c>
      <c r="C944" s="13" t="n"/>
      <c r="D944" s="14" t="n"/>
      <c r="E944" s="14" t="n"/>
      <c r="F944" s="12" t="n">
        <v>10176351</v>
      </c>
      <c r="G944" s="14" t="inlineStr">
        <is>
          <t>BEBOLINO</t>
        </is>
      </c>
      <c r="H944" s="14" t="inlineStr">
        <is>
          <t>NUK</t>
        </is>
      </c>
      <c r="I944" s="14" t="inlineStr">
        <is>
          <t>NUK Perfect Match Air Baby Dummy, 6-18 m, Orthodontic Soothers that Promote Air Circulation &amp; Prevent Saliva Rash, 95% Baby Acceptance, Disney Winnie the Pooh, Pack of 2</t>
        </is>
      </c>
      <c r="J944" s="14" t="inlineStr">
        <is>
          <t>No</t>
        </is>
      </c>
      <c r="K944" s="14" t="inlineStr">
        <is>
          <t>https://www.amazon.de/-/en/Perfect-Orthodontic-Soothers-Circulation-Acceptance/dp/B0FP5L5HP2/ref=sr_1_1?crid=149YDFCKAISNR&amp;dib=eyJ2IjoiMSJ9.rxezv3eyEGSpYPCAQSLViQ._LL4sdAXwjgveUjGrHd8lNM4nzAt_ba6m6_fno2VlW8&amp;dib_tag=se&amp;keywords=4008600447009&amp;qid=1767432998&amp;s=baby&amp;sprefix=4008600447009%2Cbaby%2C161&amp;sr=1-1</t>
        </is>
      </c>
      <c r="L944" s="14" t="inlineStr">
        <is>
          <t>B0FP5L5HP2</t>
        </is>
      </c>
      <c r="M944" s="15" t="n"/>
      <c r="N944" s="15" t="n"/>
      <c r="O944" s="15" t="n">
        <v>12.4</v>
      </c>
      <c r="P944" s="15">
        <f>O944/1.19</f>
        <v/>
      </c>
      <c r="Q944" s="15">
        <f>O944-P944</f>
        <v/>
      </c>
      <c r="R944" s="15">
        <f>O944*0.15</f>
        <v/>
      </c>
      <c r="S944" s="15" t="n">
        <v>5.58</v>
      </c>
      <c r="T944" s="15">
        <f>S944*0.2</f>
        <v/>
      </c>
      <c r="U944" s="15" t="n">
        <v>0.400000000000002</v>
      </c>
      <c r="V944" s="15" t="n">
        <v>2</v>
      </c>
      <c r="W944" s="15">
        <f>V944*0.2</f>
        <v/>
      </c>
      <c r="X944" s="21">
        <f>O944-Q944-R944-S944-U944-V944+T944+W944</f>
        <v/>
      </c>
      <c r="Y944" s="14" t="n"/>
      <c r="Z944" s="15">
        <f>O944+1.5</f>
        <v/>
      </c>
      <c r="AA944" s="15" t="n"/>
      <c r="AB944" s="15" t="n"/>
      <c r="AC944" s="14" t="n"/>
      <c r="AD944" s="14" t="n"/>
      <c r="AE944" s="13" t="inlineStr">
        <is>
          <t>NOT_UPLOADED</t>
        </is>
      </c>
    </row>
    <row r="945" ht="16" customHeight="1">
      <c r="A945" s="17" t="n"/>
      <c r="B945" s="17" t="n">
        <v>4008600447283</v>
      </c>
      <c r="C945" s="13" t="n"/>
      <c r="D945" s="18" t="n"/>
      <c r="E945" s="18" t="n"/>
      <c r="F945" s="17" t="n">
        <v>10175351</v>
      </c>
      <c r="G945" s="18" t="inlineStr">
        <is>
          <t>BEBOLINO</t>
        </is>
      </c>
      <c r="H945" s="18" t="inlineStr">
        <is>
          <t>NUK</t>
        </is>
      </c>
      <c r="I945" s="18" t="inlineStr">
        <is>
          <t>NUK Perfect Match Air Night Baby Soothers | 0-6 Months | Luminous Soothers That Promote Air Circulation &amp; Prevent Saliva Rash | 95% Baby Acceptance** | Lion | Pack of 2</t>
        </is>
      </c>
      <c r="J945" s="18" t="inlineStr">
        <is>
          <t>No</t>
        </is>
      </c>
      <c r="K945" s="18" t="inlineStr">
        <is>
          <t>https://www.amazon.de/-/en/Perfect-Soothers-Luminous-Circulation-Acceptance/dp/B0FP5K4GCB/ref=sr_1_1?crid=3O8R38Q29KUR0&amp;dib=eyJ2IjoiMSJ9.JdY-ZLhSq8IbwLOXoDdRUA.KFL4xUIt680rpjaLYbDMJ9E5eIozbWif0rgEahfogiA&amp;dib_tag=se&amp;keywords=4008600447283&amp;qid=1767433073&amp;s=baby&amp;sprefix=4008600447283%2Cbaby%2C118&amp;sr=1-1</t>
        </is>
      </c>
      <c r="L945" s="18" t="inlineStr">
        <is>
          <t>B0FP5K4GCB</t>
        </is>
      </c>
      <c r="M945" s="19" t="n"/>
      <c r="N945" s="19" t="n"/>
      <c r="O945" s="19" t="n">
        <v>12.4</v>
      </c>
      <c r="P945" s="19">
        <f>O945/1.19</f>
        <v/>
      </c>
      <c r="Q945" s="19">
        <f>O945-P945</f>
        <v/>
      </c>
      <c r="R945" s="19">
        <f>O945*0.15</f>
        <v/>
      </c>
      <c r="S945" s="19" t="n">
        <v>5.27</v>
      </c>
      <c r="T945" s="19">
        <f>S945*0.2</f>
        <v/>
      </c>
      <c r="U945" s="19" t="n">
        <v>0.400000000000002</v>
      </c>
      <c r="V945" s="19" t="n">
        <v>2</v>
      </c>
      <c r="W945" s="19">
        <f>V945*0.2</f>
        <v/>
      </c>
      <c r="X945" s="21">
        <f>O945-Q945-R945-S945-U945-V945+T945+W945</f>
        <v/>
      </c>
      <c r="Y945" s="18" t="n"/>
      <c r="Z945" s="19">
        <f>O945+1.5</f>
        <v/>
      </c>
      <c r="AA945" s="19" t="n"/>
      <c r="AB945" s="19" t="n"/>
      <c r="AC945" s="18" t="n"/>
      <c r="AD945" s="18" t="n"/>
      <c r="AE945" s="13" t="inlineStr">
        <is>
          <t>NOT_UPLOADED</t>
        </is>
      </c>
    </row>
    <row r="946" ht="16" customHeight="1">
      <c r="A946" s="12" t="n"/>
      <c r="B946" s="12" t="n">
        <v>4008600447276</v>
      </c>
      <c r="C946" s="13" t="n"/>
      <c r="D946" s="14" t="inlineStr">
        <is>
          <t>out of stock</t>
        </is>
      </c>
      <c r="E946" s="14" t="n"/>
      <c r="F946" s="12" t="n">
        <v>10175352</v>
      </c>
      <c r="G946" s="14" t="inlineStr">
        <is>
          <t>BEBOLINO</t>
        </is>
      </c>
      <c r="H946" s="14" t="inlineStr">
        <is>
          <t>NUK</t>
        </is>
      </c>
      <c r="I946" s="14" t="inlineStr">
        <is>
          <t>NUK Perfect Match Air Night Baby Dummies | 0-6 Months | Luminous Soothers That Promote Air Circulation &amp; Prevent Saliva Rash | 95% Baby Acceptance** | Sheep | Pack of 2</t>
        </is>
      </c>
      <c r="J946" s="14" t="inlineStr">
        <is>
          <t>No</t>
        </is>
      </c>
      <c r="K946" s="14" t="inlineStr">
        <is>
          <t>https://www.amazon.de/-/en/Perfect-Luminous-Soothers-Circulation-Acceptance/dp/B0FP5P6ZCM/ref=sr_1_1?crid=1043ATDC5M8D9&amp;dib=eyJ2IjoiMSJ9.KJN5hVGjp2uSfpG_ncD4Qw.Q3MQrHfhnznUO1hBl27xJHDaKGX35vPdl1pn52lJgrU&amp;dib_tag=se&amp;keywords=4008600447276&amp;qid=1767433183&amp;s=baby&amp;sprefix=4008600447276%2Cbaby%2C201&amp;sr=1-1</t>
        </is>
      </c>
      <c r="L946" s="14" t="inlineStr">
        <is>
          <t>B0FP5P6ZCM</t>
        </is>
      </c>
      <c r="M946" s="15" t="n"/>
      <c r="N946" s="15" t="n"/>
      <c r="O946" s="15" t="n">
        <v>12.4</v>
      </c>
      <c r="P946" s="15">
        <f>O946/1.19</f>
        <v/>
      </c>
      <c r="Q946" s="15">
        <f>O946-P946</f>
        <v/>
      </c>
      <c r="R946" s="15">
        <f>O946*0.15</f>
        <v/>
      </c>
      <c r="S946" s="15" t="n">
        <v>5.27</v>
      </c>
      <c r="T946" s="15">
        <f>S946*0.2</f>
        <v/>
      </c>
      <c r="U946" s="15" t="n">
        <v>0.400000000000002</v>
      </c>
      <c r="V946" s="15" t="n">
        <v>2</v>
      </c>
      <c r="W946" s="15">
        <f>V946*0.2</f>
        <v/>
      </c>
      <c r="X946" s="21">
        <f>O946-Q946-R946-S946-U946-V946+T946+W946</f>
        <v/>
      </c>
      <c r="Y946" s="14" t="n"/>
      <c r="Z946" s="15">
        <f>O946+1.5</f>
        <v/>
      </c>
      <c r="AA946" s="15" t="n"/>
      <c r="AB946" s="15" t="n"/>
      <c r="AC946" s="14" t="n"/>
      <c r="AD946" s="14" t="n"/>
      <c r="AE946" s="13" t="inlineStr">
        <is>
          <t>NOT_UPLOADED</t>
        </is>
      </c>
    </row>
    <row r="947" ht="16" customHeight="1">
      <c r="A947" s="17" t="n"/>
      <c r="B947" s="17" t="n">
        <v>4008600447122</v>
      </c>
      <c r="C947" s="13" t="n"/>
      <c r="D947" s="18" t="inlineStr">
        <is>
          <t>out of stock</t>
        </is>
      </c>
      <c r="E947" s="18" t="n"/>
      <c r="F947" s="17" t="n">
        <v>10177228</v>
      </c>
      <c r="G947" s="18" t="inlineStr">
        <is>
          <t>BEBOLINO</t>
        </is>
      </c>
      <c r="H947" s="18" t="inlineStr">
        <is>
          <t>NUK</t>
        </is>
      </c>
      <c r="I947" s="18" t="inlineStr">
        <is>
          <t>NUK Perfect Match Air Night Baby Dummies | 18-36 Months | Luminous Soothers That Promote Air Circulation &amp; Prevent Saliva Rash | 95% Baby Acceptance** | Lion | Pack of 2</t>
        </is>
      </c>
      <c r="J947" s="18" t="inlineStr">
        <is>
          <t>No</t>
        </is>
      </c>
      <c r="K947" s="18" t="inlineStr">
        <is>
          <t>https://www.amazon.de/-/en/Perfect-Luminous-Soothers-Circulation-Acceptance/dp/B0FP5JC9KC/ref=sr_1_1?crid=1HM6IGURI1ML6&amp;dib=eyJ2IjoiMSJ9.tcyJSEVAB9ichL_SRb10OA.8ipgCJBhdLbVzq4kMP2TtPuznP6Jrq1oBrAKDMlkeS0&amp;dib_tag=se&amp;keywords=4008600447122&amp;qid=1767433282&amp;s=baby&amp;sprefix=4008600447122%2Cbaby%2C178&amp;sr=1-1</t>
        </is>
      </c>
      <c r="L947" s="18" t="inlineStr">
        <is>
          <t>B0FP5JC9KC</t>
        </is>
      </c>
      <c r="M947" s="19" t="n"/>
      <c r="N947" s="19" t="n"/>
      <c r="O947" s="19" t="n">
        <v>12.4</v>
      </c>
      <c r="P947" s="19">
        <f>O947/1.19</f>
        <v/>
      </c>
      <c r="Q947" s="19">
        <f>O947-P947</f>
        <v/>
      </c>
      <c r="R947" s="19">
        <f>O947*0.15</f>
        <v/>
      </c>
      <c r="S947" s="19" t="n">
        <v>5.27</v>
      </c>
      <c r="T947" s="19">
        <f>S947*0.2</f>
        <v/>
      </c>
      <c r="U947" s="19" t="n">
        <v>0.400000000000002</v>
      </c>
      <c r="V947" s="19" t="n">
        <v>2</v>
      </c>
      <c r="W947" s="19">
        <f>V947*0.2</f>
        <v/>
      </c>
      <c r="X947" s="21">
        <f>O947-Q947-R947-S947-U947-V947+T947+W947</f>
        <v/>
      </c>
      <c r="Y947" s="18" t="n"/>
      <c r="Z947" s="19">
        <f>O947+1.5</f>
        <v/>
      </c>
      <c r="AA947" s="19" t="n"/>
      <c r="AB947" s="19" t="n"/>
      <c r="AC947" s="18" t="n"/>
      <c r="AD947" s="18" t="n"/>
      <c r="AE947" s="13" t="inlineStr">
        <is>
          <t>NOT_UPLOADED</t>
        </is>
      </c>
    </row>
    <row r="948" ht="16" customHeight="1">
      <c r="A948" s="12" t="n"/>
      <c r="B948" s="12" t="n">
        <v>4008600447115</v>
      </c>
      <c r="C948" s="13" t="n"/>
      <c r="D948" s="14" t="inlineStr">
        <is>
          <t>out of stock</t>
        </is>
      </c>
      <c r="E948" s="14" t="n"/>
      <c r="F948" s="12" t="n">
        <v>10177229</v>
      </c>
      <c r="G948" s="14" t="inlineStr">
        <is>
          <t>BEBOLINO</t>
        </is>
      </c>
      <c r="H948" s="14" t="inlineStr">
        <is>
          <t>NUK</t>
        </is>
      </c>
      <c r="I948" s="14" t="inlineStr">
        <is>
          <t>NUK Perfect Match Air Night Baby Dummies | 18-36 Months | Luminous Soothers That Promote Air Circulation &amp; Prevent Saliva Rash | 95% Baby Acceptance** | Sheep | Pack of 2</t>
        </is>
      </c>
      <c r="J948" s="14" t="inlineStr">
        <is>
          <t>No</t>
        </is>
      </c>
      <c r="K948" s="14" t="inlineStr">
        <is>
          <t>https://www.amazon.de/-/en/Perfect-Luminous-Soothers-Circulation-Acceptance/dp/B0FP5LBQQ1/ref=sr_1_1?crid=2M392B00N5IFA&amp;dib=eyJ2IjoiMSJ9.W18HIxOTMic5_pD33zu2gw.1DSWHjlv02LsqDPiJ1Fhf-usCButuz9Zh9IFsb1BzP0&amp;dib_tag=se&amp;keywords=4008600447115&amp;qid=1767433344&amp;s=baby&amp;sprefix=4008600447115%2Cbaby%2C140&amp;sr=1-1</t>
        </is>
      </c>
      <c r="L948" s="14" t="inlineStr">
        <is>
          <t>B0FP5LBQQ1</t>
        </is>
      </c>
      <c r="M948" s="15" t="n"/>
      <c r="N948" s="15" t="n"/>
      <c r="O948" s="15" t="n">
        <v>12.4</v>
      </c>
      <c r="P948" s="15">
        <f>O948/1.19</f>
        <v/>
      </c>
      <c r="Q948" s="15">
        <f>O948-P948</f>
        <v/>
      </c>
      <c r="R948" s="15">
        <f>O948*0.15</f>
        <v/>
      </c>
      <c r="S948" s="15" t="n">
        <v>5.27</v>
      </c>
      <c r="T948" s="15">
        <f>S948*0.2</f>
        <v/>
      </c>
      <c r="U948" s="15" t="n">
        <v>0.400000000000002</v>
      </c>
      <c r="V948" s="15" t="n">
        <v>2</v>
      </c>
      <c r="W948" s="15">
        <f>V948*0.2</f>
        <v/>
      </c>
      <c r="X948" s="21">
        <f>O948-Q948-R948-S948-U948-V948+T948+W948</f>
        <v/>
      </c>
      <c r="Y948" s="14" t="n"/>
      <c r="Z948" s="15">
        <f>O948+1.5</f>
        <v/>
      </c>
      <c r="AA948" s="15" t="n"/>
      <c r="AB948" s="15" t="n"/>
      <c r="AC948" s="14" t="n"/>
      <c r="AD948" s="14" t="n"/>
      <c r="AE948" s="13" t="inlineStr">
        <is>
          <t>NOT_UPLOADED</t>
        </is>
      </c>
    </row>
    <row r="949" ht="16" customHeight="1">
      <c r="A949" s="17" t="n"/>
      <c r="B949" s="17" t="n">
        <v>4008600447733</v>
      </c>
      <c r="C949" s="13" t="n"/>
      <c r="D949" s="18" t="n"/>
      <c r="E949" s="18" t="n"/>
      <c r="F949" s="17" t="n">
        <v>10175378</v>
      </c>
      <c r="G949" s="18" t="inlineStr">
        <is>
          <t>BEBOLINO</t>
        </is>
      </c>
      <c r="H949" s="18" t="inlineStr">
        <is>
          <t>NUK</t>
        </is>
      </c>
      <c r="I949" s="18" t="inlineStr">
        <is>
          <t>NUK First Choice Baby Dummy, 0-6 Months, Orthodontic Soothers, Soothes 99% of Babies, Bear/Seahorse, Pack of 2</t>
        </is>
      </c>
      <c r="J949" s="18" t="inlineStr">
        <is>
          <t>No</t>
        </is>
      </c>
      <c r="K949" s="18" t="inlineStr">
        <is>
          <t>https://www.amazon.de/-/en/Choice-Orthodontic-Soothers-Soothes-Seahorse/dp/B0FP5H4639/ref=sr_1_1?crid=LOVCY7TTBQAL&amp;dib=eyJ2IjoiMSJ9.7D-1zukwzbTRuyCmVvw9Wg.MN-Sir6YNoibMxG_CeYLcOR8nwhn-NhZBwUIXfjuj3g&amp;dib_tag=se&amp;keywords=4008600447733&amp;qid=1767433410&amp;s=baby&amp;sprefix=4008600447733%2Cbaby%2C133&amp;sr=1-1</t>
        </is>
      </c>
      <c r="L949" s="18" t="inlineStr">
        <is>
          <t>B0FP5H4639</t>
        </is>
      </c>
      <c r="M949" s="19" t="n"/>
      <c r="N949" s="19" t="n"/>
      <c r="O949" s="19" t="n">
        <v>10.95</v>
      </c>
      <c r="P949" s="19">
        <f>O949/1.19</f>
        <v/>
      </c>
      <c r="Q949" s="19">
        <f>O949-P949</f>
        <v/>
      </c>
      <c r="R949" s="19">
        <f>O949*0.15</f>
        <v/>
      </c>
      <c r="S949" s="19" t="n">
        <v>4.1</v>
      </c>
      <c r="T949" s="19">
        <f>S949*0.2</f>
        <v/>
      </c>
      <c r="U949" s="19" t="n">
        <v>0.400000000000002</v>
      </c>
      <c r="V949" s="19" t="n">
        <v>2</v>
      </c>
      <c r="W949" s="19">
        <f>V949*0.2</f>
        <v/>
      </c>
      <c r="X949" s="21">
        <f>O949-Q949-R949-S949-U949-V949+T949+W949</f>
        <v/>
      </c>
      <c r="Y949" s="18" t="n"/>
      <c r="Z949" s="19">
        <f>O949+1.5</f>
        <v/>
      </c>
      <c r="AA949" s="19" t="n"/>
      <c r="AB949" s="19" t="n"/>
      <c r="AC949" s="18" t="n"/>
      <c r="AD949" s="18" t="n"/>
      <c r="AE949" s="13" t="inlineStr">
        <is>
          <t>NOT_UPLOADED</t>
        </is>
      </c>
    </row>
    <row r="950" ht="16" customHeight="1">
      <c r="A950" s="12" t="n"/>
      <c r="B950" s="12" t="n">
        <v>4008600447726</v>
      </c>
      <c r="C950" s="13" t="n"/>
      <c r="D950" s="14" t="n"/>
      <c r="E950" s="14" t="n"/>
      <c r="F950" s="12" t="n">
        <v>10175379</v>
      </c>
      <c r="G950" s="14" t="inlineStr">
        <is>
          <t>BEBOLINO</t>
        </is>
      </c>
      <c r="H950" s="14" t="inlineStr">
        <is>
          <t>NUK</t>
        </is>
      </c>
      <c r="I950" s="14" t="inlineStr">
        <is>
          <t>NUK First Choice Baby Dummy | 0-6 Months | Orthodontic Soothers | Soothes 99% of Babies** | Penguin/Giraffe | Pack of 2</t>
        </is>
      </c>
      <c r="J950" s="14" t="inlineStr">
        <is>
          <t>No</t>
        </is>
      </c>
      <c r="K950" s="14" t="inlineStr">
        <is>
          <t>https://www.amazon.de/-/en/Orthodontic-Soothers-Soothes-Penguin-Giraffe/dp/B0FP5MFKVS/ref=sr_1_1?crid=2EHMBOC6DRJ73&amp;dib=eyJ2IjoiMSJ9.8nY0F3jrlSmfl9Dfx03k4g.-gP5yzxWO-LkOCT1_QCyMpAeDzvDaxRBaz97vCVI7MA&amp;dib_tag=se&amp;keywords=4008600447726&amp;qid=1767433547&amp;s=baby&amp;sprefix=4008600447726%2Cbaby%2C217&amp;sr=1-1</t>
        </is>
      </c>
      <c r="L950" s="14" t="inlineStr">
        <is>
          <t>B0FP5MFKVS</t>
        </is>
      </c>
      <c r="M950" s="15" t="n"/>
      <c r="N950" s="15" t="n"/>
      <c r="O950" s="15" t="n">
        <v>10.95</v>
      </c>
      <c r="P950" s="15">
        <f>O950/1.19</f>
        <v/>
      </c>
      <c r="Q950" s="15">
        <f>O950-P950</f>
        <v/>
      </c>
      <c r="R950" s="15">
        <f>O950*0.15</f>
        <v/>
      </c>
      <c r="S950" s="15" t="n">
        <v>4.1</v>
      </c>
      <c r="T950" s="15">
        <f>S950*0.2</f>
        <v/>
      </c>
      <c r="U950" s="15" t="n">
        <v>0.400000000000002</v>
      </c>
      <c r="V950" s="15" t="n">
        <v>2</v>
      </c>
      <c r="W950" s="15">
        <f>V950*0.2</f>
        <v/>
      </c>
      <c r="X950" s="21">
        <f>O950-Q950-R950-S950-U950-V950+T950+W950</f>
        <v/>
      </c>
      <c r="Y950" s="14" t="n"/>
      <c r="Z950" s="15">
        <f>O950+1.5</f>
        <v/>
      </c>
      <c r="AA950" s="15" t="n"/>
      <c r="AB950" s="15" t="n"/>
      <c r="AC950" s="14" t="n"/>
      <c r="AD950" s="14" t="n"/>
      <c r="AE950" s="13" t="inlineStr">
        <is>
          <t>NOT_UPLOADED</t>
        </is>
      </c>
    </row>
    <row r="951" ht="16" customHeight="1">
      <c r="A951" s="17" t="n"/>
      <c r="B951" s="17" t="n">
        <v>4008600448013</v>
      </c>
      <c r="C951" s="13" t="n"/>
      <c r="D951" s="18" t="n"/>
      <c r="E951" s="18" t="n"/>
      <c r="F951" s="17" t="n">
        <v>10175387</v>
      </c>
      <c r="G951" s="18" t="inlineStr">
        <is>
          <t>BEBOLINO</t>
        </is>
      </c>
      <c r="H951" s="18" t="inlineStr">
        <is>
          <t>NUK</t>
        </is>
      </c>
      <c r="I951" s="18" t="inlineStr">
        <is>
          <t>NUK First Choice Night Baby Pacifier | 0-6 Months | Glow in the Dark Orthodontic Soothers | Soothes 99% of Babies** | Rabbit/Sheep | 0-2 Pieces</t>
        </is>
      </c>
      <c r="J951" s="18" t="inlineStr">
        <is>
          <t>No</t>
        </is>
      </c>
      <c r="K951" s="18" t="inlineStr">
        <is>
          <t>https://www.amazon.de/-/en/Choice-Pacifier-Orthodontic-Soothers-Soothes/dp/B0FP5JXG9X/ref=sr_1_1?crid=AKPZL846J577&amp;dib=eyJ2IjoiMSJ9.N3fSBGsq8KQDj-RccC6nFQ.EusdngIlLXiiw238BmI2oznAQK61tfCmIVQZqbR3moQ&amp;dib_tag=se&amp;keywords=4008600448013&amp;qid=1767433659&amp;s=baby&amp;sprefix=4008600448013%2Cbaby%2C459&amp;sr=1-1</t>
        </is>
      </c>
      <c r="L951" s="18" t="inlineStr">
        <is>
          <t>B0FP5JXG9X</t>
        </is>
      </c>
      <c r="M951" s="19" t="n"/>
      <c r="N951" s="19" t="n"/>
      <c r="O951" s="19" t="n">
        <v>11.35</v>
      </c>
      <c r="P951" s="19">
        <f>O951/1.19</f>
        <v/>
      </c>
      <c r="Q951" s="19">
        <f>O951-P951</f>
        <v/>
      </c>
      <c r="R951" s="19">
        <f>O951*0.15</f>
        <v/>
      </c>
      <c r="S951" s="19" t="n">
        <v>4.3</v>
      </c>
      <c r="T951" s="19">
        <f>S951*0.2</f>
        <v/>
      </c>
      <c r="U951" s="19" t="n">
        <v>0.400000000000002</v>
      </c>
      <c r="V951" s="19" t="n">
        <v>2</v>
      </c>
      <c r="W951" s="19">
        <f>V951*0.2</f>
        <v/>
      </c>
      <c r="X951" s="21">
        <f>O951-Q951-R951-S951-U951-V951+T951+W951</f>
        <v/>
      </c>
      <c r="Y951" s="18" t="n"/>
      <c r="Z951" s="19">
        <f>O951+1.5</f>
        <v/>
      </c>
      <c r="AA951" s="19" t="n"/>
      <c r="AB951" s="19" t="n"/>
      <c r="AC951" s="18" t="n"/>
      <c r="AD951" s="18" t="n"/>
      <c r="AE951" s="13" t="inlineStr">
        <is>
          <t>NOT_UPLOADED</t>
        </is>
      </c>
    </row>
    <row r="952" ht="16" customHeight="1">
      <c r="A952" s="12" t="n">
        <v>4008600442806</v>
      </c>
      <c r="B952" s="12" t="n">
        <v>4008600442783</v>
      </c>
      <c r="C952" s="13" t="n"/>
      <c r="D952" s="14" t="n"/>
      <c r="E952" s="14" t="n"/>
      <c r="F952" s="12" t="n">
        <v>10751562</v>
      </c>
      <c r="G952" s="14" t="inlineStr">
        <is>
          <t>BEBOLINO</t>
        </is>
      </c>
      <c r="H952" s="14" t="inlineStr">
        <is>
          <t>NUK</t>
        </is>
      </c>
      <c r="I952" s="14" t="inlineStr">
        <is>
          <t>NUK Baby Bottle Cleanser, 500 ml, Ideal for Cleaning Baby Bottles, Teats &amp; Accessories, Fragrance Free, pH Neutral, 100% Recycled Bottle</t>
        </is>
      </c>
      <c r="J952" s="14" t="inlineStr">
        <is>
          <t>No</t>
        </is>
      </c>
      <c r="K952" s="14" t="inlineStr">
        <is>
          <t>https://www.amazon.de/-/en/Cleanser-Cleaning-Accessories-Fragrance-Recycled/dp/B0921QK55P/ref=sr_1_1?crid=24Y3AF183L5T&amp;dib=eyJ2IjoiMSJ9.5pXlPtk4m8k9AJsbBiuJTA.1cpUolh_bZ1pSW3hLhlcldLuk5KQoO1Ivj4zyaol6vs&amp;dib_tag=se&amp;keywords=4008600442783&amp;qid=1767437292&amp;s=baby&amp;sprefix=4008600442783%2Cbaby%2C267&amp;sr=1-1&amp;th=1</t>
        </is>
      </c>
      <c r="L952" s="14" t="inlineStr">
        <is>
          <t>B0921QK55P</t>
        </is>
      </c>
      <c r="M952" s="15" t="n"/>
      <c r="N952" s="15" t="n"/>
      <c r="O952" s="15" t="n">
        <v>12.9</v>
      </c>
      <c r="P952" s="15">
        <f>O952/1.19</f>
        <v/>
      </c>
      <c r="Q952" s="15">
        <f>O952-P952</f>
        <v/>
      </c>
      <c r="R952" s="15">
        <f>O952*0.15</f>
        <v/>
      </c>
      <c r="S952" s="15" t="n">
        <v>2.87</v>
      </c>
      <c r="T952" s="15">
        <f>S952*0.2</f>
        <v/>
      </c>
      <c r="U952" s="15" t="n">
        <v>0.400000000000002</v>
      </c>
      <c r="V952" s="15" t="n">
        <v>5</v>
      </c>
      <c r="W952" s="15">
        <f>V952*0.2</f>
        <v/>
      </c>
      <c r="X952" s="21">
        <f>O952-Q952-R952-S952-U952-V952+T952+W952</f>
        <v/>
      </c>
      <c r="Y952" s="14" t="n"/>
      <c r="Z952" s="15">
        <f>O952+1.5</f>
        <v/>
      </c>
      <c r="AA952" s="15" t="n"/>
      <c r="AB952" s="15" t="n"/>
      <c r="AC952" s="14" t="n"/>
      <c r="AD952" s="14" t="n"/>
      <c r="AE952" s="13" t="inlineStr">
        <is>
          <t>NOT_UPLOADED</t>
        </is>
      </c>
    </row>
    <row r="953" ht="16" customHeight="1">
      <c r="A953" s="17" t="n">
        <v>8801051050806</v>
      </c>
      <c r="B953" s="17" t="n"/>
      <c r="C953" s="13" t="n"/>
      <c r="D953" s="18" t="n"/>
      <c r="E953" s="18" t="inlineStr">
        <is>
          <t>BUL-8801051050806</t>
        </is>
      </c>
      <c r="F953" s="17" t="n">
        <v>2504</v>
      </c>
      <c r="G953" s="18" t="inlineStr">
        <is>
          <t>BULDENT</t>
        </is>
      </c>
      <c r="H953" s="18" t="inlineStr">
        <is>
          <t>GC</t>
        </is>
      </c>
      <c r="I953" s="18" t="inlineStr">
        <is>
          <t>GC Tooth Mousse Vanilla</t>
        </is>
      </c>
      <c r="J953" s="18" t="inlineStr">
        <is>
          <t>No</t>
        </is>
      </c>
      <c r="K953" s="18" t="inlineStr">
        <is>
          <t>https://www.amazon.de/-/en/4423920810041-GC-Tooth-Mousse-Vanilla/dp/B0047ZOSAM/ref=sr_1_1?crid=32TU3F66O8FG9&amp;dib=eyJ2IjoiMSJ9.4Gge3zmb9WHl5Nxh4rT5U_39fXXWjp2jvwhYVZQumyrIRL2_KknQ18f6IIO8gU759eKHZcESqQ-QhKA85uJUPJqqV44QVwhEkMrvH4y6Dkvxw3lqarZp4a2PGMt1Wf8IHoxRILYOB_FNmM60vt74UsLd8sCh-b7fQtYXQawdU8vzVOiL9V1_LuUjZz5yPgUhkHt9qr3PpyCvA1VjnFz8XKSuA9i8UyefZc0Pv6Mbr6AR5sofCPovQ2-fA51Zw4R7FTRsSNizHRpujK6MTqXfGMhDUXnHTehFG0Cp-uRD1qU.QPnMDRwjP61D2cJLWVcBGOI7mZPn0aiTbmrKAZO8d_g&amp;dib_tag=se&amp;keywords=gc%2Bmi%2Bpaste&amp;qid=1767788607&amp;sprefix=gc%2Bmi%2Bpaste%2Caps%2C134&amp;sr=8-1&amp;th=1</t>
        </is>
      </c>
      <c r="L953" s="18" t="inlineStr">
        <is>
          <t>B0047ZOSAM</t>
        </is>
      </c>
      <c r="M953" s="19" t="n"/>
      <c r="N953" s="19" t="n"/>
      <c r="O953" s="19" t="n">
        <v>26.95</v>
      </c>
      <c r="P953" s="19">
        <f>O953/1.19</f>
        <v/>
      </c>
      <c r="Q953" s="19">
        <f>O953-P953</f>
        <v/>
      </c>
      <c r="R953" s="19">
        <f>O953*0.15</f>
        <v/>
      </c>
      <c r="S953" s="19" t="n">
        <v>15.99</v>
      </c>
      <c r="T953" s="19">
        <f>S953*0.2</f>
        <v/>
      </c>
      <c r="U953" s="19" t="n">
        <v>0.400000000000002</v>
      </c>
      <c r="V953" s="19" t="n">
        <v>2.5</v>
      </c>
      <c r="W953" s="19">
        <f>V953*0.2</f>
        <v/>
      </c>
      <c r="X953" s="21">
        <f>O953-Q953-R953-S953-U953-V953+T953+W953</f>
        <v/>
      </c>
      <c r="Y953" s="18" t="n"/>
      <c r="Z953" s="19">
        <f>O953+1.5</f>
        <v/>
      </c>
      <c r="AA953" s="19" t="n"/>
      <c r="AB953" s="19" t="n"/>
      <c r="AC953" s="18" t="n"/>
      <c r="AD953" s="18" t="n"/>
      <c r="AE953" s="13" t="inlineStr">
        <is>
          <t>NOT_UPLOADED</t>
        </is>
      </c>
    </row>
    <row r="954" ht="16" customHeight="1">
      <c r="A954" s="12" t="n">
        <v>4150095174950</v>
      </c>
      <c r="B954" s="12" t="n"/>
      <c r="C954" s="13" t="n"/>
      <c r="D954" s="14" t="n"/>
      <c r="E954" s="14" t="inlineStr">
        <is>
          <t>BUL-4150095174950</t>
        </is>
      </c>
      <c r="F954" s="12" t="n">
        <v>2508</v>
      </c>
      <c r="G954" s="14" t="inlineStr">
        <is>
          <t>BULDENT</t>
        </is>
      </c>
      <c r="H954" s="14" t="inlineStr">
        <is>
          <t>GC</t>
        </is>
      </c>
      <c r="I954" s="14" t="inlineStr">
        <is>
          <t>GC Tooth Mousse Recaldent strawberry 40g</t>
        </is>
      </c>
      <c r="J954" s="14" t="inlineStr">
        <is>
          <t>No</t>
        </is>
      </c>
      <c r="K954" s="14" t="inlineStr">
        <is>
          <t>https://www.amazon.de/-/en/Tooth-Mousse-Recaldent-strawberry-40g/dp/B0011W6SNO/ref=sr_1_2?crid=32TU3F66O8FG9&amp;dib=eyJ2IjoiMSJ9.4Gge3zmb9WHl5Nxh4rT5U_39fXXWjp2jvwhYVZQumyrIRL2_KknQ18f6IIO8gU759eKHZcESqQ-QhKA85uJUPJqqV44QVwhEkMrvH4y6Dkvxw3lqarZp4a2PGMt1Wf8IHoxRILYOB_FNmM60vt74UsLd8sCh-b7fQtYXQawdU8vzVOiL9V1_LuUjZz5yPgUhkHt9qr3PpyCvA1VjnFz8XKSuA9i8UyefZc0Pv6Mbr6AR5sofCPovQ2-fA51Zw4R7FTRsSNizHRpujK6MTqXfGMhDUXnHTehFG0Cp-uRD1qU.QPnMDRwjP61D2cJLWVcBGOI7mZPn0aiTbmrKAZO8d_g&amp;dib_tag=se&amp;keywords=gc+mi+paste&amp;qid=1767788607&amp;sprefix=gc+mi+paste%2Caps%2C134&amp;sr=8-2</t>
        </is>
      </c>
      <c r="L954" s="14" t="inlineStr">
        <is>
          <t>B0011W6SNO</t>
        </is>
      </c>
      <c r="M954" s="15" t="n"/>
      <c r="N954" s="15" t="n"/>
      <c r="O954" s="15" t="n">
        <v>26.95</v>
      </c>
      <c r="P954" s="15">
        <f>O954/1.19</f>
        <v/>
      </c>
      <c r="Q954" s="15">
        <f>O954-P954</f>
        <v/>
      </c>
      <c r="R954" s="15">
        <f>O954*0.15</f>
        <v/>
      </c>
      <c r="S954" s="15" t="n">
        <v>15.99</v>
      </c>
      <c r="T954" s="15">
        <f>S954*0.2</f>
        <v/>
      </c>
      <c r="U954" s="15" t="n">
        <v>0.400000000000002</v>
      </c>
      <c r="V954" s="15" t="n">
        <v>2.5</v>
      </c>
      <c r="W954" s="15">
        <f>V954*0.2</f>
        <v/>
      </c>
      <c r="X954" s="21">
        <f>O954-Q954-R954-S954-U954-V954+T954+W954</f>
        <v/>
      </c>
      <c r="Y954" s="14" t="n"/>
      <c r="Z954" s="15">
        <f>O954+1.5</f>
        <v/>
      </c>
      <c r="AA954" s="15" t="n"/>
      <c r="AB954" s="15" t="n"/>
      <c r="AC954" s="14" t="n"/>
      <c r="AD954" s="14" t="n"/>
      <c r="AE954" s="13" t="inlineStr">
        <is>
          <t>NOT_UPLOADED</t>
        </is>
      </c>
    </row>
    <row r="955" ht="16" customHeight="1">
      <c r="A955" s="17" t="n">
        <v>4150095175490</v>
      </c>
      <c r="B955" s="17" t="n"/>
      <c r="C955" s="13" t="n"/>
      <c r="D955" s="18" t="n"/>
      <c r="E955" s="18" t="inlineStr">
        <is>
          <t>BUL-4150095175490</t>
        </is>
      </c>
      <c r="F955" s="17" t="n">
        <v>2506</v>
      </c>
      <c r="G955" s="18" t="inlineStr">
        <is>
          <t>BULDENT</t>
        </is>
      </c>
      <c r="H955" s="18" t="inlineStr">
        <is>
          <t>GC</t>
        </is>
      </c>
      <c r="I955" s="18" t="inlineStr">
        <is>
          <t>GC Tooth Mousse Tutti Fruiti, 40 g</t>
        </is>
      </c>
      <c r="J955" s="18" t="inlineStr">
        <is>
          <t>No</t>
        </is>
      </c>
      <c r="K955" s="18" t="inlineStr">
        <is>
          <t>https://www.amazon.de/-/en/GC-Tooth-Mousse-Tutti-Fruiti/dp/B00G79CVBY/ref=sr_1_3?crid=32TU3F66O8FG9&amp;dib=eyJ2IjoiMSJ9.4Gge3zmb9WHl5Nxh4rT5U_39fXXWjp2jvwhYVZQumyrIRL2_KknQ18f6IIO8gU759eKHZcESqQ-QhKA85uJUPJqqV44QVwhEkMrvH4y6Dkvxw3lqarZp4a2PGMt1Wf8IHoxRILYOB_FNmM60vt74UsLd8sCh-b7fQtYXQawdU8vzVOiL9V1_LuUjZz5yPgUhkHt9qr3PpyCvA1VjnFz8XKSuA9i8UyefZc0Pv6Mbr6AR5sofCPovQ2-fA51Zw4R7FTRsSNizHRpujK6MTqXfGMhDUXnHTehFG0Cp-uRD1qU.QPnMDRwjP61D2cJLWVcBGOI7mZPn0aiTbmrKAZO8d_g&amp;dib_tag=se&amp;keywords=gc+mi+paste&amp;qid=1767788607&amp;sprefix=gc+mi+paste%2Caps%2C134&amp;sr=8-3</t>
        </is>
      </c>
      <c r="L955" s="18" t="inlineStr">
        <is>
          <t>B00G79CVBY</t>
        </is>
      </c>
      <c r="M955" s="19" t="n"/>
      <c r="N955" s="19" t="n"/>
      <c r="O955" s="19" t="n">
        <v>26.95</v>
      </c>
      <c r="P955" s="19">
        <f>O955/1.19</f>
        <v/>
      </c>
      <c r="Q955" s="19">
        <f>O955-P955</f>
        <v/>
      </c>
      <c r="R955" s="19">
        <f>O955*0.15</f>
        <v/>
      </c>
      <c r="S955" s="19" t="n">
        <v>15.99</v>
      </c>
      <c r="T955" s="19">
        <f>S955*0.2</f>
        <v/>
      </c>
      <c r="U955" s="19" t="n">
        <v>0.400000000000002</v>
      </c>
      <c r="V955" s="19" t="n">
        <v>2.3</v>
      </c>
      <c r="W955" s="19">
        <f>V955*0.2</f>
        <v/>
      </c>
      <c r="X955" s="21">
        <f>O955-Q955-R955-S955-U955-V955+T955+W955</f>
        <v/>
      </c>
      <c r="Y955" s="18" t="n"/>
      <c r="Z955" s="19">
        <f>O955+1.5</f>
        <v/>
      </c>
      <c r="AA955" s="19" t="n"/>
      <c r="AB955" s="19" t="n"/>
      <c r="AC955" s="18" t="n"/>
      <c r="AD955" s="18" t="n"/>
      <c r="AE955" s="13" t="inlineStr">
        <is>
          <t>NOT_UPLOADED</t>
        </is>
      </c>
    </row>
    <row r="956" ht="16" customHeight="1">
      <c r="A956" s="12" t="n">
        <v>8451873737876</v>
      </c>
      <c r="B956" s="12" t="n"/>
      <c r="C956" s="13" t="n"/>
      <c r="D956" s="14" t="n"/>
      <c r="E956" s="14" t="inlineStr">
        <is>
          <t>BUL-8451873737876</t>
        </is>
      </c>
      <c r="F956" s="12" t="n">
        <v>2506</v>
      </c>
      <c r="G956" s="14" t="inlineStr">
        <is>
          <t>BULDENT</t>
        </is>
      </c>
      <c r="H956" s="14" t="inlineStr">
        <is>
          <t>GC</t>
        </is>
      </c>
      <c r="I956" s="14" t="inlineStr">
        <is>
          <t>GC Tooth Mousse Tutti Frutti</t>
        </is>
      </c>
      <c r="J956" s="14" t="inlineStr">
        <is>
          <t>No</t>
        </is>
      </c>
      <c r="K956" s="14" t="inlineStr">
        <is>
          <t>https://www.amazon.de/-/en/GC-Tooth-Mousse-Tutti-Frutti/dp/B0011W6UBY/ref=sr_1_4?crid=32TU3F66O8FG9&amp;dib=eyJ2IjoiMSJ9.4Gge3zmb9WHl5Nxh4rT5U_39fXXWjp2jvwhYVZQumyrIRL2_KknQ18f6IIO8gU759eKHZcESqQ-QhKA85uJUPJqqV44QVwhEkMrvH4y6Dkvxw3lqarZp4a2PGMt1Wf8IHoxRILYOB_FNmM60vt74UsLd8sCh-b7fQtYXQawdU8vzVOiL9V1_LuUjZz5yPgUhkHt9qr3PpyCvA1VjnFz8XKSuA9i8UyefZc0Pv6Mbr6AR5sofCPovQ2-fA51Zw4R7FTRsSNizHRpujK6MTqXfGMhDUXnHTehFG0Cp-uRD1qU.QPnMDRwjP61D2cJLWVcBGOI7mZPn0aiTbmrKAZO8d_g&amp;dib_tag=se&amp;keywords=gc+mi+paste&amp;qid=1767788607&amp;sprefix=gc+mi+paste%2Caps%2C134&amp;sr=8-4</t>
        </is>
      </c>
      <c r="L956" s="14" t="inlineStr">
        <is>
          <t>B0011W6UBY</t>
        </is>
      </c>
      <c r="M956" s="15" t="n"/>
      <c r="N956" s="15" t="n"/>
      <c r="O956" s="15" t="n">
        <v>26.95</v>
      </c>
      <c r="P956" s="15">
        <f>O956/1.19</f>
        <v/>
      </c>
      <c r="Q956" s="15">
        <f>O956-P956</f>
        <v/>
      </c>
      <c r="R956" s="15">
        <f>O956*0.15</f>
        <v/>
      </c>
      <c r="S956" s="15" t="n">
        <v>15.99</v>
      </c>
      <c r="T956" s="15">
        <f>S956*0.2</f>
        <v/>
      </c>
      <c r="U956" s="15" t="n">
        <v>0.400000000000002</v>
      </c>
      <c r="V956" s="15" t="n">
        <v>2.5</v>
      </c>
      <c r="W956" s="15">
        <f>V956*0.2</f>
        <v/>
      </c>
      <c r="X956" s="21">
        <f>O956-Q956-R956-S956-U956-V956+T956+W956</f>
        <v/>
      </c>
      <c r="Y956" s="14" t="n"/>
      <c r="Z956" s="15">
        <f>O956+1.5</f>
        <v/>
      </c>
      <c r="AA956" s="15" t="n"/>
      <c r="AB956" s="15" t="n"/>
      <c r="AC956" s="14" t="n"/>
      <c r="AD956" s="14" t="n"/>
      <c r="AE956" s="13" t="inlineStr">
        <is>
          <t>NOT_UPLOADED</t>
        </is>
      </c>
    </row>
    <row r="957" ht="16" customHeight="1">
      <c r="A957" s="17" t="n">
        <v>4423920810027</v>
      </c>
      <c r="B957" s="17" t="n"/>
      <c r="C957" s="13" t="n"/>
      <c r="D957" s="18" t="n"/>
      <c r="E957" s="18" t="inlineStr">
        <is>
          <t>BUL-4423920810027</t>
        </is>
      </c>
      <c r="F957" s="17" t="n">
        <v>2505</v>
      </c>
      <c r="G957" s="18" t="inlineStr">
        <is>
          <t>BULDENT</t>
        </is>
      </c>
      <c r="H957" s="18" t="inlineStr">
        <is>
          <t>GC</t>
        </is>
      </c>
      <c r="I957" s="18" t="inlineStr">
        <is>
          <t>GC Tooth Mousse Mouthguard Cream, 1-Pack (1 x 40 g)</t>
        </is>
      </c>
      <c r="J957" s="18" t="inlineStr">
        <is>
          <t>No</t>
        </is>
      </c>
      <c r="K957" s="18" t="inlineStr">
        <is>
          <t>https://www.amazon.de/-/en/Tooth-Mousse-Mouthguard-Cream-1-Pack/dp/B00DM5PNNE/ref=sr_1_5?crid=32TU3F66O8FG9&amp;dib=eyJ2IjoiMSJ9.4Gge3zmb9WHl5Nxh4rT5U_39fXXWjp2jvwhYVZQumyrIRL2_KknQ18f6IIO8gU759eKHZcESqQ-QhKA85uJUPJqqV44QVwhEkMrvH4y6Dkvxw3lqarZp4a2PGMt1Wf8IHoxRILYOB_FNmM60vt74UsLd8sCh-b7fQtYXQawdU8vzVOiL9V1_LuUjZz5yPgUhkHt9qr3PpyCvA1VjnFz8XKSuA9i8UyefZc0Pv6Mbr6AR5sofCPovQ2-fA51Zw4R7FTRsSNizHRpujK6MTqXfGMhDUXnHTehFG0Cp-uRD1qU.QPnMDRwjP61D2cJLWVcBGOI7mZPn0aiTbmrKAZO8d_g&amp;dib_tag=se&amp;keywords=gc+mi+paste&amp;qid=1767788607&amp;sprefix=gc+mi+paste%2Caps%2C134&amp;sr=8-5</t>
        </is>
      </c>
      <c r="L957" s="18" t="inlineStr">
        <is>
          <t>B00DM5PNNE</t>
        </is>
      </c>
      <c r="M957" s="19" t="n"/>
      <c r="N957" s="19" t="n"/>
      <c r="O957" s="19" t="n">
        <v>26.95</v>
      </c>
      <c r="P957" s="19">
        <f>O957/1.19</f>
        <v/>
      </c>
      <c r="Q957" s="19">
        <f>O957-P957</f>
        <v/>
      </c>
      <c r="R957" s="19">
        <f>O957*0.15</f>
        <v/>
      </c>
      <c r="S957" s="19" t="n">
        <v>15.99</v>
      </c>
      <c r="T957" s="19">
        <f>S957*0.2</f>
        <v/>
      </c>
      <c r="U957" s="19" t="n">
        <v>0.400000000000002</v>
      </c>
      <c r="V957" s="19" t="n">
        <v>2.5</v>
      </c>
      <c r="W957" s="19">
        <f>V957*0.2</f>
        <v/>
      </c>
      <c r="X957" s="21">
        <f>O957-Q957-R957-S957-U957-V957+T957+W957</f>
        <v/>
      </c>
      <c r="Y957" s="18" t="n"/>
      <c r="Z957" s="19">
        <f>O957+1.5</f>
        <v/>
      </c>
      <c r="AA957" s="19" t="n"/>
      <c r="AB957" s="19" t="n"/>
      <c r="AC957" s="18" t="n"/>
      <c r="AD957" s="18" t="n"/>
      <c r="AE957" s="13" t="inlineStr">
        <is>
          <t>NOT_UPLOADED</t>
        </is>
      </c>
    </row>
    <row r="958" ht="16" customHeight="1">
      <c r="A958" s="12" t="n">
        <v>9631146489582</v>
      </c>
      <c r="B958" s="12" t="n"/>
      <c r="C958" s="13" t="n"/>
      <c r="D958" s="14" t="n"/>
      <c r="E958" s="14" t="inlineStr">
        <is>
          <t>BUL-9631146489582</t>
        </is>
      </c>
      <c r="F958" s="12" t="n">
        <v>2507</v>
      </c>
      <c r="G958" s="14" t="inlineStr">
        <is>
          <t>BULDENT</t>
        </is>
      </c>
      <c r="H958" s="14" t="inlineStr">
        <is>
          <t>GC</t>
        </is>
      </c>
      <c r="I958" s="14" t="inlineStr">
        <is>
          <t>GC Tooth Mousse Recaldent Melon 40g</t>
        </is>
      </c>
      <c r="J958" s="14" t="inlineStr">
        <is>
          <t>No</t>
        </is>
      </c>
      <c r="K958" s="14" t="inlineStr">
        <is>
          <t>https://www.amazon.de/-/en/Tooth-Mousse-Recaldent-Melon-40g/dp/B0011W6UMS/ref=sr_1_6?crid=32TU3F66O8FG9&amp;dib=eyJ2IjoiMSJ9.4Gge3zmb9WHl5Nxh4rT5U_39fXXWjp2jvwhYVZQumyrIRL2_KknQ18f6IIO8gU759eKHZcESqQ-QhKA85uJUPJqqV44QVwhEkMrvH4y6DkumUz4VmJdvJ9w9lJIa0Wd_ymtSpTtoj-1xpc9tQiMs3aKxcBVsUSb4KoEg98k9XGSeODUmkwO-JAVRMbeNJYxWO9xTzv-PXubB1HhrDoZ5c8Jz4Bq1OKH0qPBgvCr3yOl6ITaGn2Kf-n3_AqEjzVYKTVhuTe3qxN5WFjJisyGgSud8oar1ttYuNNCSOexMKKk.GsrPnw_I9HIt4EIObe6250ySDok_gsZ9PsYfV5Z-c2g&amp;dib_tag=se&amp;keywords=gc+mi+paste&amp;qid=1767791883&amp;sprefix=gc+mi+paste%2Caps%2C134&amp;sr=8-6</t>
        </is>
      </c>
      <c r="L958" s="14" t="inlineStr">
        <is>
          <t>B0011W6UMS</t>
        </is>
      </c>
      <c r="M958" s="15" t="n"/>
      <c r="N958" s="15" t="n"/>
      <c r="O958" s="15" t="n">
        <v>26.95</v>
      </c>
      <c r="P958" s="15">
        <f>O958/1.19</f>
        <v/>
      </c>
      <c r="Q958" s="15">
        <f>O958-P958</f>
        <v/>
      </c>
      <c r="R958" s="15">
        <f>O958*0.15</f>
        <v/>
      </c>
      <c r="S958" s="15" t="n">
        <v>15.99</v>
      </c>
      <c r="T958" s="15">
        <f>S958*0.2</f>
        <v/>
      </c>
      <c r="U958" s="15" t="n">
        <v>0.400000000000002</v>
      </c>
      <c r="V958" s="15" t="n">
        <v>2.5</v>
      </c>
      <c r="W958" s="15">
        <f>V958*0.2</f>
        <v/>
      </c>
      <c r="X958" s="21">
        <f>O958-Q958-R958-S958-U958-V958+T958+W958</f>
        <v/>
      </c>
      <c r="Y958" s="14" t="n"/>
      <c r="Z958" s="15">
        <f>O958+1.5</f>
        <v/>
      </c>
      <c r="AA958" s="15" t="n"/>
      <c r="AB958" s="15" t="n"/>
      <c r="AC958" s="14" t="n"/>
      <c r="AD958" s="14" t="n"/>
      <c r="AE958" s="13" t="inlineStr">
        <is>
          <t>NOT_UPLOADED</t>
        </is>
      </c>
    </row>
    <row r="959" ht="16" customHeight="1">
      <c r="A959" s="17" t="n">
        <v>9874012547850</v>
      </c>
      <c r="B959" s="17" t="n"/>
      <c r="C959" s="13" t="n"/>
      <c r="D959" s="18" t="n"/>
      <c r="E959" s="18" t="inlineStr">
        <is>
          <t>BUL-9874012547850</t>
        </is>
      </c>
      <c r="F959" s="17" t="n">
        <v>2508</v>
      </c>
      <c r="G959" s="18" t="inlineStr">
        <is>
          <t>BULDENT</t>
        </is>
      </c>
      <c r="H959" s="18" t="inlineStr">
        <is>
          <t>GC</t>
        </is>
      </c>
      <c r="I959" s="18" t="inlineStr">
        <is>
          <t>GC Teeth Mousse - Strawberry - 40g/35ml</t>
        </is>
      </c>
      <c r="J959" s="18" t="inlineStr">
        <is>
          <t>No</t>
        </is>
      </c>
      <c r="K959" s="18" t="inlineStr">
        <is>
          <t>https://www.amazon.de/-/en/GC-Teeth-Mousse-Strawberry-35ml/dp/B08Z75FK27/ref=sr_1_7?crid=32TU3F66O8FG9&amp;dib=eyJ2IjoiMSJ9.4Gge3zmb9WHl5Nxh4rT5U_39fXXWjp2jvwhYVZQumyrIRL2_KknQ18f6IIO8gU759eKHZcESqQ-QhKA85uJUPJqqV44QVwhEkMrvH4y6DkumUz4VmJdvJ9w9lJIa0Wd_ymtSpTtoj-1xpc9tQiMs3aKxcBVsUSb4KoEg98k9XGSeODUmkwO-JAVRMbeNJYxWO9xTzv-PXubB1HhrDoZ5c8Jz4Bq1OKH0qPBgvCr3yOl6ITaGn2Kf-n3_AqEjzVYKTVhuTe3qxN5WFjJisyGgSud8oar1ttYuNNCSOexMKKk.GsrPnw_I9HIt4EIObe6250ySDok_gsZ9PsYfV5Z-c2g&amp;dib_tag=se&amp;keywords=gc+mi+paste&amp;qid=1767791883&amp;sprefix=gc+mi+paste%2Caps%2C134&amp;sr=8-7</t>
        </is>
      </c>
      <c r="L959" s="18" t="inlineStr">
        <is>
          <t>B08Z75FK27</t>
        </is>
      </c>
      <c r="M959" s="19" t="n"/>
      <c r="N959" s="19" t="n"/>
      <c r="O959" s="19" t="n">
        <v>26.95</v>
      </c>
      <c r="P959" s="19">
        <f>O959/1.19</f>
        <v/>
      </c>
      <c r="Q959" s="19">
        <f>O959-P959</f>
        <v/>
      </c>
      <c r="R959" s="19">
        <f>O959*0.15</f>
        <v/>
      </c>
      <c r="S959" s="19" t="n">
        <v>15.99</v>
      </c>
      <c r="T959" s="19">
        <f>S959*0.2</f>
        <v/>
      </c>
      <c r="U959" s="19" t="n">
        <v>0.400000000000002</v>
      </c>
      <c r="V959" s="19" t="n">
        <v>2.5</v>
      </c>
      <c r="W959" s="19">
        <f>V959*0.2</f>
        <v/>
      </c>
      <c r="X959" s="21">
        <f>O959-Q959-R959-S959-U959-V959+T959+W959</f>
        <v/>
      </c>
      <c r="Y959" s="18" t="n"/>
      <c r="Z959" s="19">
        <f>O959+1.5</f>
        <v/>
      </c>
      <c r="AA959" s="19" t="n"/>
      <c r="AB959" s="19" t="n"/>
      <c r="AC959" s="18" t="n"/>
      <c r="AD959" s="18" t="n"/>
      <c r="AE959" s="13" t="inlineStr">
        <is>
          <t>NOT_UPLOADED</t>
        </is>
      </c>
    </row>
    <row r="960" ht="16" customHeight="1">
      <c r="A960" s="12" t="n"/>
      <c r="B960" s="12" t="n"/>
      <c r="C960" s="13" t="n"/>
      <c r="D960" s="14" t="n"/>
      <c r="E960" s="14" t="inlineStr">
        <is>
          <t>BUL-44239208100271</t>
        </is>
      </c>
      <c r="F960" s="12" t="n">
        <v>2505</v>
      </c>
      <c r="G960" s="14" t="inlineStr">
        <is>
          <t>BULDENT</t>
        </is>
      </c>
      <c r="H960" s="14" t="inlineStr">
        <is>
          <t>GC</t>
        </is>
      </c>
      <c r="I960" s="14" t="inlineStr">
        <is>
          <t>GC Tooth Mousse Mint Paste by GC</t>
        </is>
      </c>
      <c r="J960" s="14" t="inlineStr">
        <is>
          <t>No</t>
        </is>
      </c>
      <c r="K960" s="14" t="inlineStr">
        <is>
          <t>https://www.amazon.de/dp/B01ASER528</t>
        </is>
      </c>
      <c r="L960" s="14" t="inlineStr">
        <is>
          <t>B01ASER528</t>
        </is>
      </c>
      <c r="M960" s="15" t="n"/>
      <c r="N960" s="15" t="n"/>
      <c r="O960" s="15" t="n">
        <v>26.95</v>
      </c>
      <c r="P960" s="15">
        <f>O960/1.19</f>
        <v/>
      </c>
      <c r="Q960" s="15">
        <f>O960-P960</f>
        <v/>
      </c>
      <c r="R960" s="15">
        <f>O960*0.15</f>
        <v/>
      </c>
      <c r="S960" s="15" t="n">
        <v>15.99</v>
      </c>
      <c r="T960" s="15">
        <f>S960*0.2</f>
        <v/>
      </c>
      <c r="U960" s="15" t="n">
        <v>0.400000000000002</v>
      </c>
      <c r="V960" s="15" t="n">
        <v>2.5</v>
      </c>
      <c r="W960" s="15">
        <f>V960*0.2</f>
        <v/>
      </c>
      <c r="X960" s="21">
        <f>O960-Q960-R960-S960-U960-V960+T960+W960</f>
        <v/>
      </c>
      <c r="Y960" s="14" t="n"/>
      <c r="Z960" s="15">
        <f>O960+1.5</f>
        <v/>
      </c>
      <c r="AA960" s="15" t="n"/>
      <c r="AB960" s="15" t="n"/>
      <c r="AC960" s="14" t="n"/>
      <c r="AD960" s="14" t="n"/>
      <c r="AE960" s="13" t="inlineStr">
        <is>
          <t>NOT_UPLOADED</t>
        </is>
      </c>
    </row>
    <row r="961" ht="16" customHeight="1">
      <c r="A961" s="17" t="n">
        <v>4260178840822</v>
      </c>
      <c r="B961" s="17" t="n"/>
      <c r="C961" s="13" t="n"/>
      <c r="D961" s="18" t="n"/>
      <c r="E961" s="18" t="inlineStr">
        <is>
          <t>BUL-4260178840822</t>
        </is>
      </c>
      <c r="F961" s="17" t="n">
        <v>4396</v>
      </c>
      <c r="G961" s="18" t="inlineStr">
        <is>
          <t>BULDENT</t>
        </is>
      </c>
      <c r="H961" s="18" t="inlineStr">
        <is>
          <t>GC</t>
        </is>
      </c>
      <c r="I961" s="18" t="inlineStr">
        <is>
          <t>GC Dry Mouth Gel Raspberry Flavour 40 g (35 ml)</t>
        </is>
      </c>
      <c r="J961" s="18" t="inlineStr">
        <is>
          <t>No</t>
        </is>
      </c>
      <c r="K961" s="18" t="inlineStr">
        <is>
          <t>https://www.amazon.de/-/en/Dry-Mouth-Gel-Raspberry-Flavour/dp/B00EKIYWBG/ref=sr_1_10?crid=2DRRIPNHKWU4M&amp;dib=eyJ2IjoiMSJ9.4Gge3zmb9WHl5Nxh4rT5U9GiW57zkyrtdYofqqML8FMaYPnlQPuK1yFPqK63F1XC9lcEFBMSzE6799lTXGTcEpjgYfZsO_KFU7j40c_Xbk0_TS4q2oP0KSii2BG3DJW0B1xrSEOyDqnLPd6OzvLW2V2DXDavW8t780Zyj-xfAiogzon1cuI-zAsTpJlBZ9izaWsRwdpicOjoMJ-WS5wwHbBrgm_bIZEQTZSCK5yKxct3IETEt2-DyiYtr7CIOyX9BhtSAggeXKiLhlX_AnIfiP_qVnaKODqzAfPFEM0Hl7k.75iXILaknplEEz1u0roNbTY9L1DgbmNd44tBLzCBMxg&amp;dib_tag=se&amp;keywords=GC&amp;qid=1767794860&amp;sprefix=gc%2Caps%2C109&amp;sr=8-10</t>
        </is>
      </c>
      <c r="L961" s="18" t="inlineStr">
        <is>
          <t>B00EKIYWBG</t>
        </is>
      </c>
      <c r="M961" s="19" t="n"/>
      <c r="N961" s="19" t="n"/>
      <c r="O961" s="19" t="n">
        <v>18.95</v>
      </c>
      <c r="P961" s="19">
        <f>O961/1.19</f>
        <v/>
      </c>
      <c r="Q961" s="19">
        <f>O961-P961</f>
        <v/>
      </c>
      <c r="R961" s="19">
        <f>O961*0.15</f>
        <v/>
      </c>
      <c r="S961" s="19" t="n">
        <v>9.49</v>
      </c>
      <c r="T961" s="19">
        <f>S961*0.2</f>
        <v/>
      </c>
      <c r="U961" s="19" t="n">
        <v>0.400000000000002</v>
      </c>
      <c r="V961" s="19" t="n">
        <v>2.3</v>
      </c>
      <c r="W961" s="19">
        <f>V961*0.2</f>
        <v/>
      </c>
      <c r="X961" s="21">
        <f>O961-Q961-R961-S961-U961-V961+T961+W961</f>
        <v/>
      </c>
      <c r="Y961" s="18" t="n"/>
      <c r="Z961" s="19">
        <f>O961+1.5</f>
        <v/>
      </c>
      <c r="AA961" s="19" t="n"/>
      <c r="AB961" s="19" t="n"/>
      <c r="AC961" s="18" t="n"/>
      <c r="AD961" s="18" t="n"/>
      <c r="AE961" s="13" t="inlineStr">
        <is>
          <t>NOT_UPLOADED</t>
        </is>
      </c>
    </row>
    <row r="962" ht="16" customHeight="1">
      <c r="A962" s="12" t="n">
        <v>4260178840846</v>
      </c>
      <c r="B962" s="12" t="n"/>
      <c r="C962" s="13" t="n"/>
      <c r="D962" s="14" t="n"/>
      <c r="E962" s="14" t="inlineStr">
        <is>
          <t>BUL-4260178840846</t>
        </is>
      </c>
      <c r="F962" s="12" t="n">
        <v>4396</v>
      </c>
      <c r="G962" s="14" t="inlineStr">
        <is>
          <t>BULDENT</t>
        </is>
      </c>
      <c r="H962" s="14" t="inlineStr">
        <is>
          <t>GC</t>
        </is>
      </c>
      <c r="I962" s="14" t="inlineStr">
        <is>
          <t>GC Dry Mouth Gel Orange 40 g (35 ml.)</t>
        </is>
      </c>
      <c r="J962" s="14" t="inlineStr">
        <is>
          <t>No</t>
        </is>
      </c>
      <c r="K962" s="14" t="inlineStr">
        <is>
          <t>https://www.amazon.de/-/en/Dry-Mouth-Gel-Orange-ml/dp/B00EL6TV1I/ref=sr_1_11?crid=2DRRIPNHKWU4M&amp;dib=eyJ2IjoiMSJ9.4Gge3zmb9WHl5Nxh4rT5U9GiW57zkyrtdYofqqML8FMaYPnlQPuK1yFPqK63F1XC9lcEFBMSzE6799lTXGTcEpjgYfZsO_KFU7j40c_Xbk0_TS4q2oP0KSii2BG3DJW0B1xrSEOyDqnLPd6OzvLW2V2DXDavW8t780Zyj-xfAiogzon1cuI-zAsTpJlBZ9izaWsRwdpicOjoMJ-WS5wwHbBrgm_bIZEQTZSCK5yKxct3IETEt2-DyiYtr7CIOyX9BhtSAggeXKiLhlX_AnIfiP_qVnaKODqzAfPFEM0Hl7k.75iXILaknplEEz1u0roNbTY9L1DgbmNd44tBLzCBMxg&amp;dib_tag=se&amp;keywords=GC&amp;qid=1767794860&amp;sprefix=gc%2Caps%2C109&amp;sr=8-11</t>
        </is>
      </c>
      <c r="L962" s="14" t="inlineStr">
        <is>
          <t>B00EL6TV1I</t>
        </is>
      </c>
      <c r="M962" s="15" t="n"/>
      <c r="N962" s="15" t="n"/>
      <c r="O962" s="15" t="n">
        <v>19.3</v>
      </c>
      <c r="P962" s="15">
        <f>O962/1.19</f>
        <v/>
      </c>
      <c r="Q962" s="15">
        <f>O962-P962</f>
        <v/>
      </c>
      <c r="R962" s="15">
        <f>O962*0.15</f>
        <v/>
      </c>
      <c r="S962" s="15" t="n">
        <v>9.49</v>
      </c>
      <c r="T962" s="15">
        <f>S962*0.2</f>
        <v/>
      </c>
      <c r="U962" s="15" t="n">
        <v>0.400000000000002</v>
      </c>
      <c r="V962" s="15" t="n">
        <v>2.3</v>
      </c>
      <c r="W962" s="15">
        <f>V962*0.2</f>
        <v/>
      </c>
      <c r="X962" s="21">
        <f>O962-Q962-R962-S962-U962-V962+T962+W962</f>
        <v/>
      </c>
      <c r="Y962" s="14" t="n"/>
      <c r="Z962" s="15">
        <f>O962+1.5</f>
        <v/>
      </c>
      <c r="AA962" s="15" t="n"/>
      <c r="AB962" s="15" t="n"/>
      <c r="AC962" s="14" t="n"/>
      <c r="AD962" s="14" t="n"/>
      <c r="AE962" s="13" t="inlineStr">
        <is>
          <t>NOT_UPLOADED</t>
        </is>
      </c>
    </row>
    <row r="963" ht="16" customHeight="1">
      <c r="A963" s="17" t="n">
        <v>4260178840839</v>
      </c>
      <c r="B963" s="17" t="n"/>
      <c r="C963" s="13" t="n"/>
      <c r="D963" s="18" t="n"/>
      <c r="E963" s="18" t="inlineStr">
        <is>
          <t>BUL-4260178840839</t>
        </is>
      </c>
      <c r="F963" s="17" t="n">
        <v>4396</v>
      </c>
      <c r="G963" s="18" t="inlineStr">
        <is>
          <t>BULDENT</t>
        </is>
      </c>
      <c r="H963" s="18" t="inlineStr">
        <is>
          <t>GC</t>
        </is>
      </c>
      <c r="I963" s="18" t="inlineStr">
        <is>
          <t>GC Dry Mouth Gel Mint 40 g (35 ml.)</t>
        </is>
      </c>
      <c r="J963" s="18" t="inlineStr">
        <is>
          <t>No</t>
        </is>
      </c>
      <c r="K963" s="18" t="inlineStr">
        <is>
          <t>https://www.amazon.de/-/en/Dry-Mouth-Gel-Mint-ml/dp/B00EL6WY30/ref=sr_1_13?crid=2DRRIPNHKWU4M&amp;dib=eyJ2IjoiMSJ9.4Gge3zmb9WHl5Nxh4rT5U9GiW57zkyrtdYofqqML8FMaYPnlQPuK1yFPqK63F1XC9lcEFBMSzE6799lTXGTcEpjgYfZsO_KFU7j40c_Xbk0_TS4q2oP0KSii2BG3DJW0B1xrSEOyDqnLPd6OzvLW2V2DXDavW8t780Zyj-xfAiogzon1cuI-zAsTpJlBZ9izaWsRwdpicOjoMJ-WS5wwHbBrgm_bIZEQTZSCK5yKxct3IETEt2-DyiYtr7CIOyX9BhtSAggeXKiLhlX_AnIfiP_qVnaKODqzAfPFEM0Hl7k.75iXILaknplEEz1u0roNbTY9L1DgbmNd44tBLzCBMxg&amp;dib_tag=se&amp;keywords=GC&amp;qid=1767794860&amp;sprefix=gc%2Caps%2C109&amp;sr=8-13</t>
        </is>
      </c>
      <c r="L963" s="18" t="inlineStr">
        <is>
          <t>B00EL6WY30</t>
        </is>
      </c>
      <c r="M963" s="19" t="n"/>
      <c r="N963" s="19" t="n"/>
      <c r="O963" s="19" t="n">
        <v>18.95</v>
      </c>
      <c r="P963" s="19">
        <f>O963/1.19</f>
        <v/>
      </c>
      <c r="Q963" s="19">
        <f>O963-P963</f>
        <v/>
      </c>
      <c r="R963" s="19">
        <f>O963*0.15</f>
        <v/>
      </c>
      <c r="S963" s="19" t="n">
        <v>9.49</v>
      </c>
      <c r="T963" s="19">
        <f>S963*0.2</f>
        <v/>
      </c>
      <c r="U963" s="19" t="n">
        <v>0.400000000000002</v>
      </c>
      <c r="V963" s="19" t="n">
        <v>2.3</v>
      </c>
      <c r="W963" s="19">
        <f>V963*0.2</f>
        <v/>
      </c>
      <c r="X963" s="21">
        <f>O963-Q963-R963-S963-U963-V963+T963+W963</f>
        <v/>
      </c>
      <c r="Y963" s="18" t="n"/>
      <c r="Z963" s="19">
        <f>O963+1.5</f>
        <v/>
      </c>
      <c r="AA963" s="19" t="n"/>
      <c r="AB963" s="19" t="n"/>
      <c r="AC963" s="18" t="n"/>
      <c r="AD963" s="18" t="n"/>
      <c r="AE963" s="13" t="inlineStr">
        <is>
          <t>NOT_UPLOADED</t>
        </is>
      </c>
    </row>
    <row r="964" ht="16" customHeight="1">
      <c r="A964" s="12" t="n">
        <v>4150037448248</v>
      </c>
      <c r="B964" s="12" t="n"/>
      <c r="C964" s="13" t="n"/>
      <c r="D964" s="14" t="n"/>
      <c r="E964" s="14" t="inlineStr">
        <is>
          <t>BUL-4150037448248</t>
        </is>
      </c>
      <c r="F964" s="12" t="n">
        <v>4396</v>
      </c>
      <c r="G964" s="14" t="inlineStr">
        <is>
          <t>BULDENT</t>
        </is>
      </c>
      <c r="H964" s="14" t="inlineStr">
        <is>
          <t>GC</t>
        </is>
      </c>
      <c r="I964" s="14" t="inlineStr">
        <is>
          <t>GC Dry Mouth Gel Raspberry 40 g</t>
        </is>
      </c>
      <c r="J964" s="14" t="inlineStr">
        <is>
          <t>No</t>
        </is>
      </c>
      <c r="K964" s="14" t="inlineStr">
        <is>
          <t>https://www.amazon.de/-/en/GC-Dry-Mouth-Gel-Raspberry/dp/B00E6TT5O8/ref=sr_1_21?crid=3D7656VBZZE49&amp;dib=eyJ2IjoiMSJ9.rDf7QUwJmZifMsQFaUQQh_iB-qIP0_LzVgwGdEOer5zIRL2_KknQ18f6IIO8gU759eKHZcESqQ-QhKA85uJUPJjgYfZsO_KFU7j40c_Xbk0_TS4q2oP0KSii2BG3DJW0B1xrSEOyDqnLPd6OzvLW2U67sXMIBI1Sx9ER7yKP5GxfC2aIZGg1Sx0ev2N1GWNIjJvXyduTQUkIeDfEcTvei6OJpevPlCG-LRDdu8VMhwnj--DpzsxjQS67TjwmJbUUzBr-UXyGt2DAx-YhJw7ILv_qVnaKODqzAfPFEM0Hl7k.1YYzzBb85c84n2TZjnZV1miUl6vmmdcU-Daoyi-4EoM&amp;dib_tag=se&amp;keywords=GC&amp;qid=1767813348&amp;sprefix=gc+%2Caps%2C1212&amp;sr=8-21</t>
        </is>
      </c>
      <c r="L964" s="14" t="inlineStr">
        <is>
          <t>B00E6TT5O8</t>
        </is>
      </c>
      <c r="M964" s="15" t="n"/>
      <c r="N964" s="15" t="n"/>
      <c r="O964" s="15" t="n">
        <v>18.95</v>
      </c>
      <c r="P964" s="15">
        <f>O964/1.19</f>
        <v/>
      </c>
      <c r="Q964" s="15">
        <f>O964-P964</f>
        <v/>
      </c>
      <c r="R964" s="15">
        <f>O964*0.15</f>
        <v/>
      </c>
      <c r="S964" s="15" t="n">
        <v>9.49</v>
      </c>
      <c r="T964" s="15">
        <f>S964*0.2</f>
        <v/>
      </c>
      <c r="U964" s="15" t="n">
        <v>0.400000000000002</v>
      </c>
      <c r="V964" s="15" t="n">
        <v>2.3</v>
      </c>
      <c r="W964" s="15">
        <f>V964*0.2</f>
        <v/>
      </c>
      <c r="X964" s="21">
        <f>O964-Q964-R964-S964-U964-V964+T964+W964</f>
        <v/>
      </c>
      <c r="Y964" s="14" t="n"/>
      <c r="Z964" s="15">
        <f>O964+1.5</f>
        <v/>
      </c>
      <c r="AA964" s="15" t="n"/>
      <c r="AB964" s="15" t="n"/>
      <c r="AC964" s="14" t="n"/>
      <c r="AD964" s="14" t="n"/>
      <c r="AE964" s="13" t="inlineStr">
        <is>
          <t>NOT_UPLOADED</t>
        </is>
      </c>
    </row>
    <row r="965" ht="16" customHeight="1">
      <c r="A965" s="17" t="n">
        <v>4260149350107</v>
      </c>
      <c r="B965" s="17" t="n">
        <v>4260149350107</v>
      </c>
      <c r="C965" s="20" t="inlineStr">
        <is>
          <t>PACK X 6</t>
        </is>
      </c>
      <c r="D965" s="18" t="inlineStr">
        <is>
          <t>FR</t>
        </is>
      </c>
      <c r="E965" s="18" t="inlineStr">
        <is>
          <t>BUL-42601493501076</t>
        </is>
      </c>
      <c r="F965" s="17" t="n">
        <v>13383</v>
      </c>
      <c r="G965" s="18" t="inlineStr">
        <is>
          <t>BULDENT</t>
        </is>
      </c>
      <c r="H965" s="18" t="inlineStr">
        <is>
          <t>APACARE</t>
        </is>
      </c>
      <c r="I965" s="18" t="inlineStr">
        <is>
          <t>Apacare Remeralizing Toothpaste 75 ml, Pack of 6 (6 x 75 ml)</t>
        </is>
      </c>
      <c r="J965" s="18" t="inlineStr">
        <is>
          <t>No</t>
        </is>
      </c>
      <c r="K965" s="18" t="inlineStr">
        <is>
          <t>https://www.amazon.fr/dp/B00YFBVFIG</t>
        </is>
      </c>
      <c r="L965" s="18" t="inlineStr">
        <is>
          <t>B00YFBVFIG</t>
        </is>
      </c>
      <c r="M965" s="19" t="n"/>
      <c r="N965" s="19" t="n"/>
      <c r="O965" s="19" t="n">
        <v>62</v>
      </c>
      <c r="P965" s="19">
        <f>O965/1.19</f>
        <v/>
      </c>
      <c r="Q965" s="19">
        <f>O965-P965</f>
        <v/>
      </c>
      <c r="R965" s="19">
        <f>O965*0.15</f>
        <v/>
      </c>
      <c r="S965" s="19" t="n">
        <v>21.15</v>
      </c>
      <c r="T965" s="19">
        <f>S965*0.2</f>
        <v/>
      </c>
      <c r="U965" s="19" t="n">
        <v>0.400000000000002</v>
      </c>
      <c r="V965" s="19" t="n">
        <v>10.2</v>
      </c>
      <c r="W965" s="19">
        <f>V965*0.2</f>
        <v/>
      </c>
      <c r="X965" s="21">
        <f>O965-Q965-R965-S965-U965-V965+T965+W965</f>
        <v/>
      </c>
      <c r="Y965" s="18" t="n"/>
      <c r="Z965" s="19">
        <f>O965+1.5</f>
        <v/>
      </c>
      <c r="AA965" s="19" t="n"/>
      <c r="AB965" s="19" t="n"/>
      <c r="AC965" s="18" t="n"/>
      <c r="AD965" s="18" t="n"/>
      <c r="AE965" s="13" t="inlineStr">
        <is>
          <t>NOT_UPLOADED</t>
        </is>
      </c>
    </row>
    <row r="966" ht="16" customHeight="1">
      <c r="A966" s="12" t="n">
        <v>4260149350107</v>
      </c>
      <c r="B966" s="12" t="n">
        <v>4260149350107</v>
      </c>
      <c r="C966" s="13" t="n"/>
      <c r="D966" s="14" t="inlineStr">
        <is>
          <t>FR</t>
        </is>
      </c>
      <c r="E966" s="14" t="inlineStr">
        <is>
          <t>BUL-4260149350107</t>
        </is>
      </c>
      <c r="F966" s="12" t="n">
        <v>13383</v>
      </c>
      <c r="G966" s="14" t="inlineStr">
        <is>
          <t>BULDENT</t>
        </is>
      </c>
      <c r="H966" s="14" t="inlineStr">
        <is>
          <t>APACARE</t>
        </is>
      </c>
      <c r="I966" s="14" t="inlineStr">
        <is>
          <t>ApaCare Zahncreme, 75 ml Toothpaste</t>
        </is>
      </c>
      <c r="J966" s="14" t="inlineStr">
        <is>
          <t>No</t>
        </is>
      </c>
      <c r="K966" s="14" t="inlineStr">
        <is>
          <t>https://www.amazon.fr/dp/B002D75WKQ</t>
        </is>
      </c>
      <c r="L966" s="14" t="inlineStr">
        <is>
          <t>B002D75WKQ</t>
        </is>
      </c>
      <c r="M966" s="15" t="n"/>
      <c r="N966" s="15" t="n"/>
      <c r="O966" s="15" t="n">
        <v>12.85</v>
      </c>
      <c r="P966" s="15">
        <f>O966/1.19</f>
        <v/>
      </c>
      <c r="Q966" s="15">
        <f>O966-P966</f>
        <v/>
      </c>
      <c r="R966" s="15">
        <f>O966*0.15</f>
        <v/>
      </c>
      <c r="S966" s="15" t="n">
        <v>3.52</v>
      </c>
      <c r="T966" s="15">
        <f>S966*0.2</f>
        <v/>
      </c>
      <c r="U966" s="15" t="n">
        <v>0.400000000000002</v>
      </c>
      <c r="V966" s="15" t="n">
        <v>2.7</v>
      </c>
      <c r="W966" s="15">
        <f>V966*0.2</f>
        <v/>
      </c>
      <c r="X966" s="21">
        <f>O966-Q966-R966-S966-U966-V966+T966+W966</f>
        <v/>
      </c>
      <c r="Y966" s="14" t="n"/>
      <c r="Z966" s="15">
        <f>O966+1.5</f>
        <v/>
      </c>
      <c r="AA966" s="15" t="n"/>
      <c r="AB966" s="15" t="n"/>
      <c r="AC966" s="14" t="n"/>
      <c r="AD966" s="14" t="n"/>
      <c r="AE966" s="13" t="inlineStr">
        <is>
          <t>NOT_UPLOADED</t>
        </is>
      </c>
    </row>
    <row r="967" ht="16" customHeight="1">
      <c r="A967" s="17" t="n">
        <v>4260149350107</v>
      </c>
      <c r="B967" s="17" t="n">
        <v>4260149350107</v>
      </c>
      <c r="C967" s="20" t="inlineStr">
        <is>
          <t>PACK X 3</t>
        </is>
      </c>
      <c r="D967" s="18" t="inlineStr">
        <is>
          <t>FR</t>
        </is>
      </c>
      <c r="E967" s="18" t="inlineStr">
        <is>
          <t>BUL-42601493501073</t>
        </is>
      </c>
      <c r="F967" s="17" t="n">
        <v>13383</v>
      </c>
      <c r="G967" s="18" t="inlineStr">
        <is>
          <t>BULDENT</t>
        </is>
      </c>
      <c r="H967" s="18" t="inlineStr">
        <is>
          <t>APACARE</t>
        </is>
      </c>
      <c r="I967" s="18" t="inlineStr">
        <is>
          <t>ApaCare 3 Tubes Enamel Toothpaste | Fluoride Toothpaste for Fluid Enamel Reconstitution | For Sensitive Teeth | 3x 75ml</t>
        </is>
      </c>
      <c r="J967" s="18" t="inlineStr">
        <is>
          <t>No</t>
        </is>
      </c>
      <c r="K967" s="18" t="inlineStr">
        <is>
          <t>https://www.amazon.fr/dp/B00YFDWX44</t>
        </is>
      </c>
      <c r="L967" s="18" t="inlineStr">
        <is>
          <t>B00YFDWX44</t>
        </is>
      </c>
      <c r="M967" s="19" t="n"/>
      <c r="N967" s="19" t="n"/>
      <c r="O967" s="19" t="n">
        <v>28</v>
      </c>
      <c r="P967" s="19">
        <f>O967/1.19</f>
        <v/>
      </c>
      <c r="Q967" s="19">
        <f>O967-P967</f>
        <v/>
      </c>
      <c r="R967" s="19">
        <f>O967*0.15</f>
        <v/>
      </c>
      <c r="S967" s="19" t="n">
        <v>10.56</v>
      </c>
      <c r="T967" s="19">
        <f>S967*0.2</f>
        <v/>
      </c>
      <c r="U967" s="19" t="n">
        <v>0.400000000000002</v>
      </c>
      <c r="V967" s="19" t="n">
        <v>7</v>
      </c>
      <c r="W967" s="19">
        <f>V967*0.2</f>
        <v/>
      </c>
      <c r="X967" s="21">
        <f>O967-Q967-R967-S967-U967-V967+T967+W967</f>
        <v/>
      </c>
      <c r="Y967" s="18" t="n"/>
      <c r="Z967" s="19">
        <f>O967+1.5</f>
        <v/>
      </c>
      <c r="AA967" s="19" t="n"/>
      <c r="AB967" s="19" t="n"/>
      <c r="AC967" s="18" t="n"/>
      <c r="AD967" s="18" t="n"/>
      <c r="AE967" s="13" t="inlineStr">
        <is>
          <t>NOT_UPLOADED</t>
        </is>
      </c>
    </row>
    <row r="968" ht="16" customHeight="1">
      <c r="A968" s="12" t="n">
        <v>4260149350091</v>
      </c>
      <c r="B968" s="12" t="n">
        <v>4260149350091</v>
      </c>
      <c r="C968" s="20" t="inlineStr">
        <is>
          <t>PACK X 6</t>
        </is>
      </c>
      <c r="D968" s="14" t="inlineStr">
        <is>
          <t>FR</t>
        </is>
      </c>
      <c r="E968" s="14" t="inlineStr">
        <is>
          <t>BUL-42601493500916</t>
        </is>
      </c>
      <c r="F968" s="12" t="n">
        <v>13382</v>
      </c>
      <c r="G968" s="14" t="inlineStr">
        <is>
          <t>BULDENT</t>
        </is>
      </c>
      <c r="H968" s="14" t="inlineStr">
        <is>
          <t>APACARE</t>
        </is>
      </c>
      <c r="I968" s="14" t="inlineStr">
        <is>
          <t>Apacare Liquid Mouthwash 200 ml, Pack of 6 (6 x 200 ml)</t>
        </is>
      </c>
      <c r="J968" s="14" t="inlineStr">
        <is>
          <t>No</t>
        </is>
      </c>
      <c r="K968" s="14" t="inlineStr">
        <is>
          <t>https://www.amazon.fr/dp/B00YF0ELTC</t>
        </is>
      </c>
      <c r="L968" s="14" t="inlineStr">
        <is>
          <t>B00YF0ELTC</t>
        </is>
      </c>
      <c r="M968" s="15" t="n"/>
      <c r="N968" s="15" t="n"/>
      <c r="O968" s="15" t="n">
        <v>88</v>
      </c>
      <c r="P968" s="15">
        <f>O968/1.19</f>
        <v/>
      </c>
      <c r="Q968" s="15">
        <f>O968-P968</f>
        <v/>
      </c>
      <c r="R968" s="15">
        <f>O968*0.15</f>
        <v/>
      </c>
      <c r="S968" s="15" t="n">
        <v>37.21</v>
      </c>
      <c r="T968" s="15">
        <f>S968*0.2</f>
        <v/>
      </c>
      <c r="U968" s="15" t="n">
        <v>0.400000000000002</v>
      </c>
      <c r="V968" s="15" t="n">
        <v>15.35</v>
      </c>
      <c r="W968" s="15">
        <f>V968*0.2</f>
        <v/>
      </c>
      <c r="X968" s="21">
        <f>O968-Q968-R968-S968-U968-V968+T968+W968</f>
        <v/>
      </c>
      <c r="Y968" s="14" t="n"/>
      <c r="Z968" s="15">
        <f>O968+1.5</f>
        <v/>
      </c>
      <c r="AA968" s="15" t="n"/>
      <c r="AB968" s="15" t="n"/>
      <c r="AC968" s="14" t="n"/>
      <c r="AD968" s="14" t="n"/>
      <c r="AE968" s="13" t="inlineStr">
        <is>
          <t>NOT_UPLOADED</t>
        </is>
      </c>
    </row>
    <row r="969" ht="16" customHeight="1">
      <c r="A969" s="17" t="n">
        <v>4260149350091</v>
      </c>
      <c r="B969" s="17" t="n">
        <v>4260149350091</v>
      </c>
      <c r="C969" s="20" t="inlineStr">
        <is>
          <t>PACK X 3</t>
        </is>
      </c>
      <c r="D969" s="18" t="inlineStr">
        <is>
          <t>FR</t>
        </is>
      </c>
      <c r="E969" s="18" t="inlineStr">
        <is>
          <t>BUL-42601493500913</t>
        </is>
      </c>
      <c r="F969" s="17" t="n">
        <v>13382</v>
      </c>
      <c r="G969" s="18" t="inlineStr">
        <is>
          <t>BULDENT</t>
        </is>
      </c>
      <c r="H969" s="18" t="inlineStr">
        <is>
          <t>APACARE</t>
        </is>
      </c>
      <c r="I969" s="18" t="inlineStr">
        <is>
          <t>Apacare Mouthwash Liquid 200 ml, Pack of 3 (3 x 200 ml)</t>
        </is>
      </c>
      <c r="J969" s="18" t="inlineStr">
        <is>
          <t>No</t>
        </is>
      </c>
      <c r="K969" s="18" t="inlineStr">
        <is>
          <t>https://www.amazon.fr/dp/B00YEU9DK0</t>
        </is>
      </c>
      <c r="L969" s="18" t="inlineStr">
        <is>
          <t>B00YEU9DK0</t>
        </is>
      </c>
      <c r="M969" s="19" t="n"/>
      <c r="N969" s="19" t="n"/>
      <c r="O969" s="19" t="n">
        <v>45.4</v>
      </c>
      <c r="P969" s="19">
        <f>O969/1.19</f>
        <v/>
      </c>
      <c r="Q969" s="19">
        <f>O969-P969</f>
        <v/>
      </c>
      <c r="R969" s="19">
        <f>O969*0.15</f>
        <v/>
      </c>
      <c r="S969" s="19" t="n">
        <v>18.62</v>
      </c>
      <c r="T969" s="19">
        <f>S969*0.2</f>
        <v/>
      </c>
      <c r="U969" s="19" t="n">
        <v>0.400000000000002</v>
      </c>
      <c r="V969" s="19" t="n">
        <v>9.9</v>
      </c>
      <c r="W969" s="19">
        <f>V969*0.2</f>
        <v/>
      </c>
      <c r="X969" s="21">
        <f>O969-Q969-R969-S969-U969-V969+T969+W969</f>
        <v/>
      </c>
      <c r="Y969" s="18" t="n"/>
      <c r="Z969" s="19">
        <f>O969+1.5</f>
        <v/>
      </c>
      <c r="AA969" s="19" t="n"/>
      <c r="AB969" s="19" t="n"/>
      <c r="AC969" s="18" t="n"/>
      <c r="AD969" s="18" t="n"/>
      <c r="AE969" s="13" t="inlineStr">
        <is>
          <t>NOT_UPLOADED</t>
        </is>
      </c>
    </row>
    <row r="970" ht="16" customHeight="1">
      <c r="A970" s="12" t="n">
        <v>4260149350114</v>
      </c>
      <c r="B970" s="12" t="n">
        <v>4260149350114</v>
      </c>
      <c r="C970" s="13" t="n"/>
      <c r="D970" s="14" t="inlineStr">
        <is>
          <t>FR</t>
        </is>
      </c>
      <c r="E970" s="14" t="inlineStr">
        <is>
          <t>BUL-4260149350114</t>
        </is>
      </c>
      <c r="F970" s="12" t="n">
        <v>13385</v>
      </c>
      <c r="G970" s="14" t="inlineStr">
        <is>
          <t>BULDENT</t>
        </is>
      </c>
      <c r="H970" s="14" t="inlineStr">
        <is>
          <t>APACARE</t>
        </is>
      </c>
      <c r="I970" s="14" t="inlineStr">
        <is>
          <t>ApaCare &amp; Repair Zahnreparatur-Gel, 30 ml</t>
        </is>
      </c>
      <c r="J970" s="14" t="inlineStr">
        <is>
          <t>No</t>
        </is>
      </c>
      <c r="K970" s="14" t="inlineStr">
        <is>
          <t>https://www.amazon.fr/dp/B00YMMVQ6Y</t>
        </is>
      </c>
      <c r="L970" s="14" t="inlineStr">
        <is>
          <t>B00PKHWLOQ</t>
        </is>
      </c>
      <c r="M970" s="15" t="n"/>
      <c r="N970" s="15" t="n"/>
      <c r="O970" s="15" t="n">
        <v>15.95</v>
      </c>
      <c r="P970" s="15">
        <f>O970/1.19</f>
        <v/>
      </c>
      <c r="Q970" s="15">
        <f>O970-P970</f>
        <v/>
      </c>
      <c r="R970" s="15">
        <f>O970*0.15</f>
        <v/>
      </c>
      <c r="S970" s="15" t="n">
        <v>6.78</v>
      </c>
      <c r="T970" s="15">
        <f>S970*0.2</f>
        <v/>
      </c>
      <c r="U970" s="15" t="n">
        <v>0.400000000000002</v>
      </c>
      <c r="V970" s="15" t="n">
        <v>2.2</v>
      </c>
      <c r="W970" s="15">
        <f>V970*0.2</f>
        <v/>
      </c>
      <c r="X970" s="21">
        <f>O970-Q970-R970-S970-U970-V970+T970+W970</f>
        <v/>
      </c>
      <c r="Y970" s="14" t="n"/>
      <c r="Z970" s="15">
        <f>O970+1.5</f>
        <v/>
      </c>
      <c r="AA970" s="15" t="n"/>
      <c r="AB970" s="15" t="n"/>
      <c r="AC970" s="14" t="n"/>
      <c r="AD970" s="14" t="n"/>
      <c r="AE970" s="13" t="inlineStr">
        <is>
          <t>NOT_UPLOADED</t>
        </is>
      </c>
    </row>
    <row r="971" ht="16" customHeight="1">
      <c r="A971" s="17" t="n"/>
      <c r="B971" s="17" t="n">
        <v>4260149350114</v>
      </c>
      <c r="C971" s="20" t="inlineStr">
        <is>
          <t>PACK X 2</t>
        </is>
      </c>
      <c r="D971" s="18" t="inlineStr">
        <is>
          <t>FR</t>
        </is>
      </c>
      <c r="E971" s="18" t="inlineStr">
        <is>
          <t>BUL-42601493501142</t>
        </is>
      </c>
      <c r="F971" s="17" t="n">
        <v>13385</v>
      </c>
      <c r="G971" s="18" t="inlineStr">
        <is>
          <t>BULDENT</t>
        </is>
      </c>
      <c r="H971" s="18" t="inlineStr">
        <is>
          <t>APACARE</t>
        </is>
      </c>
      <c r="I971" s="18" t="inlineStr">
        <is>
          <t>ApaCare Repair 2 Tubes | Intensive Repair for Teeth Enamel and Against Microcracks and Emerging Caries | Hydroxyapatite Dental Care | For Sensitive Teeth | 2 x 30 ml</t>
        </is>
      </c>
      <c r="J971" s="18" t="inlineStr">
        <is>
          <t>No</t>
        </is>
      </c>
      <c r="K971" s="18" t="inlineStr">
        <is>
          <t>https://www.amazon.fr/dp/B00YMMVQ6Y</t>
        </is>
      </c>
      <c r="L971" s="18" t="inlineStr">
        <is>
          <t>B00YMMVQ6Y</t>
        </is>
      </c>
      <c r="M971" s="19" t="n"/>
      <c r="N971" s="19" t="n"/>
      <c r="O971" s="19" t="n">
        <v>22.7</v>
      </c>
      <c r="P971" s="19">
        <f>O971/1.19</f>
        <v/>
      </c>
      <c r="Q971" s="19">
        <f>O971-P971</f>
        <v/>
      </c>
      <c r="R971" s="19">
        <f>O971*0.15</f>
        <v/>
      </c>
      <c r="S971" s="19" t="n">
        <v>13.56</v>
      </c>
      <c r="T971" s="19">
        <f>S971*0.2</f>
        <v/>
      </c>
      <c r="U971" s="19" t="n">
        <v>0.400000000000002</v>
      </c>
      <c r="V971" s="19" t="n">
        <v>2.5</v>
      </c>
      <c r="W971" s="19">
        <f>V971*0.2</f>
        <v/>
      </c>
      <c r="X971" s="21">
        <f>O971-Q971-R971-S971-U971-V971+T971+W971</f>
        <v/>
      </c>
      <c r="Y971" s="18" t="n"/>
      <c r="Z971" s="19">
        <f>O971+1.5</f>
        <v/>
      </c>
      <c r="AA971" s="19" t="n"/>
      <c r="AB971" s="19" t="n"/>
      <c r="AC971" s="18" t="n"/>
      <c r="AD971" s="18" t="n"/>
      <c r="AE971" s="13" t="inlineStr">
        <is>
          <t>NOT_UPLOADED</t>
        </is>
      </c>
    </row>
    <row r="972" ht="16" customHeight="1">
      <c r="A972" s="12" t="n"/>
      <c r="B972" s="12" t="n">
        <v>4260149350114</v>
      </c>
      <c r="C972" s="13" t="n"/>
      <c r="D972" s="14" t="n"/>
      <c r="E972" s="14" t="n"/>
      <c r="F972" s="12" t="n">
        <v>13385</v>
      </c>
      <c r="G972" s="14" t="inlineStr">
        <is>
          <t>BULDENT</t>
        </is>
      </c>
      <c r="H972" s="14" t="inlineStr">
        <is>
          <t>APACARE</t>
        </is>
      </c>
      <c r="I972" s="14" t="n"/>
      <c r="J972" s="14" t="inlineStr">
        <is>
          <t>No</t>
        </is>
      </c>
      <c r="K972" s="14" t="n"/>
      <c r="L972" s="14" t="inlineStr">
        <is>
          <t>B07JNMRJ1Y</t>
        </is>
      </c>
      <c r="M972" s="15" t="n"/>
      <c r="N972" s="15" t="n"/>
      <c r="O972" s="15" t="n"/>
      <c r="P972" s="15" t="n"/>
      <c r="Q972" s="15" t="n"/>
      <c r="R972" s="15" t="n"/>
      <c r="S972" s="15" t="n"/>
      <c r="T972" s="15" t="n"/>
      <c r="U972" s="15" t="n">
        <v>0.400000000000002</v>
      </c>
      <c r="V972" s="15" t="n"/>
      <c r="W972" s="15" t="n"/>
      <c r="X972" s="22" t="n"/>
      <c r="Y972" s="14" t="n"/>
      <c r="Z972" s="15" t="n"/>
      <c r="AA972" s="15" t="n"/>
      <c r="AB972" s="15" t="n"/>
      <c r="AC972" s="14" t="n"/>
      <c r="AD972" s="14" t="n"/>
      <c r="AE972" s="13" t="inlineStr">
        <is>
          <t>NOT_UPLOADED</t>
        </is>
      </c>
    </row>
    <row r="973" ht="16" customHeight="1">
      <c r="A973" s="17" t="n">
        <v>5054563230119</v>
      </c>
      <c r="B973" s="17" t="n">
        <v>5054563129390</v>
      </c>
      <c r="C973" s="13" t="n"/>
      <c r="D973" s="18" t="n"/>
      <c r="E973" s="18" t="inlineStr">
        <is>
          <t>AMP-5054563230119</t>
        </is>
      </c>
      <c r="F973" s="17" t="n">
        <v>2904010</v>
      </c>
      <c r="G973" s="18" t="inlineStr">
        <is>
          <t>AMPEREL</t>
        </is>
      </c>
      <c r="H973" s="18" t="inlineStr">
        <is>
          <t>COREGA</t>
        </is>
      </c>
      <c r="I973" s="18" t="inlineStr">
        <is>
          <t>Corega Ultra Adhesive Cream Strong Hold + Freshness for Dentures / Third Teeth 1 x 40 g</t>
        </is>
      </c>
      <c r="J973" s="18" t="inlineStr">
        <is>
          <t>No</t>
        </is>
      </c>
      <c r="K973" s="18" t="inlineStr">
        <is>
          <t>https://www.amazon.de/-/en/Corega-Adhesive-Strong-Freshness-Dentures/dp/B0DWMV1LH8/ref=sr_1_1?crid=3HWJ1TOF31ZFY&amp;dib=eyJ2IjoiMSJ9.TYEE7hAYYlO43ABhxsuF1Z4suzt11ksYezikWSbo8ALA1EMrfJwS5ymFECdZpK4SYKibrbA4y70CdQ8OC3tbxZve9_CnMWd8fCBMD7-XoT2gTP9ABrqd1jzqKE45FkjBKM_cvLBULYgionfg2vJnyjgbdadE4TGTaJvzE-biM3Gq8fihch19lhGuxLR1G46axRMXrQbHKgvLXBo6MH7qEDBCS1rXftcyd2PwnxrwvueIy4Wp81y6Mhe4-voXlF-iE9Hs63MbALL0HwHuGJ9fpX1UxYTg6SiguB8q7q_AcQ0.KqJ1lXzDxSXxkusdjrh7y0BXERtzbMXyH0rBkSaufd8&amp;dib_tag=se&amp;keywords=corega&amp;qid=1759155482&amp;sprefix=corega%2Caps%2C203&amp;sr=8-1</t>
        </is>
      </c>
      <c r="L973" s="18" t="inlineStr">
        <is>
          <t>B0DWMV1LH8</t>
        </is>
      </c>
      <c r="M973" s="19" t="n"/>
      <c r="N973" s="19" t="n"/>
      <c r="O973" s="19" t="n">
        <v>9.800000000000001</v>
      </c>
      <c r="P973" s="19">
        <f>O973/1.19</f>
        <v/>
      </c>
      <c r="Q973" s="19">
        <f>O973-P973</f>
        <v/>
      </c>
      <c r="R973" s="19">
        <f>O973*0.15</f>
        <v/>
      </c>
      <c r="S973" s="19" t="n">
        <v>3.87</v>
      </c>
      <c r="T973" s="19">
        <f>S973*0.2</f>
        <v/>
      </c>
      <c r="U973" s="19" t="n">
        <v>0.400000000000002</v>
      </c>
      <c r="V973" s="19" t="n">
        <v>2.4</v>
      </c>
      <c r="W973" s="19">
        <f>V973*0.2</f>
        <v/>
      </c>
      <c r="X973" s="16">
        <f>O973-Q973-R973-S973-U973-V973+T973+W973</f>
        <v/>
      </c>
      <c r="Y973" s="18" t="n"/>
      <c r="Z973" s="19">
        <f>O973+1.5</f>
        <v/>
      </c>
      <c r="AA973" s="19" t="n"/>
      <c r="AB973" s="19" t="n"/>
      <c r="AC973" s="18" t="n"/>
      <c r="AD973" s="18" t="n"/>
      <c r="AE973" s="13" t="inlineStr">
        <is>
          <t>NOT_UPLOADED</t>
        </is>
      </c>
    </row>
    <row r="974" ht="16" customHeight="1">
      <c r="A974" s="12" t="n">
        <v>5054563123237</v>
      </c>
      <c r="B974" s="12" t="n">
        <v>5054563125378</v>
      </c>
      <c r="C974" s="13" t="n"/>
      <c r="D974" s="14" t="n"/>
      <c r="E974" s="14" t="inlineStr">
        <is>
          <t>AMP-5054563123237</t>
        </is>
      </c>
      <c r="F974" s="12" t="n">
        <v>2904011</v>
      </c>
      <c r="G974" s="14" t="inlineStr">
        <is>
          <t>AMPEREL</t>
        </is>
      </c>
      <c r="H974" s="14" t="inlineStr">
        <is>
          <t>COREGA</t>
        </is>
      </c>
      <c r="I974" s="14" t="inlineStr">
        <is>
          <t>Corega Max Halt and Comfort Denture Fixing Cream - Tasteless - For Support and Comfort - 40g</t>
        </is>
      </c>
      <c r="J974" s="14" t="inlineStr">
        <is>
          <t>No</t>
        </is>
      </c>
      <c r="K974" s="14" t="inlineStr">
        <is>
          <t>https://www.amazon.de/-/en/Corega-Comfort-Denture-Fixing-Cream/dp/B0FD3FQZ5N/ref=sr_1_26?crid=3HWJ1TOF31ZFY&amp;dib=eyJ2IjoiMSJ9.TYEE7hAYYlO43ABhxsuF1Z4suzt11ksYezikWSbo8ALA1EMrfJwS5ymFECdZpK4SYKibrbA4y70CdQ8OC3tbxZve9_CnMWd8fCBMD7-XoT2tJ1mwXtn8gLfZPvdMA_X9F445q220Iqjp3L1-R1jgXTgbdadE4TGTaJvzE-biM3Gq8fihch19lhGuxLR1G46axRMXrQbHKgvLXBo6MH7qEDBCS1rXftcyd2PwnxrwvueIy4Wp81y6Mhe4-voXlF-iE9Hs63MbALL0HwHuGJ9fpX1UxYTg6SiguB8q7q_AcQ0.E9QxoYcDQd-MRjQl76G-Ux_Na1FzA_Ff_MERfhwXqH4&amp;dib_tag=se&amp;keywords=corega&amp;qid=1759155984&amp;sprefix=corega%2Caps%2C203&amp;sr=8-26</t>
        </is>
      </c>
      <c r="L974" s="14" t="inlineStr">
        <is>
          <t>B0FD3FQZ5N</t>
        </is>
      </c>
      <c r="M974" s="15" t="n"/>
      <c r="N974" s="15" t="n"/>
      <c r="O974" s="15" t="n">
        <v>13.5</v>
      </c>
      <c r="P974" s="15">
        <f>O974/1.19</f>
        <v/>
      </c>
      <c r="Q974" s="15">
        <f>O974-P974</f>
        <v/>
      </c>
      <c r="R974" s="15">
        <f>O974*0.15</f>
        <v/>
      </c>
      <c r="S974" s="15" t="n">
        <v>3.87</v>
      </c>
      <c r="T974" s="15">
        <f>S974*0.2</f>
        <v/>
      </c>
      <c r="U974" s="15" t="n">
        <v>0.400000000000002</v>
      </c>
      <c r="V974" s="15" t="n">
        <v>2.5</v>
      </c>
      <c r="W974" s="15">
        <f>V974*0.2</f>
        <v/>
      </c>
      <c r="X974" s="21">
        <f>O974-Q974-R974-S974-U974-V974+T974+W974</f>
        <v/>
      </c>
      <c r="Y974" s="14" t="n"/>
      <c r="Z974" s="15">
        <f>O974+1.5</f>
        <v/>
      </c>
      <c r="AA974" s="15" t="n"/>
      <c r="AB974" s="15" t="n"/>
      <c r="AC974" s="14" t="n"/>
      <c r="AD974" s="14" t="n"/>
      <c r="AE974" s="13" t="inlineStr">
        <is>
          <t>NOT_UPLOADED</t>
        </is>
      </c>
    </row>
    <row r="975" ht="16" customHeight="1">
      <c r="A975" s="17" t="n">
        <v>5054563031457</v>
      </c>
      <c r="B975" s="17" t="n">
        <v>5054563034281</v>
      </c>
      <c r="C975" s="13" t="n"/>
      <c r="D975" s="18" t="n"/>
      <c r="E975" s="18" t="inlineStr">
        <is>
          <t>AMP-5054563031457</t>
        </is>
      </c>
      <c r="F975" s="17" t="n">
        <v>2904007</v>
      </c>
      <c r="G975" s="18" t="inlineStr">
        <is>
          <t>AMPEREL</t>
        </is>
      </c>
      <c r="H975" s="18" t="inlineStr">
        <is>
          <t>COREGA</t>
        </is>
      </c>
      <c r="I975" s="18" t="inlineStr">
        <is>
          <t>COREGA Máximo Sellado Prótesis Dentales 40G</t>
        </is>
      </c>
      <c r="J975" s="18" t="inlineStr">
        <is>
          <t>No</t>
        </is>
      </c>
      <c r="K975" s="18" t="inlineStr">
        <is>
          <t>https://www.amazon.de/-/en/COREGA-M%C3%A1ximo-Sellado-Pr%C3%B3tesis-Dentales/dp/B07C843ZRK/ref=sr_1_1?dib=eyJ2IjoiMSJ9.-soozfkzZF_c-W4vx63hYnOwWm4m2fir8M2M224H2nPUYmMbElcQjxddIivwsuXEg1nkKxiVR84M1pScLPQC1BfZANqvJ8bLDHx-cbPJSL_iWr_hKtUH0mhPN0FYQHofCtySue3en426EAJt7RLEY_4V8qSDL41yISm4C_27zEODABlx0ZHNv1L4MEz7P-GbVqcHdK3RSzEN8pvKj5IOnHCGxnF5kOCo90EiWyWBWS4fZc-YO4LnQQvP5EdzmT7xDDDS6r0x27xknucSNBpFxvU4fAME6aSXlwCNYdezUqk.MJIljpaKTJXDNryB2wAZTL393Po3K-8Yw3_TKguHwa4&amp;dib_tag=se&amp;keywords=corega%2BPOWER%2BMAX&amp;qid=1759156284&amp;sr=8-1&amp;th=1</t>
        </is>
      </c>
      <c r="L975" s="18" t="inlineStr">
        <is>
          <t>B07C843ZRK</t>
        </is>
      </c>
      <c r="M975" s="19" t="n"/>
      <c r="N975" s="19" t="n"/>
      <c r="O975" s="19" t="n">
        <v>12.8</v>
      </c>
      <c r="P975" s="19">
        <f>O975/1.19</f>
        <v/>
      </c>
      <c r="Q975" s="19">
        <f>O975-P975</f>
        <v/>
      </c>
      <c r="R975" s="19">
        <f>O975*0.15</f>
        <v/>
      </c>
      <c r="S975" s="19" t="n">
        <v>3.87</v>
      </c>
      <c r="T975" s="19">
        <f>S975*0.2</f>
        <v/>
      </c>
      <c r="U975" s="19" t="n">
        <v>0.400000000000002</v>
      </c>
      <c r="V975" s="19" t="n">
        <v>2.2</v>
      </c>
      <c r="W975" s="19">
        <f>V975*0.2</f>
        <v/>
      </c>
      <c r="X975" s="21">
        <f>O975-Q975-R975-S975-U975-V975+T975+W975</f>
        <v/>
      </c>
      <c r="Y975" s="18" t="n"/>
      <c r="Z975" s="19">
        <f>O975+1.5</f>
        <v/>
      </c>
      <c r="AA975" s="19" t="n"/>
      <c r="AB975" s="19" t="n"/>
      <c r="AC975" s="18" t="n"/>
      <c r="AD975" s="18" t="n"/>
      <c r="AE975" s="13" t="inlineStr">
        <is>
          <t>NOT_UPLOADED</t>
        </is>
      </c>
    </row>
    <row r="976" ht="16" customHeight="1">
      <c r="A976" s="12" t="n">
        <v>5054563230089</v>
      </c>
      <c r="B976" s="12" t="n">
        <v>5054563034281</v>
      </c>
      <c r="C976" s="13" t="n"/>
      <c r="D976" s="14" t="n"/>
      <c r="E976" s="14" t="inlineStr">
        <is>
          <t>AMP-5054563230089</t>
        </is>
      </c>
      <c r="F976" s="12" t="n">
        <v>2904007</v>
      </c>
      <c r="G976" s="14" t="inlineStr">
        <is>
          <t>AMPEREL</t>
        </is>
      </c>
      <c r="H976" s="14" t="inlineStr">
        <is>
          <t>COREGA</t>
        </is>
      </c>
      <c r="I976" s="14" t="inlineStr">
        <is>
          <t>Corega Ultra Adhesive Cream Strong Hold + Crumb Protection for Dentures / Third Teeth 40 g No Artificial Colours and Flavours</t>
        </is>
      </c>
      <c r="J976" s="14" t="inlineStr">
        <is>
          <t>No</t>
        </is>
      </c>
      <c r="K976" s="14" t="inlineStr">
        <is>
          <t>https://www.amazon.de/-/en/Adhesive-Protection-Dentures-Artificial-Flavours/dp/B0DWMRRNV6/ref=sr_1_19?dib=eyJ2IjoiMSJ9.-soozfkzZF_c-W4vx63hYnOwWm4m2fir8M2M224H2nPUYmMbElcQjxddIivwsuXEg1nkKxiVR84M1pScLPQC1BfZANqvJ8bLDHx-cbPJSL_iWr_hKtUH0mhPN0FYQHofCtySue3en426EAJt7RLEY_4V8qSDL41yISm4C_27zEODABlx0ZHNv1L4MEz7P-GbVqcHdK3RSzEN8pvKj5IOnHCGxnF5kOCo90EiWyWBWS4fZc-YO4LnQQvP5EdzmT7xDDDS6r0x27xknucSNBpFxvU4fAME6aSXlwCNYdezUqk.MJIljpaKTJXDNryB2wAZTL393Po3K-8Yw3_TKguHwa4&amp;dib_tag=se&amp;keywords=corega+POWER+MAX&amp;qid=1759156284&amp;sr=8-19</t>
        </is>
      </c>
      <c r="L976" s="14" t="inlineStr">
        <is>
          <t>B0DWMRRNV6</t>
        </is>
      </c>
      <c r="M976" s="15" t="n"/>
      <c r="N976" s="15" t="n"/>
      <c r="O976" s="15" t="n">
        <v>9.699999999999999</v>
      </c>
      <c r="P976" s="15">
        <f>O976/1.19</f>
        <v/>
      </c>
      <c r="Q976" s="15">
        <f>O976-P976</f>
        <v/>
      </c>
      <c r="R976" s="15">
        <f>O976*0.15</f>
        <v/>
      </c>
      <c r="S976" s="15" t="n">
        <v>3.87</v>
      </c>
      <c r="T976" s="15">
        <f>S976*0.2</f>
        <v/>
      </c>
      <c r="U976" s="15" t="n">
        <v>0.400000000000002</v>
      </c>
      <c r="V976" s="15" t="n">
        <v>2.2</v>
      </c>
      <c r="W976" s="15">
        <f>V976*0.2</f>
        <v/>
      </c>
      <c r="X976" s="16">
        <f>O976-Q976-R976-S976-U976-V976+T976+W976</f>
        <v/>
      </c>
      <c r="Y976" s="14" t="n"/>
      <c r="Z976" s="15">
        <f>O976+1.5</f>
        <v/>
      </c>
      <c r="AA976" s="15" t="n"/>
      <c r="AB976" s="15" t="n"/>
      <c r="AC976" s="14" t="n"/>
      <c r="AD976" s="14" t="n"/>
      <c r="AE976" s="13" t="inlineStr">
        <is>
          <t>NOT_UPLOADED</t>
        </is>
      </c>
    </row>
    <row r="977" ht="16" customHeight="1">
      <c r="A977" s="17" t="n"/>
      <c r="B977" s="17" t="n">
        <v>4047400115350</v>
      </c>
      <c r="C977" s="13" t="n"/>
      <c r="D977" s="18" t="inlineStr">
        <is>
          <t>Approval required</t>
        </is>
      </c>
      <c r="E977" s="18" t="n"/>
      <c r="F977" s="17" t="n">
        <v>2903004</v>
      </c>
      <c r="G977" s="18" t="inlineStr">
        <is>
          <t>AMPEREL</t>
        </is>
      </c>
      <c r="H977" s="18" t="inlineStr">
        <is>
          <t>COREGA</t>
        </is>
      </c>
      <c r="I977" s="18" t="inlineStr">
        <is>
          <t>Corega - Whitening Teeth Cleaning Tablets 30 Pack Organic Formula Soluble Tablets for Cleaning Dentures (1 Piece)</t>
        </is>
      </c>
      <c r="J977" s="18" t="inlineStr">
        <is>
          <t>No</t>
        </is>
      </c>
      <c r="K977" s="18" t="inlineStr">
        <is>
          <t>https://www.amazon.de/-/en/Corega-Whitening-Cleaning-Tablets-Dentures/dp/B0778F8KFB/ref=sr_1_8_mod_primary_new?crid=1KNO5OE6FVE3H&amp;dib=eyJ2IjoiMSJ9._iFW_I5NSgF72r9qsiUBIX3MZgP6TMgxHGqirrCK9n-_frIyPRfsYN-yXNpF4A_Dzexcn2-mlYJJ6Ar9U5qeyuQzHwmYb20JdJIkGVbI5wZ5TW-lI42Ny43k7AcZ8ovR6FCFSB4yFR2h4zAiAt9NQpui4PWFtaoBB8ysZfKreteFaKFNIvwAgMvkLVFMNsbNhadM-FHsWX9mhbenq5nEPE_rDOkLOpm0FR3c1Xf5wazl81xCd8UrOW9KG5jI4A8ah2OjV0_6cs9yQZon3tWvN_5461RyjGPHOzmZCeLgNyo.XyG2uebjura3dIzpQs0OJv4EKkzIl3oRyDx-uKpT5uo&amp;dib_tag=se&amp;keywords=corega+TABS&amp;qid=1759156689&amp;sbo=RZvfv%2F%2FHxDF%2BO5021pAnSA%3D%3D&amp;sprefix=corega+tabs%2Caps%2C152&amp;sr=8-8</t>
        </is>
      </c>
      <c r="L977" s="18" t="inlineStr">
        <is>
          <t>B0778F8KFB</t>
        </is>
      </c>
      <c r="M977" s="19" t="n"/>
      <c r="N977" s="19" t="n"/>
      <c r="O977" s="19" t="n">
        <v>9.41</v>
      </c>
      <c r="P977" s="19">
        <f>O977/1.19</f>
        <v/>
      </c>
      <c r="Q977" s="19">
        <f>O977-P977</f>
        <v/>
      </c>
      <c r="R977" s="19">
        <f>O977*0.15</f>
        <v/>
      </c>
      <c r="S977" s="19" t="n">
        <v>3.05</v>
      </c>
      <c r="T977" s="19">
        <f>S977*0.2</f>
        <v/>
      </c>
      <c r="U977" s="19" t="n">
        <v>0.400000000000002</v>
      </c>
      <c r="V977" s="19" t="n">
        <v>2.5</v>
      </c>
      <c r="W977" s="19">
        <f>V977*0.2</f>
        <v/>
      </c>
      <c r="X977" s="16">
        <f>O977-Q977-R977-S977-U977-V977+T977+W977</f>
        <v/>
      </c>
      <c r="Y977" s="18" t="n"/>
      <c r="Z977" s="19">
        <f>O977+1.5</f>
        <v/>
      </c>
      <c r="AA977" s="19" t="n"/>
      <c r="AB977" s="19" t="n"/>
      <c r="AC977" s="18" t="n"/>
      <c r="AD977" s="18" t="n"/>
      <c r="AE977" s="13" t="inlineStr">
        <is>
          <t>NOT_UPLOADED</t>
        </is>
      </c>
    </row>
    <row r="978" ht="16" customHeight="1">
      <c r="A978" s="12" t="n">
        <v>5054563177919</v>
      </c>
      <c r="B978" s="12" t="n">
        <v>5054563177919</v>
      </c>
      <c r="C978" s="20" t="inlineStr">
        <is>
          <t>PACK X 4</t>
        </is>
      </c>
      <c r="D978" s="14" t="n"/>
      <c r="E978" s="14" t="inlineStr">
        <is>
          <t>AMP-5054563177919</t>
        </is>
      </c>
      <c r="F978" s="12" t="n">
        <v>3401015</v>
      </c>
      <c r="G978" s="14" t="inlineStr">
        <is>
          <t>AMPEREL</t>
        </is>
      </c>
      <c r="H978" s="14" t="inlineStr">
        <is>
          <t>PARODONTAX</t>
        </is>
      </c>
      <c r="I978" s="14" t="inlineStr">
        <is>
          <t>Parodontax Toothpaste Active Gum Repair Whitening, Pack of 4, 75 ml</t>
        </is>
      </c>
      <c r="J978" s="14" t="inlineStr">
        <is>
          <t>No</t>
        </is>
      </c>
      <c r="K978" s="14" t="inlineStr">
        <is>
          <t>https://www.amazon.de/-/en/Parodontax-Toothpaste-Active-Repair-Whitening/dp/B0F1NKZGSX/ref=sr_1_1?crid=ZHJZ4WNZ6VRE&amp;dib=eyJ2IjoiMSJ9.KhLgpqyW2Fb7CfdREJ_owCCPoUMAHllokeQlo2BO_xZkWQqWjYAMqZTr_TBVssOILRLF9su6KW8dpB0m3_6Tk0hZiMHbcVlnxHgBr8Hqphh4doi-D7DjTk-AO5KKaCHKoCTWdNaUqp_ttF7O3FWs8UrIHhDd7WyPkX8YC0Q5Ke5C1Qrh7mhW6ivP7Kg35UqWj2MC1acrB2tl1FbYW1nbwML1UGPtuuCr2LTkSTxrKegKghquniK5xYgj_6TYmAfvMoliFlAsGWLFtxh88Jqn-hp2YC9-LIFUGCzI52wjxkk.NDaNtD9XAgwRDBecYNbRGu9IUHfdQCA0rlH4HL7KKEU&amp;dib_tag=se&amp;keywords=PARODONTAX+WHITE+Gum%2C+Breath%26Sensitivity+75ml&amp;qid=1759734060&amp;sprefix=parodontax+white+gum+breath%26sensitivity+75ml%2Caps%2C1396&amp;sr=8-1</t>
        </is>
      </c>
      <c r="L978" s="14" t="inlineStr">
        <is>
          <t>B0F1NKZGSX</t>
        </is>
      </c>
      <c r="M978" s="15" t="n">
        <v>33.16</v>
      </c>
      <c r="N978" s="15" t="n"/>
      <c r="O978" s="15" t="n">
        <v>34.77</v>
      </c>
      <c r="P978" s="15">
        <f>O978/1.19</f>
        <v/>
      </c>
      <c r="Q978" s="15">
        <f>O978-P978</f>
        <v/>
      </c>
      <c r="R978" s="15">
        <f>O978*0.15</f>
        <v/>
      </c>
      <c r="S978" s="15" t="n">
        <v>17.3</v>
      </c>
      <c r="T978" s="15">
        <f>S978*0.2</f>
        <v/>
      </c>
      <c r="U978" s="15" t="n">
        <v>0.400000000000002</v>
      </c>
      <c r="V978" s="15" t="n">
        <v>7</v>
      </c>
      <c r="W978" s="15">
        <f>V978*0.2</f>
        <v/>
      </c>
      <c r="X978" s="21">
        <f>O978-Q978-R978-S978-U978-V978+T978+W978</f>
        <v/>
      </c>
      <c r="Y978" s="14" t="n"/>
      <c r="Z978" s="15">
        <f>O978+1.5</f>
        <v/>
      </c>
      <c r="AA978" s="15" t="n"/>
      <c r="AB978" s="15" t="n"/>
      <c r="AC978" s="14" t="n"/>
      <c r="AD978" s="14" t="n"/>
      <c r="AE978" s="13" t="inlineStr">
        <is>
          <t>NOT_UPLOADED</t>
        </is>
      </c>
    </row>
    <row r="979" ht="16" customHeight="1">
      <c r="A979" s="17" t="n">
        <v>5054563157041</v>
      </c>
      <c r="B979" s="17" t="n">
        <v>5054563177797</v>
      </c>
      <c r="C979" s="13" t="n"/>
      <c r="D979" s="18" t="n"/>
      <c r="E979" s="18" t="inlineStr">
        <is>
          <t>AMP-5054563157041</t>
        </is>
      </c>
      <c r="F979" s="17" t="n">
        <v>3401014</v>
      </c>
      <c r="G979" s="18" t="inlineStr">
        <is>
          <t>AMPEREL</t>
        </is>
      </c>
      <c r="H979" s="18" t="inlineStr">
        <is>
          <t>PARODONTAX</t>
        </is>
      </c>
      <c r="I979" s="18" t="inlineStr">
        <is>
          <t>Parodontax Active Gencives Repair 75ml</t>
        </is>
      </c>
      <c r="J979" s="18" t="inlineStr">
        <is>
          <t>No</t>
        </is>
      </c>
      <c r="K979" s="18" t="inlineStr">
        <is>
          <t>https://www.amazon.de/-/en/Parodontax-Active-Gencives-Repair-75ml/dp/B0F9P4N6B1/ref=sr_1_4?dib=eyJ2IjoiMSJ9.lBWHcHqA6y5Cvbadna-LbAz-1vQXGcLxkb9KKPKqvZQ6s5aINx7AcFKOwM1rJVUjwcTnOvthB7a0K1YW--2qF_H_ZF-qiTjFu7muK4kDcZJdtVat-eEoTffOcnM8olC5IMNUyaKdMzkegi1LqdmwYtL3i5RvdorgzYFGaLi2c54m5xKdTbuGo95B1yfYyN5BkA2agKpiLp1HENHKpaY_mH1FUO37k2fXvDYGa9jbe7lmWLGcKjTg3IpisFmrLtZlbWydNegQa1SBt8LFe8441fqBwnSD4ySiuLD7Fx12xoY.Ba8vgHfHaxr3m_34hVUxY74oAbtbwOanAY-Um_68Auk&amp;dib_tag=se&amp;keywords=PARODONTAX+ORIGINAL+Gum+REPAIR+75ml&amp;qid=1759734780&amp;sr=8-4</t>
        </is>
      </c>
      <c r="L979" s="18" t="inlineStr">
        <is>
          <t>B0F9P4N6B1</t>
        </is>
      </c>
      <c r="M979" s="19" t="n"/>
      <c r="N979" s="19" t="n"/>
      <c r="O979" s="19" t="n">
        <v>10.8</v>
      </c>
      <c r="P979" s="19">
        <f>O979/1.19</f>
        <v/>
      </c>
      <c r="Q979" s="19">
        <f>O979-P979</f>
        <v/>
      </c>
      <c r="R979" s="19">
        <f>O979*0.15</f>
        <v/>
      </c>
      <c r="S979" s="19" t="n">
        <v>3.19</v>
      </c>
      <c r="T979" s="19">
        <f>S979*0.2</f>
        <v/>
      </c>
      <c r="U979" s="19" t="n">
        <v>0.400000000000002</v>
      </c>
      <c r="V979" s="19" t="n">
        <v>3.15</v>
      </c>
      <c r="W979" s="19">
        <f>V979*0.2</f>
        <v/>
      </c>
      <c r="X979" s="16">
        <f>O979-Q979-R979-S979-U979-V979+T979+W979</f>
        <v/>
      </c>
      <c r="Y979" s="18" t="n"/>
      <c r="Z979" s="19">
        <f>O979+1.5</f>
        <v/>
      </c>
      <c r="AA979" s="19" t="n"/>
      <c r="AB979" s="19" t="n"/>
      <c r="AC979" s="18" t="n"/>
      <c r="AD979" s="18" t="n"/>
      <c r="AE979" s="13" t="inlineStr">
        <is>
          <t>NOT_UPLOADED</t>
        </is>
      </c>
    </row>
    <row r="980" ht="16" customHeight="1">
      <c r="A980" s="12" t="n">
        <v>5054563164858</v>
      </c>
      <c r="B980" s="12" t="n">
        <v>5054563177797</v>
      </c>
      <c r="C980" s="13" t="n"/>
      <c r="D980" s="14" t="n"/>
      <c r="E980" s="14" t="inlineStr">
        <is>
          <t>AMP-5054563164858</t>
        </is>
      </c>
      <c r="F980" s="12" t="n">
        <v>3401014</v>
      </c>
      <c r="G980" s="14" t="inlineStr">
        <is>
          <t>AMPEREL</t>
        </is>
      </c>
      <c r="H980" s="14" t="inlineStr">
        <is>
          <t>PARODONTAX</t>
        </is>
      </c>
      <c r="I980" s="14" t="inlineStr">
        <is>
          <t>Parodontax Active Repair Gums Fresh Mint Toothpaste 75 ml</t>
        </is>
      </c>
      <c r="J980" s="14" t="inlineStr">
        <is>
          <t>No</t>
        </is>
      </c>
      <c r="K980" s="14" t="inlineStr">
        <is>
          <t>https://www.amazon.de/-/en/Parodontax-Active-Repair-Fresh-Toothpaste/dp/B0F62WK97P/ref=sr_1_9?crid=2T9X679V64GBK&amp;dib=eyJ2IjoiMSJ9.lBWHcHqA6y5Cvbadna-LbAz-1vQXGcLxkb9KKPKqvZRVwmVsbR9ZhtL5jYddsbYx6-E2iaWTdUHr9BA1Yb4A6HDQ1EJbwB-vVMh7CCuIg9xCsapplAQmNbKGViciDCC0XgPiGPEeiT_wMc07eytyE4o5Cj_IVy8ckoHW7LwMvLVm2q8eXi0D-MeF0iolOLOdmOmvbaAv1ojRJvl1Bd0KUO7tJMdZR6rBSKzZvC7mEQDN7hOe8o-hWKQ4DNlc7OJv8EL0ZDS_hJ3xKHj6AbGPCjoVZ1uQ3dcHIEwq9y-Ehus.rgQL6mxSRfd9Z5chZKBVVUqhm391YZzC1msRsz6oLz4&amp;dib_tag=se&amp;keywords=PARODONTAX+ACTIVE+GUM+REPAIR+75ml&amp;qid=1759825712&amp;sprefix=parodontax+active+gum+repair+75ml%2Caps%2C366&amp;sr=8-9</t>
        </is>
      </c>
      <c r="L980" s="14" t="inlineStr">
        <is>
          <t>B0F62WK97P</t>
        </is>
      </c>
      <c r="M980" s="15" t="n"/>
      <c r="N980" s="15" t="n"/>
      <c r="O980" s="15" t="n">
        <v>11.2</v>
      </c>
      <c r="P980" s="15">
        <f>O980/1.19</f>
        <v/>
      </c>
      <c r="Q980" s="15">
        <f>O980-P980</f>
        <v/>
      </c>
      <c r="R980" s="15">
        <f>O980*0.15</f>
        <v/>
      </c>
      <c r="S980" s="15" t="n">
        <v>3.19</v>
      </c>
      <c r="T980" s="15">
        <f>S980*0.2</f>
        <v/>
      </c>
      <c r="U980" s="15" t="n">
        <v>0.400000000000002</v>
      </c>
      <c r="V980" s="15" t="n">
        <v>2.5</v>
      </c>
      <c r="W980" s="15">
        <f>V980*0.2</f>
        <v/>
      </c>
      <c r="X980" s="21">
        <f>O980-Q980-R980-S980-U980-V980+T980+W980</f>
        <v/>
      </c>
      <c r="Y980" s="14" t="n"/>
      <c r="Z980" s="15">
        <f>O980+1.5</f>
        <v/>
      </c>
      <c r="AA980" s="15" t="n"/>
      <c r="AB980" s="15" t="n"/>
      <c r="AC980" s="14" t="n"/>
      <c r="AD980" s="14" t="n"/>
      <c r="AE980" s="13" t="inlineStr">
        <is>
          <t>NOT_UPLOADED</t>
        </is>
      </c>
    </row>
    <row r="981" ht="16" customHeight="1">
      <c r="A981" s="17" t="n">
        <v>5054563253903</v>
      </c>
      <c r="B981" s="17" t="n">
        <v>5054563177797</v>
      </c>
      <c r="C981" s="13" t="n"/>
      <c r="D981" s="18" t="inlineStr">
        <is>
          <t>ONLY ENGLAND</t>
        </is>
      </c>
      <c r="E981" s="18" t="inlineStr">
        <is>
          <t>AMP-5054563253903</t>
        </is>
      </c>
      <c r="F981" s="17" t="n">
        <v>3401008</v>
      </c>
      <c r="G981" s="18" t="inlineStr">
        <is>
          <t>AMPEREL</t>
        </is>
      </c>
      <c r="H981" s="18" t="inlineStr">
        <is>
          <t>PARODONTAX</t>
        </is>
      </c>
      <c r="I981" s="18" t="inlineStr">
        <is>
          <t>Parodontax Complete Protection Extra Fresh Fluoride Toothpaste - Helps Stop and Prevent Bleeding Gums 75ml</t>
        </is>
      </c>
      <c r="J981" s="18" t="inlineStr">
        <is>
          <t>No</t>
        </is>
      </c>
      <c r="K981" s="18" t="inlineStr">
        <is>
          <t>https://www.amazon.co.uk/Parodontax-Complete-Protection-Fluoride-Toothpaste/dp/B07YNZQWS6/ref=sr_1_1?crid=2L86C5OCEU0T8&amp;dib=eyJ2IjoiMSJ9.f9kVQTa1qpG4d2loP3St04mzX_TKlR-rlJwkeZgSdPPVGfd-xgXNbXI3Z2cbvEDtG2Io2rkwzgkCXuGPpDICrtCb6akJ3sKLVhOZ7QKcQHrfKq0U-7-X3SUi2eEy144yPSnjxL5cJK72MdGytGGXEPi_pDgPimyBShZF_Ro_6gGCbCw0xk5qysEjzR9MqSxkBxBogETO0oNq6STMCfdA3rVeGF3svCj8J_jMg77epTQDIsDZ6F-X2pQIEcDWNf0eWcea2IcfvhLE6njVGCNUkDoVZ1uQ3dcHIEwq9y-Ehus.cuR480xZNbPub_bhfVgo1pTq27qiWbI6PvC4Tqoo_GY&amp;dib_tag=se&amp;keywords=parodontax&amp;qid=1763929308&amp;s=drugstore&amp;sprefix=parodontax%2Cdrugstore%2C462&amp;sr=1-1&amp;th=1</t>
        </is>
      </c>
      <c r="L981" s="18" t="inlineStr">
        <is>
          <t>B07YNZQWS6</t>
        </is>
      </c>
      <c r="M981" s="19" t="n"/>
      <c r="N981" s="19" t="n"/>
      <c r="O981" s="19" t="n">
        <v>9.5</v>
      </c>
      <c r="P981" s="19">
        <f>O981/1.19</f>
        <v/>
      </c>
      <c r="Q981" s="19">
        <f>O981-P981</f>
        <v/>
      </c>
      <c r="R981" s="19">
        <f>O981*0.15</f>
        <v/>
      </c>
      <c r="S981" s="19" t="n">
        <v>3.41</v>
      </c>
      <c r="T981" s="19">
        <f>S981*0.2</f>
        <v/>
      </c>
      <c r="U981" s="19" t="n">
        <v>0.400000000000002</v>
      </c>
      <c r="V981" s="19" t="n">
        <v>2.5</v>
      </c>
      <c r="W981" s="19">
        <f>V981*0.2</f>
        <v/>
      </c>
      <c r="X981" s="16">
        <f>O981-Q981-R981-S981-U981-V981+T981+W981</f>
        <v/>
      </c>
      <c r="Y981" s="18" t="n"/>
      <c r="Z981" s="19">
        <f>O981+1.5</f>
        <v/>
      </c>
      <c r="AA981" s="19" t="n"/>
      <c r="AB981" s="19" t="n"/>
      <c r="AC981" s="18" t="n"/>
      <c r="AD981" s="18" t="n"/>
      <c r="AE981" s="13" t="inlineStr">
        <is>
          <t>NOT_UPLOADED</t>
        </is>
      </c>
    </row>
    <row r="982" ht="16" customHeight="1">
      <c r="A982" s="12" t="n">
        <v>3094905565228</v>
      </c>
      <c r="B982" s="12" t="n">
        <v>5054563177797</v>
      </c>
      <c r="C982" s="20" t="inlineStr">
        <is>
          <t>PACK X 2</t>
        </is>
      </c>
      <c r="D982" s="14" t="inlineStr">
        <is>
          <t>ONLY ENGLAND</t>
        </is>
      </c>
      <c r="E982" s="14" t="inlineStr">
        <is>
          <t>AMP-3094905565228</t>
        </is>
      </c>
      <c r="F982" s="12" t="n">
        <v>3401014</v>
      </c>
      <c r="G982" s="14" t="inlineStr">
        <is>
          <t>AMPEREL</t>
        </is>
      </c>
      <c r="H982" s="14" t="inlineStr">
        <is>
          <t>PARODONTAX</t>
        </is>
      </c>
      <c r="I982" s="14" t="inlineStr">
        <is>
          <t>Parodontax Active Gum Repair Pack of 2 x 75 ml</t>
        </is>
      </c>
      <c r="J982" s="14" t="inlineStr">
        <is>
          <t>No</t>
        </is>
      </c>
      <c r="K982" s="14" t="inlineStr">
        <is>
          <t>https://www.amazon.co.uk/Parodontax-Active-Gum-Repair-Pack/dp/B0F9P4S5RQ/ref=sr_1_1?crid=3P8VTJPHZ1R9&amp;dib=eyJ2IjoiMSJ9.FHJtbeHHbU7RX6BwbCAkfw.2j060-uQpmu4XIVl8hryS9CdFbWQr1MGYhF-gxtAbt0&amp;dib_tag=se&amp;keywords=B0F9P4S5RQ&amp;qid=1770149859&amp;s=baby&amp;sprefix=b0f9p4s5rq%2Cbaby%2C326&amp;sr=1-1</t>
        </is>
      </c>
      <c r="L982" s="14" t="inlineStr">
        <is>
          <t>B0F9P4S5RQ</t>
        </is>
      </c>
      <c r="M982" s="15" t="n"/>
      <c r="N982" s="15" t="n"/>
      <c r="O982" s="15" t="n">
        <v>21.65</v>
      </c>
      <c r="P982" s="15">
        <f>O982/1.19</f>
        <v/>
      </c>
      <c r="Q982" s="15">
        <f>O982-P982</f>
        <v/>
      </c>
      <c r="R982" s="15">
        <f>O982*0.15</f>
        <v/>
      </c>
      <c r="S982" s="15" t="n">
        <v>6.38</v>
      </c>
      <c r="T982" s="15">
        <f>S982*0.2</f>
        <v/>
      </c>
      <c r="U982" s="15" t="n">
        <v>0.400000000000002</v>
      </c>
      <c r="V982" s="15" t="n">
        <v>3.5</v>
      </c>
      <c r="W982" s="15">
        <f>V982*0.2</f>
        <v/>
      </c>
      <c r="X982" s="21">
        <f>O982-Q982-R982-S982-U982-V982+T982+W982</f>
        <v/>
      </c>
      <c r="Y982" s="14" t="n"/>
      <c r="Z982" s="15">
        <f>O982+1.5</f>
        <v/>
      </c>
      <c r="AA982" s="15" t="n"/>
      <c r="AB982" s="15" t="n"/>
      <c r="AC982" s="14" t="n"/>
      <c r="AD982" s="14" t="n"/>
      <c r="AE982" s="13" t="inlineStr">
        <is>
          <t>NOT_UPLOADED</t>
        </is>
      </c>
    </row>
    <row r="983" ht="16" customHeight="1">
      <c r="A983" s="17" t="n">
        <v>53100384754</v>
      </c>
      <c r="B983" s="17" t="n">
        <v>3830029297009</v>
      </c>
      <c r="C983" s="13" t="n"/>
      <c r="D983" s="18" t="inlineStr">
        <is>
          <t>ONLY ENGLAND</t>
        </is>
      </c>
      <c r="E983" s="18" t="inlineStr">
        <is>
          <t>AMP-0053100384754UK</t>
        </is>
      </c>
      <c r="F983" s="17" t="n">
        <v>3401005</v>
      </c>
      <c r="G983" s="18" t="inlineStr">
        <is>
          <t>AMPEREL</t>
        </is>
      </c>
      <c r="H983" s="18" t="inlineStr">
        <is>
          <t>PARODONTAX</t>
        </is>
      </c>
      <c r="I983" s="18" t="inlineStr">
        <is>
          <t>Parodontax Bleeding Gums Toothpaste, Extra Fresh, 3.4 Ounce</t>
        </is>
      </c>
      <c r="J983" s="18" t="inlineStr">
        <is>
          <t>No</t>
        </is>
      </c>
      <c r="K983" s="18" t="inlineStr">
        <is>
          <t>https://www.amazon.co.uk/Parodontax-Bleeding-Toothpaste-Extra-Fresh/dp/B01MY8W10Q/ref=sr_1_1?crid=BROKM0FPDMI3&amp;dib=eyJ2IjoiMSJ9.Z406dK49zONOI1-ZGk7pOQ.Jelwal1GmjBTbDI7Q-dcasYYQLNAvUCFdjggJANAl9I&amp;dib_tag=se&amp;keywords=B01MY8W10Q&amp;qid=1770151160&amp;s=baby&amp;sprefix=b01my8w10q%2Cbaby%2C163&amp;sr=1-1</t>
        </is>
      </c>
      <c r="L983" s="18" t="inlineStr">
        <is>
          <t>B01MY8W10Q</t>
        </is>
      </c>
      <c r="M983" s="19" t="n"/>
      <c r="N983" s="19" t="n"/>
      <c r="O983" s="19" t="n">
        <v>11.49</v>
      </c>
      <c r="P983" s="19">
        <f>O983/1.19</f>
        <v/>
      </c>
      <c r="Q983" s="19">
        <f>O983-P983</f>
        <v/>
      </c>
      <c r="R983" s="19">
        <f>O983*0.15</f>
        <v/>
      </c>
      <c r="S983" s="19" t="n">
        <v>2.65</v>
      </c>
      <c r="T983" s="19">
        <f>S983*0.2</f>
        <v/>
      </c>
      <c r="U983" s="19" t="n">
        <v>0.400000000000002</v>
      </c>
      <c r="V983" s="19" t="n">
        <v>2.5</v>
      </c>
      <c r="W983" s="19">
        <f>V983*0.2</f>
        <v/>
      </c>
      <c r="X983" s="21">
        <f>O983-Q983-R983-S983-U983-V983+T983+W983</f>
        <v/>
      </c>
      <c r="Y983" s="18" t="n"/>
      <c r="Z983" s="19">
        <f>O983+1.5</f>
        <v/>
      </c>
      <c r="AA983" s="19" t="n"/>
      <c r="AB983" s="19" t="n"/>
      <c r="AC983" s="18" t="n"/>
      <c r="AD983" s="18" t="n"/>
      <c r="AE983" s="13" t="inlineStr">
        <is>
          <t>NOT_UPLOADED</t>
        </is>
      </c>
    </row>
    <row r="984" ht="16" customHeight="1">
      <c r="A984" s="12" t="n">
        <v>5054563052681</v>
      </c>
      <c r="B984" s="12" t="n">
        <v>5054563048417</v>
      </c>
      <c r="C984" s="13" t="n"/>
      <c r="D984" s="14" t="inlineStr">
        <is>
          <t>ONLY ENGLAND</t>
        </is>
      </c>
      <c r="E984" s="14" t="inlineStr">
        <is>
          <t>AMP-5054563052681UK</t>
        </is>
      </c>
      <c r="F984" s="12" t="n">
        <v>3402001</v>
      </c>
      <c r="G984" s="14" t="inlineStr">
        <is>
          <t>AMPEREL</t>
        </is>
      </c>
      <c r="H984" s="14" t="inlineStr">
        <is>
          <t>PARODONTAX</t>
        </is>
      </c>
      <c r="I984" s="14" t="inlineStr">
        <is>
          <t>Parodontax Extra Soft Toothbrush, Helps Stop and Prevent Bleeding Gums, Random Model</t>
        </is>
      </c>
      <c r="J984" s="14" t="inlineStr">
        <is>
          <t>No</t>
        </is>
      </c>
      <c r="K984" s="14" t="inlineStr">
        <is>
          <t>https://www.amazon.co.uk/Parodontax-60000000115133-ParODONTAX-Extra-Toothbrush/dp/B084K6MK2K/ref=sr_1_1?crid=26SXWFHCI2XIU&amp;dib=eyJ2IjoiMSJ9.oVx6cDda0ap_CcwiuSDi6g.X4k5tXT2UbVY8DqTrrDpaDCKis_L-02ymwgovpSdCOQ&amp;dib_tag=se&amp;keywords=B084K6MK2K&amp;qid=1770151730&amp;s=baby&amp;sprefix=b084k6mk2k%2Cbaby%2C130&amp;sr=1-1&amp;th=1</t>
        </is>
      </c>
      <c r="L984" s="14" t="inlineStr">
        <is>
          <t>B084K6MK2K</t>
        </is>
      </c>
      <c r="M984" s="15" t="n"/>
      <c r="N984" s="15" t="n"/>
      <c r="O984" s="15" t="n">
        <v>7.45</v>
      </c>
      <c r="P984" s="15">
        <f>O984/1.19</f>
        <v/>
      </c>
      <c r="Q984" s="15">
        <f>O984-P984</f>
        <v/>
      </c>
      <c r="R984" s="15">
        <f>O984*0.15</f>
        <v/>
      </c>
      <c r="S984" s="15" t="n">
        <v>2.55</v>
      </c>
      <c r="T984" s="15">
        <f>S984*0.2</f>
        <v/>
      </c>
      <c r="U984" s="15" t="n">
        <v>0.400000000000002</v>
      </c>
      <c r="V984" s="15" t="n">
        <v>2</v>
      </c>
      <c r="W984" s="15">
        <f>V984*0.2</f>
        <v/>
      </c>
      <c r="X984" s="16">
        <f>O984-Q984-R984-S984-U984-V984+T984+W984</f>
        <v/>
      </c>
      <c r="Y984" s="14" t="n"/>
      <c r="Z984" s="15">
        <f>O984+1.5</f>
        <v/>
      </c>
      <c r="AA984" s="15" t="n"/>
      <c r="AB984" s="15" t="n"/>
      <c r="AC984" s="14" t="n"/>
      <c r="AD984" s="14" t="n"/>
      <c r="AE984" s="13" t="inlineStr">
        <is>
          <t>NOT_UPLOADED</t>
        </is>
      </c>
    </row>
    <row r="985" ht="16" customHeight="1">
      <c r="A985" s="17" t="n">
        <v>4047400392041</v>
      </c>
      <c r="B985" s="17" t="n">
        <v>4047400392041</v>
      </c>
      <c r="C985" s="13" t="n"/>
      <c r="D985" s="18" t="inlineStr">
        <is>
          <t>ONLY ENGLAND</t>
        </is>
      </c>
      <c r="E985" s="18" t="inlineStr">
        <is>
          <t>AMP-4047400392041UK</t>
        </is>
      </c>
      <c r="F985" s="17" t="n">
        <v>3401001</v>
      </c>
      <c r="G985" s="18" t="inlineStr">
        <is>
          <t>AMPEREL</t>
        </is>
      </c>
      <c r="H985" s="18" t="inlineStr">
        <is>
          <t>PARODONTAX</t>
        </is>
      </c>
      <c r="I985" s="18" t="inlineStr">
        <is>
          <t>Parodontax Toothpaste Care Gum – 75 ml</t>
        </is>
      </c>
      <c r="J985" s="18" t="inlineStr">
        <is>
          <t>No</t>
        </is>
      </c>
      <c r="K985" s="18" t="inlineStr">
        <is>
          <t>https://www.amazon.co.uk/Parodontax-Toothpaste-Care-Gum-75/dp/B00IAPVAGA/ref=sr_1_1?crid=947A06K1MMM7&amp;dib=eyJ2IjoiMSJ9.H1FS2FM591kyykyjelOTlw.a357cXtPgoMSChD7aOSEsd0ESTZfATK5jOPgtH7W7_c&amp;dib_tag=se&amp;keywords=B00IAPVAGA&amp;qid=1770152346&amp;s=baby&amp;sprefix=b00iapvaga%2Cbaby%2C134&amp;sr=1-1</t>
        </is>
      </c>
      <c r="L985" s="18" t="inlineStr">
        <is>
          <t>B00IAPVAGA</t>
        </is>
      </c>
      <c r="M985" s="19" t="n"/>
      <c r="N985" s="19" t="n"/>
      <c r="O985" s="19" t="n">
        <v>10</v>
      </c>
      <c r="P985" s="19">
        <f>O985/1.19</f>
        <v/>
      </c>
      <c r="Q985" s="19">
        <f>O985-P985</f>
        <v/>
      </c>
      <c r="R985" s="19">
        <f>O985*0.15</f>
        <v/>
      </c>
      <c r="S985" s="19" t="n">
        <v>2.84</v>
      </c>
      <c r="T985" s="19">
        <f>S985*0.2</f>
        <v/>
      </c>
      <c r="U985" s="19" t="n">
        <v>0.400000000000002</v>
      </c>
      <c r="V985" s="19" t="n">
        <v>2.5</v>
      </c>
      <c r="W985" s="19">
        <f>V985*0.2</f>
        <v/>
      </c>
      <c r="X985" s="21">
        <f>O985-Q985-R985-S985-U985-V985+T985+W985</f>
        <v/>
      </c>
      <c r="Y985" s="18" t="n"/>
      <c r="Z985" s="19">
        <f>O985+1.5</f>
        <v/>
      </c>
      <c r="AA985" s="19" t="n"/>
      <c r="AB985" s="19" t="n"/>
      <c r="AC985" s="18" t="n"/>
      <c r="AD985" s="18" t="n"/>
      <c r="AE985" s="13" t="inlineStr">
        <is>
          <t>NOT_UPLOADED</t>
        </is>
      </c>
    </row>
    <row r="986" ht="16" customHeight="1">
      <c r="A986" s="12" t="n">
        <v>5054563120113</v>
      </c>
      <c r="B986" s="12" t="n">
        <v>5054563120113</v>
      </c>
      <c r="C986" s="13" t="n"/>
      <c r="D986" s="14" t="n"/>
      <c r="E986" s="14" t="inlineStr">
        <is>
          <t>AMP-5054563120113</t>
        </is>
      </c>
      <c r="F986" s="12" t="n">
        <v>3401012</v>
      </c>
      <c r="G986" s="14" t="inlineStr">
        <is>
          <t>AMPEREL</t>
        </is>
      </c>
      <c r="H986" s="14" t="inlineStr">
        <is>
          <t>PARODONTAX</t>
        </is>
      </c>
      <c r="I986" s="14" t="inlineStr">
        <is>
          <t>Parodontax Gums + Sensitivity &amp; Fresh Breath Intense 75 ml</t>
        </is>
      </c>
      <c r="J986" s="14" t="inlineStr">
        <is>
          <t>No</t>
        </is>
      </c>
      <c r="K986" s="14" t="inlineStr">
        <is>
          <t>https://www.amazon.de/-/en/Parodontax-Sensitivity-Fresh-Breath-Intense/dp/B0C3KL7LLH/ref=sr_1_27?crid=2T9X679V64GBK&amp;dib=eyJ2IjoiMSJ9.lBWHcHqA6y5Cvbadna-LbAz-1vQXGcLxkb9KKPKqvZRVwmVsbR9ZhtL5jYddsbYx6-E2iaWTdUHr9BA1Yb4A6HDQ1EJbwB-vVMh7CCuIg9xCsapplAQmNbKGViciDCC0XgPiGPEeiT_wMc07eytyE4o5Cj_IVy8ckoHW7LwMvLVm2q8eXi0D-MeF0iolOLOd_P2aqUty2_74Wk4wBkg291cXPyPmIsLC8XEiqdb-6AeKwRs0-sutkhiHUQHpoUJqIY4jFfPMVKY_2_ZUPFJC0EDDVRmiyZr8jSOnlDX_O4A.Q-FaXKqAMhEXB4B3DaCNaISHS9ITFFrRv2u7GJ0AwHg&amp;dib_tag=se&amp;keywords=PARODONTAX+ACTIVE+GUM+REPAIR+75ml&amp;qid=1759826481&amp;sprefix=parodontax+active+gum+repair+75ml%2Caps%2C366&amp;sr=8-27</t>
        </is>
      </c>
      <c r="L986" s="14" t="inlineStr">
        <is>
          <t>B0C3KL7LLH</t>
        </is>
      </c>
      <c r="M986" s="15" t="n"/>
      <c r="N986" s="15" t="n"/>
      <c r="O986" s="15" t="n">
        <v>15.4</v>
      </c>
      <c r="P986" s="15">
        <f>O986/1.19</f>
        <v/>
      </c>
      <c r="Q986" s="15">
        <f>O986-P986</f>
        <v/>
      </c>
      <c r="R986" s="15">
        <f>O986*0.15</f>
        <v/>
      </c>
      <c r="S986" s="15" t="n">
        <v>5.3</v>
      </c>
      <c r="T986" s="15">
        <f>S986*0.2</f>
        <v/>
      </c>
      <c r="U986" s="15" t="n">
        <v>0.400000000000002</v>
      </c>
      <c r="V986" s="15" t="n">
        <v>2.9</v>
      </c>
      <c r="W986" s="15">
        <f>V986*0.2</f>
        <v/>
      </c>
      <c r="X986" s="21">
        <f>O986-Q986-R986-S986-U986-V986+T986+W986</f>
        <v/>
      </c>
      <c r="Y986" s="14" t="n"/>
      <c r="Z986" s="15">
        <f>O986+1.5</f>
        <v/>
      </c>
      <c r="AA986" s="15" t="n"/>
      <c r="AB986" s="15" t="n"/>
      <c r="AC986" s="14" t="n"/>
      <c r="AD986" s="14" t="n"/>
      <c r="AE986" s="13" t="inlineStr">
        <is>
          <t>NOT_UPLOADED</t>
        </is>
      </c>
    </row>
    <row r="987" ht="16" customHeight="1">
      <c r="A987" s="17" t="n">
        <v>5054563040213</v>
      </c>
      <c r="B987" s="17" t="n">
        <v>5054563040213</v>
      </c>
      <c r="C987" s="13" t="n"/>
      <c r="D987" s="18" t="n"/>
      <c r="E987" s="18" t="inlineStr">
        <is>
          <t>AMP-5054563040213</t>
        </is>
      </c>
      <c r="F987" s="17" t="n">
        <v>3401008</v>
      </c>
      <c r="G987" s="18" t="inlineStr">
        <is>
          <t>AMPEREL</t>
        </is>
      </c>
      <c r="H987" s="18" t="inlineStr">
        <is>
          <t>PARODONTAX</t>
        </is>
      </c>
      <c r="I987" s="18" t="inlineStr">
        <is>
          <t>Parodontax Complete Protection Zahnpasta mit Fluorid, 1x75ml, Hilft Zahnfleischbluten zu reduzieren und vorzubeugen</t>
        </is>
      </c>
      <c r="J987" s="18" t="inlineStr">
        <is>
          <t>No</t>
        </is>
      </c>
      <c r="K987" s="18" t="inlineStr">
        <is>
          <t>https://www.amazon.de/Parodontax-Protection-Zahnfleischbluten-reduzieren-vorzubeugen/dp/B0BTMJ16QY/ref=sr_1_1?__mk_de_DE=%C3%85M%C3%85%C5%BD%C3%95%C3%91&amp;crid=6HPWOZ3XWLXS&amp;dib=eyJ2IjoiMSJ9.f_sS-0jukR63R8X4203whnq1wvrJWsz62moQuLDnUr8oh5wlSWzHyCSCSypzlprY5jwQtD3ta7IF69HuMUyy1XhBY-2n3ySUed2gzNYd1dUfdGMyHoJfaEvQQua2SaUZjSSJvYc-DQBhMgtFlY49Dv1EGOhwvgWaNSlbcJHRnaF2f_y0IxM86g4WebJ7nlelaJUCg_9OKBS2MuMa9Agl0LlwYUTuBmv2cjNF5pPIDF4RmE6x7glEax1axtUC6ViN4gG5Gf4sEUN8eQ8TILI-WvM4H28l3h1uflIgz0rKehM.BMqHEV9erK_SDSP2qEX5_2WuhYgHGaOBT4OABEyAT7w&amp;dib_tag=se&amp;keywords=parodontax%2Bcomplete%2Bprotection&amp;qid=1760178748&amp;rdc=1&amp;sprefix=parodontax%2Bcomplete%2Bprotection%2Caps%2C96&amp;sr=8-1&amp;th=1</t>
        </is>
      </c>
      <c r="L987" s="18" t="inlineStr">
        <is>
          <t>B0BTMJ16QY</t>
        </is>
      </c>
      <c r="M987" s="19" t="n"/>
      <c r="N987" s="19" t="n"/>
      <c r="O987" s="19" t="n">
        <v>10.49</v>
      </c>
      <c r="P987" s="19">
        <f>O987/1.19</f>
        <v/>
      </c>
      <c r="Q987" s="19">
        <f>O987-P987</f>
        <v/>
      </c>
      <c r="R987" s="19">
        <f>O987*0.15</f>
        <v/>
      </c>
      <c r="S987" s="19" t="n">
        <v>3.18</v>
      </c>
      <c r="T987" s="19">
        <f>S987*0.2</f>
        <v/>
      </c>
      <c r="U987" s="19" t="n">
        <v>0.400000000000002</v>
      </c>
      <c r="V987" s="19" t="n">
        <v>2.9</v>
      </c>
      <c r="W987" s="19">
        <f>V987*0.2</f>
        <v/>
      </c>
      <c r="X987" s="16">
        <f>O987-Q987-R987-S987-U987-V987+T987+W987</f>
        <v/>
      </c>
      <c r="Y987" s="18" t="n"/>
      <c r="Z987" s="19">
        <f>O987+1.5</f>
        <v/>
      </c>
      <c r="AA987" s="19" t="n"/>
      <c r="AB987" s="19" t="n"/>
      <c r="AC987" s="18" t="n"/>
      <c r="AD987" s="18" t="n"/>
      <c r="AE987" s="13" t="inlineStr">
        <is>
          <t>NOT_UPLOADED</t>
        </is>
      </c>
    </row>
    <row r="988" ht="16" customHeight="1">
      <c r="A988" s="12" t="n">
        <v>5054563180810</v>
      </c>
      <c r="B988" s="12" t="n">
        <v>5054563040213</v>
      </c>
      <c r="C988" s="20" t="inlineStr">
        <is>
          <t>PACK X 4</t>
        </is>
      </c>
      <c r="D988" s="14" t="n"/>
      <c r="E988" s="14" t="inlineStr">
        <is>
          <t>AMP-5054563180810</t>
        </is>
      </c>
      <c r="F988" s="12" t="n">
        <v>3401008</v>
      </c>
      <c r="G988" s="14" t="inlineStr">
        <is>
          <t>AMPEREL</t>
        </is>
      </c>
      <c r="H988" s="14" t="inlineStr">
        <is>
          <t>PARODONTAX</t>
        </is>
      </c>
      <c r="I988" s="14" t="inlineStr">
        <is>
          <t>Parodontax Complete Protection Zahnpasta mit Fluorid, 4x75ml, hilft Zahnfleischbluten zu reduzieren und vorzubeugen</t>
        </is>
      </c>
      <c r="J988" s="14" t="inlineStr">
        <is>
          <t>No</t>
        </is>
      </c>
      <c r="K988" s="14" t="inlineStr">
        <is>
          <t>https://www.amazon.de/Parodontax-Protection-Zahnfleischbluten-reduzieren-vorzubeugen/dp/B0BVRFF3G8/ref=sr_1_1?__mk_de_DE=%C3%85M%C3%85%C5%BD%C3%95%C3%91&amp;crid=6HPWOZ3XWLXS&amp;dib=eyJ2IjoiMSJ9.f_sS-0jukR63R8X4203whnq1wvrJWsz62moQuLDnUr8oh5wlSWzHyCSCSypzlprY5jwQtD3ta7IF69HuMUyy1XhBY-2n3ySUed2gzNYd1dUfdGMyHoJfaEvQQua2SaUZjSSJvYc-DQBhMgtFlY49Dv1EGOhwvgWaNSlbcJHRnaF2f_y0IxM86g4WebJ7nlelaJUCg_9OKBS2MuMa9Agl0LlwYUTuBmv2cjNF5pPIDF4RmE6x7glEax1axtUC6ViN4gG5Gf4sEUN8eQ8TILI-WvM4H28l3h1uflIgz0rKehM.BMqHEV9erK_SDSP2qEX5_2WuhYgHGaOBT4OABEyAT7w&amp;dib_tag=se&amp;keywords=parodontax%2Bcomplete%2Bprotection&amp;qid=1760178748&amp;rdc=1&amp;sprefix=parodontax%2Bcomplete%2Bprotection%2Caps%2C96&amp;sr=8-1&amp;th=1</t>
        </is>
      </c>
      <c r="L988" s="14" t="inlineStr">
        <is>
          <t>B0BVRFF3G8</t>
        </is>
      </c>
      <c r="M988" s="15" t="n"/>
      <c r="N988" s="15" t="n"/>
      <c r="O988" s="15" t="n">
        <v>34.79</v>
      </c>
      <c r="P988" s="15">
        <f>O988/1.19</f>
        <v/>
      </c>
      <c r="Q988" s="15">
        <f>O988-P988</f>
        <v/>
      </c>
      <c r="R988" s="15">
        <f>O988*0.15</f>
        <v/>
      </c>
      <c r="S988" s="15" t="n">
        <v>12.72</v>
      </c>
      <c r="T988" s="15">
        <f>S988*0.2</f>
        <v/>
      </c>
      <c r="U988" s="15" t="n">
        <v>0.400000000000002</v>
      </c>
      <c r="V988" s="15" t="n">
        <v>9.300000000000001</v>
      </c>
      <c r="W988" s="15">
        <f>V988*0.2</f>
        <v/>
      </c>
      <c r="X988" s="21">
        <f>O988-Q988-R988-S988-U988-V988+T988+W988</f>
        <v/>
      </c>
      <c r="Y988" s="14" t="n"/>
      <c r="Z988" s="15">
        <f>O988+1.5</f>
        <v/>
      </c>
      <c r="AA988" s="15" t="n"/>
      <c r="AB988" s="15" t="n"/>
      <c r="AC988" s="14" t="n"/>
      <c r="AD988" s="14" t="n"/>
      <c r="AE988" s="13" t="inlineStr">
        <is>
          <t>NOT_UPLOADED</t>
        </is>
      </c>
    </row>
    <row r="989" ht="16" customHeight="1">
      <c r="A989" s="17" t="n"/>
      <c r="B989" s="17" t="n">
        <v>5054563040213</v>
      </c>
      <c r="C989" s="20" t="inlineStr">
        <is>
          <t>PACK X 3</t>
        </is>
      </c>
      <c r="D989" s="18" t="inlineStr">
        <is>
          <t>Not Available</t>
        </is>
      </c>
      <c r="E989" s="18" t="n"/>
      <c r="F989" s="17" t="n">
        <v>3401008</v>
      </c>
      <c r="G989" s="18" t="inlineStr">
        <is>
          <t>AMPEREL</t>
        </is>
      </c>
      <c r="H989" s="18" t="inlineStr">
        <is>
          <t>PARODONTAX</t>
        </is>
      </c>
      <c r="I989" s="18" t="inlineStr">
        <is>
          <t>Parodontax Complete Protection Zahnpasta mit Fluorid, 1x75ml, hilft Zahnfleischbluten zu reduzieren und vorzubeugen (Packung mit 3)</t>
        </is>
      </c>
      <c r="J989" s="18" t="inlineStr">
        <is>
          <t>No</t>
        </is>
      </c>
      <c r="K989" s="18" t="inlineStr">
        <is>
          <t>https://www.amazon.de/Parodontax-Protection-Zahnfleischbluten-reduzieren-vorzubeugen/dp/B0CZF5CQJZ/ref=sr_1_1?__mk_de_DE=%C3%85M%C3%85%C5%BD%C3%95%C3%91&amp;crid=6HPWOZ3XWLXS&amp;dib=eyJ2IjoiMSJ9.f_sS-0jukR63R8X4203whnq1wvrJWsz62moQuLDnUr8oh5wlSWzHyCSCSypzlprY5jwQtD3ta7IF69HuMUyy1XhBY-2n3ySUed2gzNYd1dUfdGMyHoJfaEvQQua2SaUZjSSJvYc-DQBhMgtFlY49Dv1EGOhwvgWaNSlbcJHRnaF2f_y0IxM86g4WebJ7nlelaJUCg_9OKBS2MuMa9Agl0LlwYUTuBmv2cjNF5pPIDF4RmE6x7glEax1axtUC6ViN4gG5Gf4sEUN8eQ8TILI-WvM4H28l3h1uflIgz0rKehM.BMqHEV9erK_SDSP2qEX5_2WuhYgHGaOBT4OABEyAT7w&amp;dib_tag=se&amp;keywords=parodontax%2Bcomplete%2Bprotection&amp;qid=1760178748&amp;rdc=1&amp;sprefix=parodontax%2Bcomplete%2Bprotection%2Caps%2C96&amp;sr=8-1&amp;th=1</t>
        </is>
      </c>
      <c r="L989" s="18" t="inlineStr">
        <is>
          <t>B0CZF5CQJZ</t>
        </is>
      </c>
      <c r="M989" s="19" t="n"/>
      <c r="N989" s="19" t="n"/>
      <c r="O989" s="19" t="n">
        <v>26.79</v>
      </c>
      <c r="P989" s="19">
        <f>O989/1.19</f>
        <v/>
      </c>
      <c r="Q989" s="19">
        <f>O989-P989</f>
        <v/>
      </c>
      <c r="R989" s="19">
        <f>O989*0.15</f>
        <v/>
      </c>
      <c r="S989" s="19" t="n">
        <v>9.550000000000001</v>
      </c>
      <c r="T989" s="19">
        <f>S989*0.2</f>
        <v/>
      </c>
      <c r="U989" s="19" t="n">
        <v>0.400000000000002</v>
      </c>
      <c r="V989" s="19" t="n">
        <v>8.199999999999999</v>
      </c>
      <c r="W989" s="19">
        <f>V989*0.2</f>
        <v/>
      </c>
      <c r="X989" s="21">
        <f>O989-Q989-R989-S989-U989-V989+T989+W989</f>
        <v/>
      </c>
      <c r="Y989" s="18" t="n"/>
      <c r="Z989" s="19">
        <f>O989+1.5</f>
        <v/>
      </c>
      <c r="AA989" s="19" t="n"/>
      <c r="AB989" s="19" t="n"/>
      <c r="AC989" s="18" t="n"/>
      <c r="AD989" s="18" t="n"/>
      <c r="AE989" s="13" t="inlineStr">
        <is>
          <t>NOT_UPLOADED</t>
        </is>
      </c>
    </row>
    <row r="990" ht="16" customHeight="1">
      <c r="A990" s="12" t="n"/>
      <c r="B990" s="12" t="n">
        <v>5054563040213</v>
      </c>
      <c r="C990" s="20" t="inlineStr">
        <is>
          <t>PACK X5</t>
        </is>
      </c>
      <c r="D990" s="14" t="inlineStr">
        <is>
          <t>Not Available</t>
        </is>
      </c>
      <c r="E990" s="14" t="n"/>
      <c r="F990" s="12" t="n">
        <v>3401008</v>
      </c>
      <c r="G990" s="14" t="inlineStr">
        <is>
          <t>AMPEREL</t>
        </is>
      </c>
      <c r="H990" s="14" t="inlineStr">
        <is>
          <t>PARODONTAX</t>
        </is>
      </c>
      <c r="I990" s="14" t="inlineStr">
        <is>
          <t>Parodontax Complete Protection Zahnpasta mit Fluorid, 1x75ml, hilft Zahnfleischbluten zu reduzieren und vorzubeugen (Packung mit 5)</t>
        </is>
      </c>
      <c r="J990" s="14" t="inlineStr">
        <is>
          <t>No</t>
        </is>
      </c>
      <c r="K990" s="14" t="inlineStr">
        <is>
          <t>https://www.amazon.de/Parodontax-Protection-Zahnfleischbluten-reduzieren-vorzubeugen/dp/B0CZF7NL73/ref=sr_1_1?__mk_de_DE=%C3%85M%C3%85%C5%BD%C3%95%C3%91&amp;crid=6HPWOZ3XWLXS&amp;dib=eyJ2IjoiMSJ9.f_sS-0jukR63R8X4203whnq1wvrJWsz62moQuLDnUr8oh5wlSWzHyCSCSypzlprY5jwQtD3ta7IF69HuMUyy1XhBY-2n3ySUed2gzNYd1dUfdGMyHoJfaEvQQua2SaUZjSSJvYc-DQBhMgtFlY49Dv1EGOhwvgWaNSlbcJHRnaF2f_y0IxM86g4WebJ7nlelaJUCg_9OKBS2MuMa9Agl0LlwYUTuBmv2cjNF5pPIDF4RmE6x7glEax1axtUC6ViN4gG5Gf4sEUN8eQ8TILI-WvM4H28l3h1uflIgz0rKehM.BMqHEV9erK_SDSP2qEX5_2WuhYgHGaOBT4OABEyAT7w&amp;dib_tag=se&amp;keywords=parodontax%2Bcomplete%2Bprotection&amp;qid=1760178748&amp;rdc=1&amp;sprefix=parodontax%2Bcomplete%2Bprotection%2Caps%2C96&amp;sr=8-1&amp;th=1</t>
        </is>
      </c>
      <c r="L990" s="14" t="inlineStr">
        <is>
          <t>B0CZF7NL73</t>
        </is>
      </c>
      <c r="M990" s="15" t="n"/>
      <c r="N990" s="15" t="n"/>
      <c r="O990" s="15" t="n">
        <v>42.79</v>
      </c>
      <c r="P990" s="15">
        <f>O990/1.19</f>
        <v/>
      </c>
      <c r="Q990" s="15">
        <f>O990-P990</f>
        <v/>
      </c>
      <c r="R990" s="15">
        <f>O990*0.15</f>
        <v/>
      </c>
      <c r="S990" s="15" t="n">
        <v>15.9</v>
      </c>
      <c r="T990" s="15">
        <f>S990*0.2</f>
        <v/>
      </c>
      <c r="U990" s="15" t="n">
        <v>0.400000000000002</v>
      </c>
      <c r="V990" s="15" t="n">
        <v>10.95</v>
      </c>
      <c r="W990" s="15">
        <f>V990*0.2</f>
        <v/>
      </c>
      <c r="X990" s="21">
        <f>O990-Q990-R990-S990-U990-V990+T990+W990</f>
        <v/>
      </c>
      <c r="Y990" s="14" t="n"/>
      <c r="Z990" s="15">
        <f>O990+1.5</f>
        <v/>
      </c>
      <c r="AA990" s="15" t="n"/>
      <c r="AB990" s="15" t="n"/>
      <c r="AC990" s="14" t="n"/>
      <c r="AD990" s="14" t="n"/>
      <c r="AE990" s="13" t="inlineStr">
        <is>
          <t>NOT_UPLOADED</t>
        </is>
      </c>
    </row>
    <row r="991" ht="16" customHeight="1">
      <c r="A991" s="17" t="n"/>
      <c r="B991" s="17" t="n">
        <v>5054563040213</v>
      </c>
      <c r="C991" s="20" t="inlineStr">
        <is>
          <t>PACK X 3</t>
        </is>
      </c>
      <c r="D991" s="18" t="n"/>
      <c r="E991" s="18" t="inlineStr">
        <is>
          <t>AM-5054563040213</t>
        </is>
      </c>
      <c r="F991" s="17" t="n">
        <v>3401008</v>
      </c>
      <c r="G991" s="18" t="inlineStr">
        <is>
          <t>AMPEREL</t>
        </is>
      </c>
      <c r="H991" s="18" t="inlineStr">
        <is>
          <t>PARODONTAX</t>
        </is>
      </c>
      <c r="I991" s="18" t="inlineStr">
        <is>
          <t>Parodontax Complete Protection Extra Fresh Zahnpasta mit Fluor, hilft Zahnfleischbluten zu stoppen und zu verhindern, 3 x 75 ml</t>
        </is>
      </c>
      <c r="J991" s="18" t="inlineStr">
        <is>
          <t>No</t>
        </is>
      </c>
      <c r="K991" s="18" t="inlineStr">
        <is>
          <t>B07HS7TT4X</t>
        </is>
      </c>
      <c r="L991" s="18" t="inlineStr">
        <is>
          <t>B07HS7TT4X</t>
        </is>
      </c>
      <c r="M991" s="19" t="n"/>
      <c r="N991" s="19" t="n"/>
      <c r="O991" s="19" t="n">
        <v>26.79</v>
      </c>
      <c r="P991" s="19">
        <f>O991/1.19</f>
        <v/>
      </c>
      <c r="Q991" s="19">
        <f>O991-P991</f>
        <v/>
      </c>
      <c r="R991" s="19">
        <f>O991*0.15</f>
        <v/>
      </c>
      <c r="S991" s="19" t="n">
        <v>9.550000000000001</v>
      </c>
      <c r="T991" s="19">
        <f>S991*0.2</f>
        <v/>
      </c>
      <c r="U991" s="19" t="n">
        <v>0.400000000000002</v>
      </c>
      <c r="V991" s="19" t="n">
        <v>8.199999999999999</v>
      </c>
      <c r="W991" s="19">
        <f>V991*0.2</f>
        <v/>
      </c>
      <c r="X991" s="21">
        <f>O991-Q991-R991-S991-U991-V991+T991+W991</f>
        <v/>
      </c>
      <c r="Y991" s="18" t="n"/>
      <c r="Z991" s="19">
        <f>O991+1.5</f>
        <v/>
      </c>
      <c r="AA991" s="19" t="n"/>
      <c r="AB991" s="19" t="n"/>
      <c r="AC991" s="18" t="n"/>
      <c r="AD991" s="18" t="n"/>
      <c r="AE991" s="13" t="inlineStr">
        <is>
          <t>NOT_UPLOADED</t>
        </is>
      </c>
    </row>
    <row r="992" ht="16" customHeight="1">
      <c r="A992" s="12" t="n"/>
      <c r="B992" s="12" t="n">
        <v>5054563040213</v>
      </c>
      <c r="C992" s="20" t="inlineStr">
        <is>
          <t>PACK X 4</t>
        </is>
      </c>
      <c r="D992" s="14" t="n"/>
      <c r="E992" s="14" t="inlineStr">
        <is>
          <t>A-5054563040213</t>
        </is>
      </c>
      <c r="F992" s="12" t="n">
        <v>3401008</v>
      </c>
      <c r="G992" s="14" t="inlineStr">
        <is>
          <t>AMPEREL</t>
        </is>
      </c>
      <c r="H992" s="14" t="inlineStr">
        <is>
          <t>PARODONTAX</t>
        </is>
      </c>
      <c r="I992" s="14" t="inlineStr">
        <is>
          <t>Parodontax Complete Protection Mousse Zahnpasta, Minze, Extra Frisch, hilft Zahnfleischbluten zu reduzieren und vorzubeugen, 4 x 75ml</t>
        </is>
      </c>
      <c r="J992" s="14" t="inlineStr">
        <is>
          <t>No</t>
        </is>
      </c>
      <c r="K992" s="14" t="inlineStr">
        <is>
          <t>https://www.amazon.de/Parodontax-Protection-Zahnfleischbluten-reduzieren-vorzubeugen/dp/B09RQPBDL1/ref=sr_1_4?__mk_de_DE=%C3%85M%C3%85%C5%BD%C3%95%C3%91&amp;crid=6HPWOZ3XWLXS&amp;dib=eyJ2IjoiMSJ9.f_sS-0jukR63R8X4203whnq1wvrJWsz62moQuLDnUr8oh5wlSWzHyCSCSypzlprY5jwQtD3ta7IF69HuMUyy1XhBY-2n3ySUed2gzNYd1dUfdGMyHoJfaEvQQua2SaUZjSSJvYc-DQBhMgtFlY49Dv1EGOhwvgWaNSlbcJHRnaF2f_y0IxM86g4WebJ7nlelaJUCg_9OKBS2MuMa9Agl0LlwYUTuBmv2cjNF5pPIDF4RmE6x7glEax1axtUC6ViN4gG5Gf4sEUN8eQ8TILI-WvM4H28l3h1uflIgz0rKehM.BMqHEV9erK_SDSP2qEX5_2WuhYgHGaOBT4OABEyAT7w&amp;dib_tag=se&amp;keywords=parodontax+complete+protection&amp;qid=1760179984&amp;sprefix=parodontax+complete+protection%2Caps%2C96&amp;sr=8-4</t>
        </is>
      </c>
      <c r="L992" s="14" t="inlineStr">
        <is>
          <t>B09RQPBDL1</t>
        </is>
      </c>
      <c r="M992" s="15" t="n"/>
      <c r="N992" s="15" t="n"/>
      <c r="O992" s="15" t="n">
        <v>34.79</v>
      </c>
      <c r="P992" s="15">
        <f>O992/1.19</f>
        <v/>
      </c>
      <c r="Q992" s="15">
        <f>O992-P992</f>
        <v/>
      </c>
      <c r="R992" s="15">
        <f>O992*0.15</f>
        <v/>
      </c>
      <c r="S992" s="15" t="n">
        <v>12.72</v>
      </c>
      <c r="T992" s="15">
        <f>S992*0.2</f>
        <v/>
      </c>
      <c r="U992" s="15" t="n">
        <v>0.400000000000002</v>
      </c>
      <c r="V992" s="15" t="n">
        <v>9.300000000000001</v>
      </c>
      <c r="W992" s="15">
        <f>V992*0.2</f>
        <v/>
      </c>
      <c r="X992" s="21">
        <f>O992-Q992-R992-S992-U992-V992+T992+W992</f>
        <v/>
      </c>
      <c r="Y992" s="14" t="n"/>
      <c r="Z992" s="15">
        <f>O992+1.5</f>
        <v/>
      </c>
      <c r="AA992" s="15" t="n"/>
      <c r="AB992" s="15" t="n"/>
      <c r="AC992" s="14" t="n"/>
      <c r="AD992" s="14" t="n"/>
      <c r="AE992" s="13" t="inlineStr">
        <is>
          <t>NOT_UPLOADED</t>
        </is>
      </c>
    </row>
    <row r="993" ht="16" customHeight="1">
      <c r="A993" s="17" t="n"/>
      <c r="B993" s="17" t="n">
        <v>5054563040213</v>
      </c>
      <c r="C993" s="20" t="inlineStr">
        <is>
          <t>PACK X 2</t>
        </is>
      </c>
      <c r="D993" s="18" t="n"/>
      <c r="E993" s="18" t="inlineStr">
        <is>
          <t>AMPE-5054563040213</t>
        </is>
      </c>
      <c r="F993" s="17" t="n">
        <v>3401008</v>
      </c>
      <c r="G993" s="18" t="inlineStr">
        <is>
          <t>AMPEREL</t>
        </is>
      </c>
      <c r="H993" s="18" t="inlineStr">
        <is>
          <t>PARODONTAX</t>
        </is>
      </c>
      <c r="I993" s="18" t="inlineStr">
        <is>
          <t>Parodontax - Dentifrice Au Fluor Pate Duo 75Ml (X2) , 75 Ml (2Er Pack)</t>
        </is>
      </c>
      <c r="J993" s="18" t="inlineStr">
        <is>
          <t>No</t>
        </is>
      </c>
      <c r="K993" s="18" t="inlineStr">
        <is>
          <t>https://www.amazon.de/PARODONTAX-DENTIFRICE-FLUOR-Pate-75ml/dp/B07D2CRR3D/ref=sr_1_11?__mk_de_DE=%C3%85M%C3%85%C5%BD%C3%95%C3%91&amp;crid=6HPWOZ3XWLXS&amp;dib=eyJ2IjoiMSJ9.f_sS-0jukR63R8X4203whnq1wvrJWsz62moQuLDnUr8oh5wlSWzHyCSCSypzlprY5jwQtD3ta7IF69HuMUyy1XhBY-2n3ySUed2gzNYd1dUfdGMyHoJfaEvQQua2SaUZjSSJvYc-DQBhMgtFlY49Dv1EGOhwvgWaNSlbcJHRnaF2f_y0IxM86g4WebJ7nlelaJUCg_9OKBS2MuMa9Agl0LlwYUTuBmv2cjNF5pPIDF4RmE6x7glEax1axtUC6ViN4gG5Gf4sEUN8eQ8TILI-WvM4H28l3h1uflIgz0rKehM.BMqHEV9erK_SDSP2qEX5_2WuhYgHGaOBT4OABEyAT7w&amp;dib_tag=se&amp;keywords=parodontax+complete+protection&amp;qid=1760179984&amp;sprefix=parodontax+complete+protection%2Caps%2C96&amp;sr=8-11</t>
        </is>
      </c>
      <c r="L993" s="18" t="inlineStr">
        <is>
          <t>B07D2CRR3D</t>
        </is>
      </c>
      <c r="M993" s="19" t="n"/>
      <c r="N993" s="19" t="n"/>
      <c r="O993" s="19" t="n">
        <v>15.89</v>
      </c>
      <c r="P993" s="19">
        <f>O993/1.19</f>
        <v/>
      </c>
      <c r="Q993" s="19">
        <f>O993-P993</f>
        <v/>
      </c>
      <c r="R993" s="19">
        <f>O993*0.15</f>
        <v/>
      </c>
      <c r="S993" s="19" t="n">
        <v>6.36</v>
      </c>
      <c r="T993" s="19">
        <f>S993*0.2</f>
        <v/>
      </c>
      <c r="U993" s="19" t="n">
        <v>0.400000000000002</v>
      </c>
      <c r="V993" s="19" t="n">
        <v>4.21</v>
      </c>
      <c r="W993" s="19">
        <f>V993*0.2</f>
        <v/>
      </c>
      <c r="X993" s="21">
        <f>O993-Q993-R993-S993-U993-V993+T993+W993</f>
        <v/>
      </c>
      <c r="Y993" s="18" t="n"/>
      <c r="Z993" s="19">
        <f>O993+1.5</f>
        <v/>
      </c>
      <c r="AA993" s="19" t="n"/>
      <c r="AB993" s="19" t="n"/>
      <c r="AC993" s="18" t="n"/>
      <c r="AD993" s="18" t="n"/>
      <c r="AE993" s="13" t="inlineStr">
        <is>
          <t>NOT_UPLOADED</t>
        </is>
      </c>
    </row>
    <row r="994" ht="16" customHeight="1">
      <c r="A994" s="12" t="n">
        <v>5054563040213</v>
      </c>
      <c r="B994" s="12" t="n">
        <v>5054563040213</v>
      </c>
      <c r="C994" s="20" t="inlineStr">
        <is>
          <t>PACK X 4</t>
        </is>
      </c>
      <c r="D994" s="14" t="n"/>
      <c r="E994" s="14" t="inlineStr">
        <is>
          <t>AMP-50545630402134</t>
        </is>
      </c>
      <c r="F994" s="12" t="n">
        <v>3401008</v>
      </c>
      <c r="G994" s="14" t="inlineStr">
        <is>
          <t>AMPEREL</t>
        </is>
      </c>
      <c r="H994" s="14" t="inlineStr">
        <is>
          <t>PARODONTAX</t>
        </is>
      </c>
      <c r="I994" s="14" t="inlineStr">
        <is>
          <t>Parodontax Toothpaste Complete Protection, Pack of 4, 75 ml</t>
        </is>
      </c>
      <c r="J994" s="14" t="inlineStr">
        <is>
          <t>No</t>
        </is>
      </c>
      <c r="K994" s="14" t="inlineStr">
        <is>
          <t>https://www.amazon.de/Parodontax-Toothpaste-Complete-Protection-Pack/dp/B0F1TRKGYH/ref=sr_1_16?__mk_de_DE=%C3%85M%C3%85%C5%BD%C3%95%C3%91&amp;crid=6HPWOZ3XWLXS&amp;dib=eyJ2IjoiMSJ9.f_sS-0jukR63R8X4203whnq1wvrJWsz62moQuLDnUr8oh5wlSWzHyCSCSypzlprY5jwQtD3ta7IF69HuMUyy1XhBY-2n3ySUed2gzNYd1dUfdGMyHoJfaEvQQua2SaUZjSSJvYc-DQBhMgtFlY49Dv1EGOhwvgWaNSlbcJHRnaF2f_y0IxM86g4WebJ7nlelaJUCg_9OKBS2MuMa9Agl0LlwYUTuBmv2cjNF5pPIDF4RmE6x7glEax1axtUC6ViN4gG5Gf4sEUN8eQ8TILI-WvM4H28l3h1uflIgz0rKehM.BMqHEV9erK_SDSP2qEX5_2WuhYgHGaOBT4OABEyAT7w&amp;dib_tag=se&amp;keywords=parodontax+complete+protection&amp;qid=1760179984&amp;sprefix=parodontax+complete+protection%2Caps%2C96&amp;sr=8-16</t>
        </is>
      </c>
      <c r="L994" s="14" t="inlineStr">
        <is>
          <t>B0F1TRKGYH</t>
        </is>
      </c>
      <c r="M994" s="15" t="n"/>
      <c r="N994" s="15" t="n"/>
      <c r="O994" s="15" t="n">
        <v>34.79</v>
      </c>
      <c r="P994" s="15">
        <f>O994/1.19</f>
        <v/>
      </c>
      <c r="Q994" s="15">
        <f>O994-P994</f>
        <v/>
      </c>
      <c r="R994" s="15">
        <f>O994*0.15</f>
        <v/>
      </c>
      <c r="S994" s="15" t="n">
        <v>12.72</v>
      </c>
      <c r="T994" s="15">
        <f>S994*0.2</f>
        <v/>
      </c>
      <c r="U994" s="15" t="n">
        <v>0.400000000000002</v>
      </c>
      <c r="V994" s="15" t="n">
        <v>9.300000000000001</v>
      </c>
      <c r="W994" s="15">
        <f>V994*0.2</f>
        <v/>
      </c>
      <c r="X994" s="21">
        <f>O994-Q994-R994-S994-U994-V994+T994+W994</f>
        <v/>
      </c>
      <c r="Y994" s="14" t="n"/>
      <c r="Z994" s="15">
        <f>O994+1.5</f>
        <v/>
      </c>
      <c r="AA994" s="15" t="n"/>
      <c r="AB994" s="15" t="n"/>
      <c r="AC994" s="14" t="n"/>
      <c r="AD994" s="14" t="n"/>
      <c r="AE994" s="13" t="inlineStr">
        <is>
          <t>NOT_UPLOADED</t>
        </is>
      </c>
    </row>
    <row r="995" ht="16" customHeight="1">
      <c r="A995" s="17" t="n">
        <v>8431890092011</v>
      </c>
      <c r="B995" s="17" t="n">
        <v>5054563040213</v>
      </c>
      <c r="C995" s="20" t="inlineStr">
        <is>
          <t>PACK X 3</t>
        </is>
      </c>
      <c r="D995" s="18" t="n"/>
      <c r="E995" s="18" t="inlineStr">
        <is>
          <t>AMP-8431890092011</t>
        </is>
      </c>
      <c r="F995" s="17" t="n">
        <v>3401008</v>
      </c>
      <c r="G995" s="18" t="inlineStr">
        <is>
          <t>AMPEREL</t>
        </is>
      </c>
      <c r="H995" s="18" t="inlineStr">
        <is>
          <t>PARODONTAX</t>
        </is>
      </c>
      <c r="I995" s="18" t="inlineStr">
        <is>
          <t>Parodontax Complete Protection Extra Fresh, Zahnpasta mit Fluor, hilft Zahnfleischbluten zu stoppen und zu verhindern, 3 Stück x 75 ml</t>
        </is>
      </c>
      <c r="J995" s="18" t="inlineStr">
        <is>
          <t>No</t>
        </is>
      </c>
      <c r="K995" s="18" t="inlineStr">
        <is>
          <t>https://www.amazon.de/Parodontax-Protection-Zahnpasta-Zahnfleischbluten-verhindern/dp/B084K7J128/ref=sr_1_18?__mk_de_DE=%C3%85M%C3%85%C5%BD%C3%95%C3%91&amp;crid=6HPWOZ3XWLXS&amp;dib=eyJ2IjoiMSJ9.f_sS-0jukR63R8X4203whnq1wvrJWsz62moQuLDnUr8oh5wlSWzHyCSCSypzlprY5jwQtD3ta7IF69HuMUyy1XhBY-2n3ySUed2gzNYd1dUfdGMyHoJfaEvQQua2SaUZjSSJvYc-DQBhMgtFlY49Dv1EGOhwvgWaNSlbcJHRnaF2f_y0IxM86g4WebJ7nlelaJUCg_9OKBS2MuMa9Agl0LlwYUTuBmv2cjNF5pPIDF4RmE6x7glEax1axtUC6ViN4gG5Gf4sEUN8eQ8TILI-WvM4H28l3h1uflIgz0rKehM.BMqHEV9erK_SDSP2qEX5_2WuhYgHGaOBT4OABEyAT7w&amp;dib_tag=se&amp;keywords=parodontax+complete+protection&amp;qid=1760179984&amp;sprefix=parodontax+complete+protection%2Caps%2C96&amp;sr=8-18</t>
        </is>
      </c>
      <c r="L995" s="18" t="inlineStr">
        <is>
          <t>B084K7J128</t>
        </is>
      </c>
      <c r="M995" s="19" t="n"/>
      <c r="N995" s="19" t="n"/>
      <c r="O995" s="19" t="n">
        <v>26.79</v>
      </c>
      <c r="P995" s="19">
        <f>O995/1.19</f>
        <v/>
      </c>
      <c r="Q995" s="19">
        <f>O995-P995</f>
        <v/>
      </c>
      <c r="R995" s="19">
        <f>O995*0.15</f>
        <v/>
      </c>
      <c r="S995" s="19" t="n">
        <v>9.550000000000001</v>
      </c>
      <c r="T995" s="19">
        <f>S995*0.2</f>
        <v/>
      </c>
      <c r="U995" s="19" t="n">
        <v>0.400000000000002</v>
      </c>
      <c r="V995" s="19" t="n">
        <v>8.199999999999999</v>
      </c>
      <c r="W995" s="19">
        <f>V995*0.2</f>
        <v/>
      </c>
      <c r="X995" s="21">
        <f>O995-Q995-R995-S995-U995-V995+T995+W995</f>
        <v/>
      </c>
      <c r="Y995" s="18" t="n"/>
      <c r="Z995" s="19">
        <f>O995+1.5</f>
        <v/>
      </c>
      <c r="AA995" s="19" t="n"/>
      <c r="AB995" s="19" t="n"/>
      <c r="AC995" s="18" t="n"/>
      <c r="AD995" s="18" t="n"/>
      <c r="AE995" s="13" t="inlineStr">
        <is>
          <t>NOT_UPLOADED</t>
        </is>
      </c>
    </row>
    <row r="996" ht="16" customHeight="1">
      <c r="A996" s="12" t="n">
        <v>8431890090109</v>
      </c>
      <c r="B996" s="12" t="n">
        <v>5054563040213</v>
      </c>
      <c r="C996" s="20" t="inlineStr">
        <is>
          <t>PACK X 2</t>
        </is>
      </c>
      <c r="D996" s="14" t="n"/>
      <c r="E996" s="14" t="inlineStr">
        <is>
          <t>AMP-8431890090109</t>
        </is>
      </c>
      <c r="F996" s="12" t="n">
        <v>3401008</v>
      </c>
      <c r="G996" s="14" t="inlineStr">
        <is>
          <t>AMPEREL</t>
        </is>
      </c>
      <c r="H996" s="14" t="inlineStr">
        <is>
          <t>PARODONTAX</t>
        </is>
      </c>
      <c r="I996" s="14" t="inlineStr">
        <is>
          <t>Duplo Parodontax Complete Protec 75G</t>
        </is>
      </c>
      <c r="J996" s="14" t="inlineStr">
        <is>
          <t>No</t>
        </is>
      </c>
      <c r="K996" s="14" t="inlineStr">
        <is>
          <t>https://www.amazon.de/Parodontax-Complete-Protection-Toothpaste-2x75ml/dp/B07YBHZH43/ref=sr_1_24?__mk_de_DE=%C3%85M%C3%85%C5%BD%C3%95%C3%91&amp;crid=6HPWOZ3XWLXS&amp;dib=eyJ2IjoiMSJ9.f_sS-0jukR63R8X4203whnq1wvrJWsz62moQuLDnUr8oh5wlSWzHyCSCSypzlprY5jwQtD3ta7IF69HuMUyy1XhBY-2n3ySUed2gzNYd1dUfdGMyHoJfaEvQQua2SaUZjSSJvYc-DQBhMgtFlY49Dv1EGOhwvgWaNSlbcJHRnaF2f_y0IxM86g4WebJ7nlelaJUCg_9OKBS2MuMa9Agl0LlwYUTuBmv2cjNF5pPIDF4RmE6x7glEax1axtUC6ViN4gG5Gf4sEUN8eQ8TILI-WvM4H28l3h1uflIgz0rKehM.BMqHEV9erK_SDSP2qEX5_2WuhYgHGaOBT4OABEyAT7w&amp;dib_tag=se&amp;keywords=parodontax+complete+protection&amp;qid=1760179984&amp;sprefix=parodontax+complete+protection%2Caps%2C96&amp;sr=8-24</t>
        </is>
      </c>
      <c r="L996" s="14" t="inlineStr">
        <is>
          <t>B07YBHZH43</t>
        </is>
      </c>
      <c r="M996" s="15" t="n"/>
      <c r="N996" s="15" t="n"/>
      <c r="O996" s="15" t="n">
        <v>16.39</v>
      </c>
      <c r="P996" s="15">
        <f>O996/1.19</f>
        <v/>
      </c>
      <c r="Q996" s="15">
        <f>O996-P996</f>
        <v/>
      </c>
      <c r="R996" s="15">
        <f>O996*0.15</f>
        <v/>
      </c>
      <c r="S996" s="15" t="n">
        <v>6.36</v>
      </c>
      <c r="T996" s="15">
        <f>S996*0.2</f>
        <v/>
      </c>
      <c r="U996" s="15" t="n">
        <v>0.400000000000002</v>
      </c>
      <c r="V996" s="15" t="n">
        <v>4.21</v>
      </c>
      <c r="W996" s="15">
        <f>V996*0.2</f>
        <v/>
      </c>
      <c r="X996" s="21">
        <f>O996-Q996-R996-S996-U996-V996+T996+W996</f>
        <v/>
      </c>
      <c r="Y996" s="14" t="n"/>
      <c r="Z996" s="15">
        <f>O996+1.5</f>
        <v/>
      </c>
      <c r="AA996" s="15" t="n"/>
      <c r="AB996" s="15" t="n"/>
      <c r="AC996" s="14" t="n"/>
      <c r="AD996" s="14" t="n"/>
      <c r="AE996" s="13" t="inlineStr">
        <is>
          <t>NOT_UPLOADED</t>
        </is>
      </c>
    </row>
    <row r="997" ht="16" customHeight="1">
      <c r="A997" s="17" t="n"/>
      <c r="B997" s="17" t="n">
        <v>5054563040213</v>
      </c>
      <c r="C997" s="13" t="n"/>
      <c r="D997" s="18" t="n"/>
      <c r="E997" s="18" t="inlineStr">
        <is>
          <t>A-5054563040213</t>
        </is>
      </c>
      <c r="F997" s="17" t="n">
        <v>3401008</v>
      </c>
      <c r="G997" s="18" t="inlineStr">
        <is>
          <t>AMPEREL</t>
        </is>
      </c>
      <c r="H997" s="18" t="inlineStr">
        <is>
          <t>PARODONTAX</t>
        </is>
      </c>
      <c r="I997" s="18" t="inlineStr">
        <is>
          <t>Parodontax Zahnpasta Complete Protection Extra Fresh, 8 Vorteile, gegen gelegentliche Zahnfleischblutungen, 75 ml</t>
        </is>
      </c>
      <c r="J997" s="18" t="inlineStr">
        <is>
          <t>No</t>
        </is>
      </c>
      <c r="K997" s="18" t="inlineStr">
        <is>
          <t>https://www.amazon.de/PARODONTAX-Zahnpasta-Complete-Protection-Extra/dp/B0B59T5R1T/ref=sr_1_33?__mk_de_DE=%C3%85M%C3%85%C5%BD%C3%95%C3%91&amp;crid=6HPWOZ3XWLXS&amp;dib=eyJ2IjoiMSJ9.f_sS-0jukR63R8X4203whnq1wvrJWsz62moQuLDnUr8oh5wlSWzHyCSCSypzlprY5jwQtD3ta7IF69HuMUyy1XhBY-2n3ySUed2gzNYd1dUfdGMyHoJfaEvQQua2SaUZjSSJvYc-DQBhMgtFlY49Dv1EGOhwvgWaNSlbcJHRnaF2f_y0IxM86g4WebJ7nlelaJUCg_9OKBS2MuMa9Agl0LlwYUTuBmv2cjNF5pPIDF4RmE6x7glEax1axtUC6ViN4gG5Gf4sEUN8eQ8TILI-WvM4H28l3h1uflIgz0rKehM.BMqHEV9erK_SDSP2qEX5_2WuhYgHGaOBT4OABEyAT7w&amp;dib_tag=se&amp;keywords=parodontax+complete+protection&amp;qid=1760179984&amp;sprefix=parodontax+complete+protection%2Caps%2C96&amp;sr=8-33</t>
        </is>
      </c>
      <c r="L997" s="18" t="inlineStr">
        <is>
          <t>B0B59T5R1T</t>
        </is>
      </c>
      <c r="M997" s="19" t="n"/>
      <c r="N997" s="19" t="n"/>
      <c r="O997" s="19" t="n">
        <v>10.99</v>
      </c>
      <c r="P997" s="19">
        <f>O997/1.19</f>
        <v/>
      </c>
      <c r="Q997" s="19">
        <f>O997-P997</f>
        <v/>
      </c>
      <c r="R997" s="19">
        <f>O997*0.15</f>
        <v/>
      </c>
      <c r="S997" s="19" t="n">
        <v>3.18</v>
      </c>
      <c r="T997" s="19">
        <f>S997*0.2</f>
        <v/>
      </c>
      <c r="U997" s="19" t="n">
        <v>0.400000000000002</v>
      </c>
      <c r="V997" s="19" t="n">
        <v>2.9</v>
      </c>
      <c r="W997" s="19">
        <f>V997*0.2</f>
        <v/>
      </c>
      <c r="X997" s="21">
        <f>O997-Q997-R997-S997-U997-V997+T997+W997</f>
        <v/>
      </c>
      <c r="Y997" s="18" t="n"/>
      <c r="Z997" s="19">
        <f>O997+1.5</f>
        <v/>
      </c>
      <c r="AA997" s="19" t="n"/>
      <c r="AB997" s="19" t="n"/>
      <c r="AC997" s="18" t="n"/>
      <c r="AD997" s="18" t="n"/>
      <c r="AE997" s="13" t="inlineStr">
        <is>
          <t>NOT_UPLOADED</t>
        </is>
      </c>
    </row>
    <row r="998" ht="16" customHeight="1">
      <c r="A998" s="12" t="n"/>
      <c r="B998" s="12" t="n">
        <v>5054563040213</v>
      </c>
      <c r="C998" s="13" t="n"/>
      <c r="D998" s="14" t="n"/>
      <c r="E998" s="14" t="inlineStr">
        <is>
          <t>PA-5054563040213</t>
        </is>
      </c>
      <c r="F998" s="12" t="n">
        <v>3401008</v>
      </c>
      <c r="G998" s="14" t="inlineStr">
        <is>
          <t>AMPEREL</t>
        </is>
      </c>
      <c r="H998" s="14" t="inlineStr">
        <is>
          <t>PARODONTAX</t>
        </is>
      </c>
      <c r="I998" s="14" t="inlineStr">
        <is>
          <t>Parodontax Zahnpaste - 1 Packung à 75 ml</t>
        </is>
      </c>
      <c r="J998" s="14" t="inlineStr">
        <is>
          <t>No</t>
        </is>
      </c>
      <c r="K998" s="14" t="inlineStr">
        <is>
          <t>https://www.amazon.de/Parodontax-Zahnpaste-Packung-%C3%A0-75/dp/B079QDQ1G3/ref=sr_1_48?__mk_de_DE=%C3%85M%C3%85%C5%BD%C3%95%C3%91&amp;crid=6HPWOZ3XWLXS&amp;dib=eyJ2IjoiMSJ9.f_sS-0jukR63R8X4203whnq1wvrJWsz62moQuLDnUr8oh5wlSWzHyCSCSypzlprY5jwQtD3ta7IF69HuMUyy1XhBY-2n3ySUed2gzNYd1dUfdGMyHoJfaEvQQua2SaUZjSSJvYc-DQBhMgtFlY49Dv1EGOhwvgWaNSlbcJHRnaF2f_y0IxM86g4WebJ7nlelaJUCg_9OKBS2MuMa9Agl0LlwYUTuBmv2cjNF5pPIDF4RmE6x7glEax1axtUC6ViN4gG5Gf4sEUN8eQ8TILI-WvM4H28l3h1uflIgz0rKehM.BMqHEV9erK_SDSP2qEX5_2WuhYgHGaOBT4OABEyAT7w&amp;dib_tag=se&amp;keywords=parodontax+complete+protection&amp;qid=1760179984&amp;sprefix=parodontax+complete+protection%2Caps%2C96&amp;sr=8-48</t>
        </is>
      </c>
      <c r="L998" s="14" t="inlineStr">
        <is>
          <t>B079QDQ1G3</t>
        </is>
      </c>
      <c r="M998" s="15" t="n"/>
      <c r="N998" s="15" t="n"/>
      <c r="O998" s="15" t="n">
        <v>11.41</v>
      </c>
      <c r="P998" s="15">
        <f>O998/1.19</f>
        <v/>
      </c>
      <c r="Q998" s="15">
        <f>O998-P998</f>
        <v/>
      </c>
      <c r="R998" s="15">
        <f>O998*0.15</f>
        <v/>
      </c>
      <c r="S998" s="15" t="n">
        <v>3.18</v>
      </c>
      <c r="T998" s="15">
        <f>S998*0.2</f>
        <v/>
      </c>
      <c r="U998" s="15" t="n">
        <v>0.400000000000002</v>
      </c>
      <c r="V998" s="15" t="n">
        <v>2.9</v>
      </c>
      <c r="W998" s="15">
        <f>V998*0.2</f>
        <v/>
      </c>
      <c r="X998" s="21">
        <f>O998-Q998-R998-S998-U998-V998+T998+W998</f>
        <v/>
      </c>
      <c r="Y998" s="14" t="n"/>
      <c r="Z998" s="15">
        <f>O998+1.5</f>
        <v/>
      </c>
      <c r="AA998" s="15" t="n"/>
      <c r="AB998" s="15" t="n"/>
      <c r="AC998" s="14" t="n"/>
      <c r="AD998" s="14" t="n"/>
      <c r="AE998" s="13" t="inlineStr">
        <is>
          <t>NOT_UPLOADED</t>
        </is>
      </c>
    </row>
    <row r="999" ht="16" customHeight="1">
      <c r="A999" s="17" t="n"/>
      <c r="B999" s="17" t="n">
        <v>5054563039002</v>
      </c>
      <c r="C999" s="20" t="inlineStr">
        <is>
          <t>PACK X 3</t>
        </is>
      </c>
      <c r="D999" s="18" t="n"/>
      <c r="E999" s="18" t="inlineStr">
        <is>
          <t>AMP-5054563039002</t>
        </is>
      </c>
      <c r="F999" s="17" t="n">
        <v>3401009</v>
      </c>
      <c r="G999" s="18" t="inlineStr">
        <is>
          <t>AMPEREL</t>
        </is>
      </c>
      <c r="H999" s="18" t="inlineStr">
        <is>
          <t>PARODONTAX</t>
        </is>
      </c>
      <c r="I999" s="18" t="inlineStr">
        <is>
          <t>Parodontax Complete Protection Whitening Zahnpasta, 3x 75ml, Zahncreme Bei Zahnfleischproblemen</t>
        </is>
      </c>
      <c r="J999" s="18" t="inlineStr">
        <is>
          <t>No</t>
        </is>
      </c>
      <c r="K999" s="18" t="inlineStr">
        <is>
          <t>https://www.amazon.de/Parodontax-Protection-Whitening-Zahnpasta-Zahnfleischproblemen/dp/B0C5MBBVJK/ref=sr_1_2?__mk_de_DE=%C3%85M%C3%85%C5%BD%C3%95%C3%91&amp;crid=6HPWOZ3XWLXS&amp;dib=eyJ2IjoiMSJ9.f_sS-0jukR63R8X4203whnq1wvrJWsz62moQuLDnUr8oh5wlSWzHyCSCSypzlprYVQ7b4JUt-OKL6u7yOjhIyksHgL6AagDM04bIjHOmCncfdGMyHoJfaEvQQua2SaUZjSSJvYc-DQBhMgtFlY49Dv1EGOhwvgWaNSlbcJHRnaF2f_y0IxM86g4WebJ7nlelaJUCg_9OKBS2MuMa9Agl0LlwYUTuBmv2cjNF5pPIDF4RmE6x7glEax1axtUC6ViN4gG5Gf4sEUN8eQ8TILI-WvM4H28l3h1uflIgz0rKehM.iG1Kh-Hbq6940yUzViVetaKa3bliZ9rvte0rh4g4Y0U&amp;dib_tag=se&amp;keywords=parodontax%2Bcomplete%2Bprotection&amp;qid=1760197091&amp;rdc=1&amp;sprefix=parodontax%2Bcomplete%2Bprotection%2Caps%2C96&amp;sr=8-2&amp;xpid=h8Ik8IaB4IY0Q&amp;th=1</t>
        </is>
      </c>
      <c r="L999" s="18" t="inlineStr">
        <is>
          <t>B0C5MBBVJK</t>
        </is>
      </c>
      <c r="M999" s="19" t="n"/>
      <c r="N999" s="19" t="n"/>
      <c r="O999" s="19" t="n">
        <v>26.79</v>
      </c>
      <c r="P999" s="19">
        <f>O999/1.19</f>
        <v/>
      </c>
      <c r="Q999" s="19">
        <f>O999-P999</f>
        <v/>
      </c>
      <c r="R999" s="19">
        <f>O999*0.15</f>
        <v/>
      </c>
      <c r="S999" s="19" t="n">
        <v>9.57</v>
      </c>
      <c r="T999" s="19">
        <f>S999*0.2</f>
        <v/>
      </c>
      <c r="U999" s="19" t="n">
        <v>0.400000000000002</v>
      </c>
      <c r="V999" s="19" t="n">
        <v>8.199999999999999</v>
      </c>
      <c r="W999" s="19">
        <f>V999*0.2</f>
        <v/>
      </c>
      <c r="X999" s="21">
        <f>O999-Q999-R999-S999-U999-V999+T999+W999</f>
        <v/>
      </c>
      <c r="Y999" s="18" t="n"/>
      <c r="Z999" s="19">
        <f>O999+1.5</f>
        <v/>
      </c>
      <c r="AA999" s="19" t="n"/>
      <c r="AB999" s="19" t="n"/>
      <c r="AC999" s="18" t="n"/>
      <c r="AD999" s="18" t="n"/>
      <c r="AE999" s="13" t="inlineStr">
        <is>
          <t>NOT_UPLOADED</t>
        </is>
      </c>
    </row>
    <row r="1000" ht="16" customHeight="1">
      <c r="A1000" s="12" t="n"/>
      <c r="B1000" s="12" t="n">
        <v>5054563039002</v>
      </c>
      <c r="C1000" s="13" t="n"/>
      <c r="D1000" s="14" t="n"/>
      <c r="E1000" s="14" t="inlineStr">
        <is>
          <t>AM-5054563039002</t>
        </is>
      </c>
      <c r="F1000" s="12" t="n">
        <v>3401009</v>
      </c>
      <c r="G1000" s="14" t="inlineStr">
        <is>
          <t>AMPEREL</t>
        </is>
      </c>
      <c r="H1000" s="14" t="inlineStr">
        <is>
          <t>PARODONTAX</t>
        </is>
      </c>
      <c r="I1000" s="14" t="inlineStr">
        <is>
          <t>Parodontax Complete Protection Whitening Zahnpasta, 1x 75ml, Zahncreme bei Zahnfleischproblemen</t>
        </is>
      </c>
      <c r="J1000" s="14" t="inlineStr">
        <is>
          <t>No</t>
        </is>
      </c>
      <c r="K1000" s="14" t="inlineStr">
        <is>
          <t>https://www.amazon.de/Parodontax-Zahnpasta-Protection-Zahnfleischproblemen-Whitening/dp/B0BTML1BDL/ref=sr_1_3?__mk_de_DE=%C3%85M%C3%85%C5%BD%C3%95%C3%91&amp;crid=6HPWOZ3XWLXS&amp;dib=eyJ2IjoiMSJ9.f_sS-0jukR63R8X4203whnq1wvrJWsz62moQuLDnUr8oh5wlSWzHyCSCSypzlprYVQ7b4JUt-OKL6u7yOjhIyksHgL6AagDM04bIjHOmCncfdGMyHoJfaEvQQua2SaUZjSSJvYc-DQBhMgtFlY49Dv1EGOhwvgWaNSlbcJHRnaF2f_y0IxM86g4WebJ7nlelaJUCg_9OKBS2MuMa9Agl0LlwYUTuBmv2cjNF5pPIDF4RmE6x7glEax1axtUC6ViN4gG5Gf4sEUN8eQ8TILI-WvM4H28l3h1uflIgz0rKehM.iG1Kh-Hbq6940yUzViVetaKa3bliZ9rvte0rh4g4Y0U&amp;dib_tag=se&amp;keywords=parodontax%2Bcomplete%2Bprotection&amp;qid=1760197091&amp;rdc=1&amp;sprefix=parodontax%2Bcomplete%2Bprotection%2Caps%2C96&amp;sr=8-3&amp;xpid=h8Ik8IaB4IY0Q&amp;th=1</t>
        </is>
      </c>
      <c r="L1000" s="14" t="inlineStr">
        <is>
          <t>B0BTML1BDL</t>
        </is>
      </c>
      <c r="M1000" s="15" t="n"/>
      <c r="N1000" s="15" t="n"/>
      <c r="O1000" s="15" t="n">
        <v>10.9</v>
      </c>
      <c r="P1000" s="15">
        <f>O1000/1.19</f>
        <v/>
      </c>
      <c r="Q1000" s="15">
        <f>O1000-P1000</f>
        <v/>
      </c>
      <c r="R1000" s="15">
        <f>O1000*0.15</f>
        <v/>
      </c>
      <c r="S1000" s="15" t="n">
        <v>3.19</v>
      </c>
      <c r="T1000" s="15">
        <f>S1000*0.2</f>
        <v/>
      </c>
      <c r="U1000" s="15" t="n">
        <v>0.400000000000002</v>
      </c>
      <c r="V1000" s="15" t="n">
        <v>2.9</v>
      </c>
      <c r="W1000" s="15">
        <f>V1000*0.2</f>
        <v/>
      </c>
      <c r="X1000" s="21">
        <f>O1000-Q1000-R1000-S1000-U1000-V1000+T1000+W1000</f>
        <v/>
      </c>
      <c r="Y1000" s="14" t="n"/>
      <c r="Z1000" s="15">
        <f>O1000+1.5</f>
        <v/>
      </c>
      <c r="AA1000" s="15" t="n"/>
      <c r="AB1000" s="15" t="n"/>
      <c r="AC1000" s="14" t="n"/>
      <c r="AD1000" s="14" t="n"/>
      <c r="AE1000" s="13" t="inlineStr">
        <is>
          <t>NOT_UPLOADED</t>
        </is>
      </c>
    </row>
    <row r="1001" ht="16" customHeight="1">
      <c r="A1001" s="17" t="n"/>
      <c r="B1001" s="17" t="n">
        <v>5054563039002</v>
      </c>
      <c r="C1001" s="20" t="inlineStr">
        <is>
          <t>PACK X 4</t>
        </is>
      </c>
      <c r="D1001" s="18" t="n"/>
      <c r="E1001" s="18" t="inlineStr">
        <is>
          <t>A-5054563039002</t>
        </is>
      </c>
      <c r="F1001" s="17" t="n">
        <v>3401009</v>
      </c>
      <c r="G1001" s="18" t="inlineStr">
        <is>
          <t>AMPEREL</t>
        </is>
      </c>
      <c r="H1001" s="18" t="inlineStr">
        <is>
          <t>PARODONTAX</t>
        </is>
      </c>
      <c r="I1001" s="18" t="inlineStr">
        <is>
          <t>Parodontax Whitening Complete Protection-Zahnpasta, 8 Vorteile, gegen Zahnstein und gegen gelegentliche Zahnfleischbluten, 4 x 75 ml</t>
        </is>
      </c>
      <c r="J1001" s="18" t="inlineStr">
        <is>
          <t>No</t>
        </is>
      </c>
      <c r="K1001" s="18" t="inlineStr">
        <is>
          <t>https://www.amazon.de/Parodontax-Zahnpasta-Protection-gelegentliche-Zahnfleischbluten/dp/B09BCRVJQ8/ref=sr_1_8?__mk_de_DE=%C3%85M%C3%85%C5%BD%C3%95%C3%91&amp;crid=6HPWOZ3XWLXS&amp;dib=eyJ2IjoiMSJ9.f_sS-0jukR63R8X4203whnq1wvrJWsz62moQuLDnUr8oh5wlSWzHyCSCSypzlprYVQ7b4JUt-OKL6u7yOjhIyksHgL6AagDM04bIjHOmCncfdGMyHoJfaEvQQua2SaUZjSSJvYc-DQBhMgtFlY49Dv1EGOhwvgWaNSlbcJHRnaF2f_y0IxM86g4WebJ7nlelaJUCg_9OKBS2MuMa9Agl0LlwYUTuBmv2cjNF5pPIDF4RmE6x7glEax1axtUC6ViN4gG5Gf4sEUN8eQ8TILI-WvM4H28l3h1uflIgz0rKehM.iG1Kh-Hbq6940yUzViVetaKa3bliZ9rvte0rh4g4Y0U&amp;dib_tag=se&amp;keywords=parodontax+complete+protection&amp;qid=1760197091&amp;sprefix=parodontax+complete+protection%2Caps%2C96&amp;sr=8-8&amp;xpid=h8Ik8IaB4IY0Q</t>
        </is>
      </c>
      <c r="L1001" s="18" t="inlineStr">
        <is>
          <t>B09BCRVJQ8</t>
        </is>
      </c>
      <c r="M1001" s="19" t="n"/>
      <c r="N1001" s="19" t="n"/>
      <c r="O1001" s="19" t="n">
        <v>34.79</v>
      </c>
      <c r="P1001" s="19">
        <f>O1001/1.19</f>
        <v/>
      </c>
      <c r="Q1001" s="19">
        <f>O1001-P1001</f>
        <v/>
      </c>
      <c r="R1001" s="19">
        <f>O1001*0.15</f>
        <v/>
      </c>
      <c r="S1001" s="19" t="n">
        <v>12.76</v>
      </c>
      <c r="T1001" s="19">
        <f>S1001*0.2</f>
        <v/>
      </c>
      <c r="U1001" s="19" t="n">
        <v>0.400000000000002</v>
      </c>
      <c r="V1001" s="19" t="n">
        <v>9.300000000000001</v>
      </c>
      <c r="W1001" s="19">
        <f>V1001*0.2</f>
        <v/>
      </c>
      <c r="X1001" s="21">
        <f>O1001-Q1001-R1001-S1001-U1001-V1001+T1001+W1001</f>
        <v/>
      </c>
      <c r="Y1001" s="18" t="n"/>
      <c r="Z1001" s="19">
        <f>O1001+1.5</f>
        <v/>
      </c>
      <c r="AA1001" s="19" t="n"/>
      <c r="AB1001" s="19" t="n"/>
      <c r="AC1001" s="18" t="n"/>
      <c r="AD1001" s="18" t="n"/>
      <c r="AE1001" s="13" t="inlineStr">
        <is>
          <t>NOT_UPLOADED</t>
        </is>
      </c>
    </row>
    <row r="1002" ht="16" customHeight="1">
      <c r="A1002" s="12" t="n"/>
      <c r="B1002" s="12" t="n">
        <v>5054563039002</v>
      </c>
      <c r="C1002" s="20" t="inlineStr">
        <is>
          <t>PACK X 3</t>
        </is>
      </c>
      <c r="D1002" s="14" t="n"/>
      <c r="E1002" s="14" t="inlineStr">
        <is>
          <t>PA-5054563039002</t>
        </is>
      </c>
      <c r="F1002" s="12" t="n">
        <v>3401009</v>
      </c>
      <c r="G1002" s="14" t="inlineStr">
        <is>
          <t>AMPEREL</t>
        </is>
      </c>
      <c r="H1002" s="14" t="inlineStr">
        <is>
          <t>PARODONTAX</t>
        </is>
      </c>
      <c r="I1002" s="14" t="inlineStr">
        <is>
          <t>Parodontax Complete Protection Whitening Toothpaste 75 ml/Pack of 3/</t>
        </is>
      </c>
      <c r="J1002" s="14" t="inlineStr">
        <is>
          <t>No</t>
        </is>
      </c>
      <c r="K1002" s="14" t="inlineStr">
        <is>
          <t>https://www.amazon.de/Parodontax-Complete-Protection-Whitening-Toothpaste/dp/B07KYS45LW/ref=sr_1_15?__mk_de_DE=%C3%85M%C3%85%C5%BD%C3%95%C3%91&amp;crid=6HPWOZ3XWLXS&amp;dib=eyJ2IjoiMSJ9.f_sS-0jukR63R8X4203whnq1wvrJWsz62moQuLDnUr8oh5wlSWzHyCSCSypzlprYVQ7b4JUt-OKL6u7yOjhIyksHgL6AagDM04bIjHOmCncfdGMyHoJfaEvQQua2SaUZjSSJvYc-DQBhMgtFlY49Dv1EGOhwvgWaNSlbcJHRnaF2f_y0IxM86g4WebJ7nlelaJUCg_9OKBS2MuMa9Agl0LlwYUTuBmv2cjNF5pPIDF4RmE6x7glEax1axtUC6ViN4gG5Gf4sEUN8eQ8TILI-WvM4H28l3h1uflIgz0rKehM.iG1Kh-Hbq6940yUzViVetaKa3bliZ9rvte0rh4g4Y0U&amp;dib_tag=se&amp;keywords=parodontax+complete+protection&amp;qid=1760197091&amp;sprefix=parodontax+complete+protection%2Caps%2C96&amp;sr=8-15&amp;xpid=h8Ik8IaB4IY0Q</t>
        </is>
      </c>
      <c r="L1002" s="14" t="inlineStr">
        <is>
          <t>B07KYS45LW</t>
        </is>
      </c>
      <c r="M1002" s="15" t="n"/>
      <c r="N1002" s="15" t="n"/>
      <c r="O1002" s="15" t="n">
        <v>26.17</v>
      </c>
      <c r="P1002" s="15">
        <f>O1002/1.19</f>
        <v/>
      </c>
      <c r="Q1002" s="15">
        <f>O1002-P1002</f>
        <v/>
      </c>
      <c r="R1002" s="15">
        <f>O1002*0.15</f>
        <v/>
      </c>
      <c r="S1002" s="15" t="n">
        <v>9.57</v>
      </c>
      <c r="T1002" s="15">
        <f>S1002*0.2</f>
        <v/>
      </c>
      <c r="U1002" s="15" t="n">
        <v>0.400000000000002</v>
      </c>
      <c r="V1002" s="15" t="n">
        <v>8.199999999999999</v>
      </c>
      <c r="W1002" s="15">
        <f>V1002*0.2</f>
        <v/>
      </c>
      <c r="X1002" s="21">
        <f>O1002-Q1002-R1002-S1002-U1002-V1002+T1002+W1002</f>
        <v/>
      </c>
      <c r="Y1002" s="14" t="n"/>
      <c r="Z1002" s="15">
        <f>O1002+1.5</f>
        <v/>
      </c>
      <c r="AA1002" s="15" t="n"/>
      <c r="AB1002" s="15" t="n"/>
      <c r="AC1002" s="14" t="n"/>
      <c r="AD1002" s="14" t="n"/>
      <c r="AE1002" s="13" t="inlineStr">
        <is>
          <t>NOT_UPLOADED</t>
        </is>
      </c>
    </row>
    <row r="1003" ht="16" customHeight="1">
      <c r="A1003" s="17" t="n"/>
      <c r="B1003" s="17" t="n">
        <v>5054563039002</v>
      </c>
      <c r="C1003" s="13" t="n"/>
      <c r="D1003" s="18" t="n"/>
      <c r="E1003" s="18" t="inlineStr">
        <is>
          <t>PAR-5054563039002</t>
        </is>
      </c>
      <c r="F1003" s="17" t="n">
        <v>3401009</v>
      </c>
      <c r="G1003" s="18" t="inlineStr">
        <is>
          <t>AMPEREL</t>
        </is>
      </c>
      <c r="H1003" s="18" t="inlineStr">
        <is>
          <t>PARODONTAX</t>
        </is>
      </c>
      <c r="I1003" s="18" t="inlineStr">
        <is>
          <t>Parodontax Complete Protection Whitening Zahnpasta, 1x75ml, hilft Zahnfleischbluten zu reduzieren und vorzubeugen</t>
        </is>
      </c>
      <c r="J1003" s="18" t="inlineStr">
        <is>
          <t>No</t>
        </is>
      </c>
      <c r="K1003" s="18" t="inlineStr">
        <is>
          <t>https://www.amazon.de/Parodontax-Protection-Zahnfleischbluten-reduzieren-vorzubeugen/dp/B088CL2KTZ/ref=sr_1_30?__mk_de_DE=%C3%85M%C3%85%C5%BD%C3%95%C3%91&amp;crid=6HPWOZ3XWLXS&amp;dib=eyJ2IjoiMSJ9.f_sS-0jukR63R8X4203whnq1wvrJWsz62moQuLDnUr8oh5wlSWzHyCSCSypzlprYVQ7b4JUt-OKL6u7yOjhIyksHgL6AagDM04bIjHOmCncfdGMyHoJfaEvQQua2SaUZjSSJvYc-DQBhMgtFlY49Dv1EGOhwvgWaNSlbcJHRnaF2f_y0IxM86g4WebJ7nlelaJUCg_9OKBS2MuMa9Agl0LlwYUTuBmv2cjNF5pPIDF4RmE6x7glEax1axtUC6ViN4gG5Gf4sEUN8eQ8TILI-WvM4H28l3h1uflIgz0rKehM.iG1Kh-Hbq6940yUzViVetaKa3bliZ9rvte0rh4g4Y0U&amp;dib_tag=se&amp;keywords=parodontax%2Bcomplete%2Bprotection&amp;qid=1760197091&amp;sprefix=parodontax%2Bcomplete%2Bprotection%2Caps%2C96&amp;sr=8-30&amp;xpid=h8Ik8IaB4IY0Q&amp;th=1</t>
        </is>
      </c>
      <c r="L1003" s="18" t="inlineStr">
        <is>
          <t>B088CL2KTZ</t>
        </is>
      </c>
      <c r="M1003" s="19" t="n"/>
      <c r="N1003" s="19" t="n"/>
      <c r="O1003" s="19" t="n">
        <v>10.9</v>
      </c>
      <c r="P1003" s="19">
        <f>O1003/1.19</f>
        <v/>
      </c>
      <c r="Q1003" s="19">
        <f>O1003-P1003</f>
        <v/>
      </c>
      <c r="R1003" s="19">
        <f>O1003*0.15</f>
        <v/>
      </c>
      <c r="S1003" s="19" t="n">
        <v>3.19</v>
      </c>
      <c r="T1003" s="19">
        <f>S1003*0.2</f>
        <v/>
      </c>
      <c r="U1003" s="19" t="n">
        <v>0.400000000000002</v>
      </c>
      <c r="V1003" s="19" t="n">
        <v>2.9</v>
      </c>
      <c r="W1003" s="19">
        <f>V1003*0.2</f>
        <v/>
      </c>
      <c r="X1003" s="21">
        <f>O1003-Q1003-R1003-S1003-U1003-V1003+T1003+W1003</f>
        <v/>
      </c>
      <c r="Y1003" s="18" t="n"/>
      <c r="Z1003" s="19">
        <f>O1003+1.5</f>
        <v/>
      </c>
      <c r="AA1003" s="19" t="n"/>
      <c r="AB1003" s="19" t="n"/>
      <c r="AC1003" s="18" t="n"/>
      <c r="AD1003" s="18" t="n"/>
      <c r="AE1003" s="13" t="inlineStr">
        <is>
          <t>NOT_UPLOADED</t>
        </is>
      </c>
    </row>
    <row r="1004" ht="16" customHeight="1">
      <c r="A1004" s="12" t="n"/>
      <c r="B1004" s="12" t="n">
        <v>5054563065711</v>
      </c>
      <c r="C1004" s="20" t="inlineStr">
        <is>
          <t>PACK X 12</t>
        </is>
      </c>
      <c r="D1004" s="14" t="n"/>
      <c r="E1004" s="14" t="inlineStr">
        <is>
          <t>AMP-5054563065711</t>
        </is>
      </c>
      <c r="F1004" s="12" t="n">
        <v>3402006</v>
      </c>
      <c r="G1004" s="14" t="inlineStr">
        <is>
          <t>AMPEREL</t>
        </is>
      </c>
      <c r="H1004" s="14" t="inlineStr">
        <is>
          <t>PARODONTAX</t>
        </is>
      </c>
      <c r="I1004" s="14" t="inlineStr">
        <is>
          <t>Parodontax, Toothbrush, Complete Protection, Soft, Pack of 12</t>
        </is>
      </c>
      <c r="J1004" s="14" t="inlineStr">
        <is>
          <t>No</t>
        </is>
      </c>
      <c r="K1004" s="14" t="inlineStr">
        <is>
          <t>https://www.amazon.de/Parodontax-Toothbrush-Complete-Protection-Soft/dp/B0F1Z4DQN7/ref=sr_1_50?__mk_de_DE=%C3%85M%C3%85%C5%BD%C3%95%C3%91&amp;crid=14YSA9V0OAI9X&amp;dib=eyJ2IjoiMSJ9.bfi_g7Xzkeez1EbeyavjWYdw3oQpbxxOq9v7lDUffz_-EfbIDbjgfvc8hB7CtWAB6iW9FzRZ711jcYD-yQtxm9JAf-4c7JVmE5g7ntKC6HowI72OH5jfdMNA8OmnwZTSI464YRrN7aLm9OiIc0wvWA.1xeaS3Xr-uNHbBnXQZdTXIswX-Jee3McTHeu_JdTjMw&amp;dib_tag=se&amp;keywords=parodontax+complete+herbal&amp;qid=1760198271&amp;sprefix=parodontax+complete+herbal%2Caps%2C153&amp;sr=8-50&amp;xpid=aeg-_L6w-GpkZ</t>
        </is>
      </c>
      <c r="L1004" s="14" t="inlineStr">
        <is>
          <t>B0F1Z4DQN7</t>
        </is>
      </c>
      <c r="M1004" s="15" t="n"/>
      <c r="N1004" s="15" t="n"/>
      <c r="O1004" s="15" t="n">
        <v>83.77</v>
      </c>
      <c r="P1004" s="15">
        <f>O1004/1.19</f>
        <v/>
      </c>
      <c r="Q1004" s="15">
        <f>O1004-P1004</f>
        <v/>
      </c>
      <c r="R1004" s="15">
        <f>O1004*0.15</f>
        <v/>
      </c>
      <c r="S1004" s="15" t="n">
        <v>48</v>
      </c>
      <c r="T1004" s="15">
        <f>S1004*0.2</f>
        <v/>
      </c>
      <c r="U1004" s="15" t="n">
        <v>0.400000000000002</v>
      </c>
      <c r="V1004" s="15" t="n">
        <v>7.7</v>
      </c>
      <c r="W1004" s="15">
        <f>V1004*0.2</f>
        <v/>
      </c>
      <c r="X1004" s="21">
        <f>O1004-Q1004-R1004-S1004-U1004-V1004+T1004+W1004</f>
        <v/>
      </c>
      <c r="Y1004" s="14" t="n"/>
      <c r="Z1004" s="15">
        <f>O1004+1.5</f>
        <v/>
      </c>
      <c r="AA1004" s="15" t="n"/>
      <c r="AB1004" s="15" t="n"/>
      <c r="AC1004" s="14" t="n"/>
      <c r="AD1004" s="14" t="n"/>
      <c r="AE1004" s="13" t="inlineStr">
        <is>
          <t>NOT_UPLOADED</t>
        </is>
      </c>
    </row>
    <row r="1005" ht="16" customHeight="1">
      <c r="A1005" s="17" t="n"/>
      <c r="B1005" s="17" t="n">
        <v>5054563065711</v>
      </c>
      <c r="C1005" s="13" t="n"/>
      <c r="D1005" s="18" t="n"/>
      <c r="E1005" s="18" t="inlineStr">
        <is>
          <t>AM-5054563065711</t>
        </is>
      </c>
      <c r="F1005" s="17" t="n">
        <v>3402006</v>
      </c>
      <c r="G1005" s="18" t="inlineStr">
        <is>
          <t>AMPEREL</t>
        </is>
      </c>
      <c r="H1005" s="18" t="inlineStr">
        <is>
          <t>PARODONTAX</t>
        </is>
      </c>
      <c r="I1005" s="18" t="inlineStr">
        <is>
          <t>Parodontax Complete Cep Dent Suave - Weiß - Zahnbürste - Manuell - Weich - Unisex-Erwachsene</t>
        </is>
      </c>
      <c r="J1005" s="18" t="inlineStr">
        <is>
          <t>No</t>
        </is>
      </c>
      <c r="K1005" s="18" t="inlineStr">
        <is>
          <t>https://www.amazon.de/Parodontax-Complete-Dent-Suave-Unisex-Erwachsene/dp/B07FDRWNHR/ref=sr_1_49?__mk_de_DE=%C3%85M%C3%85%C5%BD%C3%95%C3%91&amp;crid=14YSA9V0OAI9X&amp;dib=eyJ2IjoiMSJ9.bfi_g7Xzkeez1EbeyavjWYdw3oQpbxxOq9v7lDUffz_-EfbIDbjgfvc8hB7CtWAB6iW9FzRZ711jcYD-yQtxm9JAf-4c7JVmE5g7ntKC6HowI72OH5jfdMNA8OmnwZTSI464YRrN7aLm9OiIc0wvWA.1xeaS3Xr-uNHbBnXQZdTXIswX-Jee3McTHeu_JdTjMw&amp;dib_tag=se&amp;keywords=parodontax+complete+herbal&amp;qid=1760198271&amp;sprefix=parodontax+complete+herbal%2Caps%2C153&amp;sr=8-49&amp;xpid=aeg-_L6w-GpkZ</t>
        </is>
      </c>
      <c r="L1005" s="18" t="inlineStr">
        <is>
          <t>B07FDRWNHR</t>
        </is>
      </c>
      <c r="M1005" s="19" t="n"/>
      <c r="N1005" s="19" t="n"/>
      <c r="O1005" s="19" t="n">
        <v>9.99</v>
      </c>
      <c r="P1005" s="19">
        <f>O1005/1.19</f>
        <v/>
      </c>
      <c r="Q1005" s="19">
        <f>O1005-P1005</f>
        <v/>
      </c>
      <c r="R1005" s="19">
        <f>O1005*0.15</f>
        <v/>
      </c>
      <c r="S1005" s="19" t="n">
        <v>3.9</v>
      </c>
      <c r="T1005" s="19">
        <f>S1005*0.2</f>
        <v/>
      </c>
      <c r="U1005" s="19" t="n">
        <v>0.400000000000002</v>
      </c>
      <c r="V1005" s="19" t="n">
        <v>2</v>
      </c>
      <c r="W1005" s="19">
        <f>V1005*0.2</f>
        <v/>
      </c>
      <c r="X1005" s="16">
        <f>O1005-Q1005-R1005-S1005-U1005-V1005+T1005+W1005</f>
        <v/>
      </c>
      <c r="Y1005" s="18" t="n"/>
      <c r="Z1005" s="19">
        <f>O1005+1.5</f>
        <v/>
      </c>
      <c r="AA1005" s="19" t="n"/>
      <c r="AB1005" s="19" t="n"/>
      <c r="AC1005" s="18" t="n"/>
      <c r="AD1005" s="18" t="n"/>
      <c r="AE1005" s="13" t="inlineStr">
        <is>
          <t>NOT_UPLOADED</t>
        </is>
      </c>
    </row>
    <row r="1006" ht="16" customHeight="1">
      <c r="A1006" s="12" t="n"/>
      <c r="B1006" s="12" t="n">
        <v>5054563065711</v>
      </c>
      <c r="C1006" s="13" t="n"/>
      <c r="D1006" s="14" t="n"/>
      <c r="E1006" s="14" t="inlineStr">
        <is>
          <t>A-5054563065711</t>
        </is>
      </c>
      <c r="F1006" s="12" t="n">
        <v>3402006</v>
      </c>
      <c r="G1006" s="14" t="inlineStr">
        <is>
          <t>AMPEREL</t>
        </is>
      </c>
      <c r="H1006" s="14" t="inlineStr">
        <is>
          <t>PARODONTAX</t>
        </is>
      </c>
      <c r="I1006" s="14" t="inlineStr">
        <is>
          <t>Parodontax Complete Protection Zahnbürste, 1 Stk., für starke Zähne und gesundes Zahnfleisch, weich</t>
        </is>
      </c>
      <c r="J1006" s="14" t="inlineStr">
        <is>
          <t>No</t>
        </is>
      </c>
      <c r="K1006" s="14" t="inlineStr">
        <is>
          <t>https://www.amazon.de/Parodontax-Complete-Protection-Zahnb%C3%BCrste-weich/dp/B07CHCJ8SD/ref=sr_1_5?__mk_de_DE=%C3%85M%C3%85%C5%BD%C3%95%C3%91&amp;crid=IVGUJC980IMP&amp;dib=eyJ2IjoiMSJ9.f_sS-0jukR63R8X4203whnq1wvrJWsz62moQuLDnUr8oh5wlSWzHyCSCSypzlprYVQ7b4JUt-OKL6u7yOjhIyksHgL6AagDM04bIjHOmCncfdGMyHoJfaEvQQua2SaUZjSSJvYc-DQBhMgtFlY49Dv1EGOhwvgWaNSlbcJHRnaF2f_y0IxM86g4WebJ7nlelaJUCg_9OKBS2MuMa9Agl0LlwYUTuBmv2cjNF5pPIDF4RmE6x7glEax1axtUC6ViN4gG5Gf4sEUN8eQ8TILI-WvM4H28l3h1uflIgz0rKehM.iG1Kh-Hbq6940yUzViVetaKa3bliZ9rvte0rh4g4Y0U&amp;dib_tag=se&amp;keywords=parodontax%2Bcomplete%2BPROTECTION&amp;qid=1760198665&amp;sprefix=parodontax%2Bcomplete%2Bprotection%2Caps%2C120&amp;sr=8-5&amp;th=1</t>
        </is>
      </c>
      <c r="L1006" s="14" t="inlineStr">
        <is>
          <t>B07CHCJ8SD</t>
        </is>
      </c>
      <c r="M1006" s="15" t="n"/>
      <c r="N1006" s="15" t="n"/>
      <c r="O1006" s="15" t="n">
        <v>9.99</v>
      </c>
      <c r="P1006" s="15">
        <f>O1006/1.19</f>
        <v/>
      </c>
      <c r="Q1006" s="15">
        <f>O1006-P1006</f>
        <v/>
      </c>
      <c r="R1006" s="15">
        <f>O1006*0.15</f>
        <v/>
      </c>
      <c r="S1006" s="15" t="n">
        <v>3.9</v>
      </c>
      <c r="T1006" s="15">
        <f>S1006*0.2</f>
        <v/>
      </c>
      <c r="U1006" s="15" t="n">
        <v>0.400000000000002</v>
      </c>
      <c r="V1006" s="15" t="n">
        <v>2</v>
      </c>
      <c r="W1006" s="15">
        <f>V1006*0.2</f>
        <v/>
      </c>
      <c r="X1006" s="16">
        <f>O1006-Q1006-R1006-S1006-U1006-V1006+T1006+W1006</f>
        <v/>
      </c>
      <c r="Y1006" s="14" t="n"/>
      <c r="Z1006" s="15">
        <f>O1006+1.5</f>
        <v/>
      </c>
      <c r="AA1006" s="15" t="n"/>
      <c r="AB1006" s="15" t="n"/>
      <c r="AC1006" s="14" t="n"/>
      <c r="AD1006" s="14" t="n"/>
      <c r="AE1006" s="13" t="inlineStr">
        <is>
          <t>NOT_UPLOADED</t>
        </is>
      </c>
    </row>
    <row r="1007" ht="16" customHeight="1">
      <c r="A1007" s="17" t="n"/>
      <c r="B1007" s="17" t="n">
        <v>5054563065711</v>
      </c>
      <c r="C1007" s="13" t="n"/>
      <c r="D1007" s="18" t="n"/>
      <c r="E1007" s="18" t="inlineStr">
        <is>
          <t>PAR-5054563065711</t>
        </is>
      </c>
      <c r="F1007" s="17" t="n">
        <v>3402006</v>
      </c>
      <c r="G1007" s="18" t="inlineStr">
        <is>
          <t>AMPEREL</t>
        </is>
      </c>
      <c r="H1007" s="18" t="inlineStr">
        <is>
          <t>PARODONTAX</t>
        </is>
      </c>
      <c r="I1007" s="18" t="inlineStr">
        <is>
          <t>Parodontax Zahnbürste Complete Protection, weich, hilft Zahnfleischbluten zu stoppen und vorzubeugen, Modell zufällig</t>
        </is>
      </c>
      <c r="J1007" s="18" t="inlineStr">
        <is>
          <t>No</t>
        </is>
      </c>
      <c r="K1007" s="18" t="inlineStr">
        <is>
          <t>https://www.amazon.de/Parodontax-Zahnb%C3%BCrste-komplett-weicher-Schutz/dp/B08CNW9BY9/ref=sr_1_12?__mk_de_DE=%C3%85M%C3%85%C5%BD%C3%95%C3%91&amp;crid=IVGUJC980IMP&amp;dib=eyJ2IjoiMSJ9.f_sS-0jukR63R8X4203whnq1wvrJWsz62moQuLDnUr8oh5wlSWzHyCSCSypzlprYVQ7b4JUt-OKL6u7yOjhIyksHgL6AagDM04bIjHOmCncfdGMyHoJfaEvQQua2SaUZjSSJvYc-DQBhMgtFlY49Dv1EGOhwvgWaNSlbcJHRnaF2f_y0IxM86g4WebJ7nlelaJUCg_9OKBS2MuMa9Agl0LlwYUTuBmv2cjNF5pPIDF4RmE6x7glEax1axtUC6ViN4gG5Gf4sEUN8eQ8TILI-WvM4H28l3h1uflIgz0rKehM.iG1Kh-Hbq6940yUzViVetaKa3bliZ9rvte0rh4g4Y0U&amp;dib_tag=se&amp;keywords=parodontax+complete+PROTECTION&amp;qid=1760198665&amp;sprefix=parodontax+complete+protection%2Caps%2C120&amp;sr=8-12</t>
        </is>
      </c>
      <c r="L1007" s="18" t="inlineStr">
        <is>
          <t>B08CNW9BY9</t>
        </is>
      </c>
      <c r="M1007" s="19" t="n"/>
      <c r="N1007" s="19" t="n"/>
      <c r="O1007" s="19" t="n">
        <v>10.5</v>
      </c>
      <c r="P1007" s="19">
        <f>O1007/1.19</f>
        <v/>
      </c>
      <c r="Q1007" s="19">
        <f>O1007-P1007</f>
        <v/>
      </c>
      <c r="R1007" s="19">
        <f>O1007*0.15</f>
        <v/>
      </c>
      <c r="S1007" s="19" t="n">
        <v>3.9</v>
      </c>
      <c r="T1007" s="19">
        <f>S1007*0.2</f>
        <v/>
      </c>
      <c r="U1007" s="19" t="n">
        <v>0.400000000000002</v>
      </c>
      <c r="V1007" s="19" t="n">
        <v>2</v>
      </c>
      <c r="W1007" s="19">
        <f>V1007*0.2</f>
        <v/>
      </c>
      <c r="X1007" s="21">
        <f>O1007-Q1007-R1007-S1007-U1007-V1007+T1007+W1007</f>
        <v/>
      </c>
      <c r="Y1007" s="18" t="n"/>
      <c r="Z1007" s="19">
        <f>O1007+1.5</f>
        <v/>
      </c>
      <c r="AA1007" s="19" t="n"/>
      <c r="AB1007" s="19" t="n"/>
      <c r="AC1007" s="18" t="n"/>
      <c r="AD1007" s="18" t="n"/>
      <c r="AE1007" s="13" t="inlineStr">
        <is>
          <t>NOT_UPLOADED</t>
        </is>
      </c>
    </row>
    <row r="1008" ht="16" customHeight="1">
      <c r="A1008" s="12" t="n"/>
      <c r="B1008" s="12" t="n">
        <v>5054563065711</v>
      </c>
      <c r="C1008" s="13" t="n"/>
      <c r="D1008" s="14" t="n"/>
      <c r="E1008" s="14" t="inlineStr">
        <is>
          <t>PA-5054563065711</t>
        </is>
      </c>
      <c r="F1008" s="12" t="n">
        <v>3402006</v>
      </c>
      <c r="G1008" s="14" t="inlineStr">
        <is>
          <t>AMPEREL</t>
        </is>
      </c>
      <c r="H1008" s="14" t="inlineStr">
        <is>
          <t>PARODONTAX</t>
        </is>
      </c>
      <c r="I1008" s="14" t="inlineStr">
        <is>
          <t>Parodontax Zahnbürste Complete Protection, extra weich, hilft Zahnfleischbluten zu stoppen und vorzubeugen, Modell zufällig</t>
        </is>
      </c>
      <c r="J1008" s="14" t="inlineStr">
        <is>
          <t>No</t>
        </is>
      </c>
      <c r="K1008" s="14" t="inlineStr">
        <is>
          <t>https://www.amazon.de/Parodontax-Zahnb%C3%BCrste-komplett-Modell-zuf%C3%A4llig/dp/B08CNWZTGV/ref=sr_1_34?__mk_de_DE=%C3%85M%C3%85%C5%BD%C3%95%C3%91&amp;crid=IVGUJC980IMP&amp;dib=eyJ2IjoiMSJ9.f_sS-0jukR63R8X4203whnq1wvrJWsz62moQuLDnUr8oh5wlSWzHyCSCSypzlprYVQ7b4JUt-OKL6u7yOjhIyksHgL6AagDM04bIjHOmCncfdGMyHoJfaEvQQua2SaUZjSSJvYc-DQBhMgtFlY49Dv1EGOhwvgWaNSlbcJHRnaF2f_y0IxM86g4WebJ7nlelaJUCg_9OKBS2MuMa9Agl0LlwYUTuBmv2cjNF5pPIDF4RmE6x7glEax1axtUC6ViN4gG5Gf4sEUN8eQ8TILI-WvM4H28l3h1uflIgz0rKehM.iG1Kh-Hbq6940yUzViVetaKa3bliZ9rvte0rh4g4Y0U&amp;dib_tag=se&amp;keywords=parodontax+complete+PROTECTION&amp;qid=1760198665&amp;sprefix=parodontax+complete+protection%2Caps%2C120&amp;sr=8-34</t>
        </is>
      </c>
      <c r="L1008" s="14" t="inlineStr">
        <is>
          <t>B08CNWZTGV</t>
        </is>
      </c>
      <c r="M1008" s="15" t="n"/>
      <c r="N1008" s="15" t="n"/>
      <c r="O1008" s="15" t="n">
        <v>9.99</v>
      </c>
      <c r="P1008" s="15">
        <f>O1008/1.19</f>
        <v/>
      </c>
      <c r="Q1008" s="15">
        <f>O1008-P1008</f>
        <v/>
      </c>
      <c r="R1008" s="15">
        <f>O1008*0.15</f>
        <v/>
      </c>
      <c r="S1008" s="15" t="n">
        <v>3.9</v>
      </c>
      <c r="T1008" s="15">
        <f>S1008*0.2</f>
        <v/>
      </c>
      <c r="U1008" s="15" t="n">
        <v>0.400000000000002</v>
      </c>
      <c r="V1008" s="15" t="n">
        <v>2</v>
      </c>
      <c r="W1008" s="15">
        <f>V1008*0.2</f>
        <v/>
      </c>
      <c r="X1008" s="16">
        <f>O1008-Q1008-R1008-S1008-U1008-V1008+T1008+W1008</f>
        <v/>
      </c>
      <c r="Y1008" s="14" t="n"/>
      <c r="Z1008" s="15">
        <f>O1008+1.5</f>
        <v/>
      </c>
      <c r="AA1008" s="15" t="n"/>
      <c r="AB1008" s="15" t="n"/>
      <c r="AC1008" s="14" t="n"/>
      <c r="AD1008" s="14" t="n"/>
      <c r="AE1008" s="13" t="inlineStr">
        <is>
          <t>NOT_UPLOADED</t>
        </is>
      </c>
    </row>
    <row r="1009" ht="16" customHeight="1">
      <c r="A1009" s="17" t="n"/>
      <c r="B1009" s="17" t="n">
        <v>5054563065711</v>
      </c>
      <c r="C1009" s="20" t="inlineStr">
        <is>
          <t>PACK X 3</t>
        </is>
      </c>
      <c r="D1009" s="18" t="inlineStr">
        <is>
          <t>Not Available</t>
        </is>
      </c>
      <c r="E1009" s="18" t="n"/>
      <c r="F1009" s="17" t="n">
        <v>3402006</v>
      </c>
      <c r="G1009" s="18" t="inlineStr">
        <is>
          <t>AMPEREL</t>
        </is>
      </c>
      <c r="H1009" s="18" t="inlineStr">
        <is>
          <t>PARODONTAX</t>
        </is>
      </c>
      <c r="I1009" s="18" t="inlineStr">
        <is>
          <t>Parodontax Complete Protection Zahnbürste, 1 Stk., für starke Zähne und gesundes Zahnfleisch, weich (Packung mit 3)</t>
        </is>
      </c>
      <c r="J1009" s="18" t="inlineStr">
        <is>
          <t>No</t>
        </is>
      </c>
      <c r="K1009" s="18" t="inlineStr">
        <is>
          <t>https://www.amazon.de/Parodontax-Complete-Protection-Zahnb%C3%BCrste-Zahnfleisch/dp/B0CZF8TQZX/ref=sr_1_37?__mk_de_DE=%C3%85M%C3%85%C5%BD%C3%95%C3%91&amp;crid=IVGUJC980IMP&amp;dib=eyJ2IjoiMSJ9.f_sS-0jukR63R8X4203whnq1wvrJWsz62moQuLDnUr8oh5wlSWzHyCSCSypzlprYVQ7b4JUt-OKL6u7yOjhIyksHgL6AagDM04bIjHOmCncfdGMyHoJfaEvQQua2SaUZjSSJvYc-DQBhMgtFlY49Dv1EGOhwvgWaNSlbcJHRnaF2f_y0IxM86g4WebJ7nlelaJUCg_9OKBS2MuMa9Agl0LlwYUTuBmv2cjNF5pPIDF4RmE6x7glEax1axtUC6ViN4gG5Gf4sEUN8eQ8TILI-WvM4H28l3h1uflIgz0rKehM.iG1Kh-Hbq6940yUzViVetaKa3bliZ9rvte0rh4g4Y0U&amp;dib_tag=se&amp;keywords=parodontax+complete+PROTECTION&amp;qid=1760198665&amp;sprefix=parodontax+complete+protection%2Caps%2C120&amp;sr=8-37</t>
        </is>
      </c>
      <c r="L1009" s="18" t="inlineStr">
        <is>
          <t>B0CZF8TQZX</t>
        </is>
      </c>
      <c r="M1009" s="19" t="n"/>
      <c r="N1009" s="19" t="n"/>
      <c r="O1009" s="19" t="n">
        <v>19.99</v>
      </c>
      <c r="P1009" s="19">
        <f>O1009/1.19</f>
        <v/>
      </c>
      <c r="Q1009" s="19">
        <f>O1009-P1009</f>
        <v/>
      </c>
      <c r="R1009" s="19">
        <f>O1009*0.15</f>
        <v/>
      </c>
      <c r="S1009" s="19" t="n">
        <v>11.7</v>
      </c>
      <c r="T1009" s="19">
        <f>S1009*0.2</f>
        <v/>
      </c>
      <c r="U1009" s="19" t="n">
        <v>0.400000000000002</v>
      </c>
      <c r="V1009" s="19" t="n">
        <v>2.5</v>
      </c>
      <c r="W1009" s="19">
        <f>V1009*0.2</f>
        <v/>
      </c>
      <c r="X1009" s="21">
        <f>O1009-Q1009-R1009-S1009-U1009-V1009+T1009+W1009</f>
        <v/>
      </c>
      <c r="Y1009" s="18" t="n"/>
      <c r="Z1009" s="19">
        <f>O1009+1.5</f>
        <v/>
      </c>
      <c r="AA1009" s="19" t="n"/>
      <c r="AB1009" s="19" t="n"/>
      <c r="AC1009" s="18" t="n"/>
      <c r="AD1009" s="18" t="n"/>
      <c r="AE1009" s="13" t="inlineStr">
        <is>
          <t>NOT_UPLOADED</t>
        </is>
      </c>
    </row>
    <row r="1010" ht="16" customHeight="1">
      <c r="A1010" s="12" t="n"/>
      <c r="B1010" s="12" t="n">
        <v>4047400392041</v>
      </c>
      <c r="C1010" s="20" t="inlineStr">
        <is>
          <t>PACK X 6</t>
        </is>
      </c>
      <c r="D1010" s="14" t="n"/>
      <c r="E1010" s="14" t="inlineStr">
        <is>
          <t>AMP-4047400392041</t>
        </is>
      </c>
      <c r="F1010" s="12" t="n">
        <v>3401001</v>
      </c>
      <c r="G1010" s="14" t="inlineStr">
        <is>
          <t>AMPEREL</t>
        </is>
      </c>
      <c r="H1010" s="14" t="inlineStr">
        <is>
          <t>PARODONTAX</t>
        </is>
      </c>
      <c r="I1010" s="14" t="inlineStr">
        <is>
          <t>Parodontax Classic Toothpaste Fluoride Stops Bleeding Gums 75ml PARADONTAX (Pack of 6)</t>
        </is>
      </c>
      <c r="J1010" s="14" t="inlineStr">
        <is>
          <t>No</t>
        </is>
      </c>
      <c r="K1010" s="14" t="inlineStr">
        <is>
          <t>https://www.amazon.de/Parodontax-Toothpaste-Fluoride-Bleeding-PARADONTAX/dp/B01F58NCAQ/ref=sr_1_3?__mk_de_DE=%C3%85M%C3%85%C5%BD%C3%95%C3%91&amp;crid=1Z5CS881NNTXK&amp;dib=eyJ2IjoiMSJ9.LbUp4bmeqyt_j8esMeHXMT6Ck7QpQQbNBoty2Q0Ud1FwbIT9IVJYhqhENW47pncns5MIRL_MmbMDZCLWSMxQS15VvUYd4xIEBjlQPcYOzp-tXTJnf1cGNZTarIxcWftWyLo8VDIt-qSyaYdDll8SOoX8MIH4l3A6j-DxqKzQk2vJZCmm_bHTYeHIQvzdcbVq2_0bz1NODYZiynP66WHbxZzM7mCAGfYdXaK9JHfdmG3l8VteIh-qdZYXcXDvTBz_e2iPF1Tg75uzbd4W_DD4inBKtiqK5vetlkNPyQl5So0.QE2CM44yNQD_pjnCGmAx7QIBRgbulnxfOGW72o8qalI&amp;dib_tag=se&amp;keywords=parodontax%2Bclassic&amp;qid=1760473047&amp;sprefix=parodontax%2Bclassic%2Caps%2C134&amp;sr=8-3&amp;th=1</t>
        </is>
      </c>
      <c r="L1010" s="14" t="inlineStr">
        <is>
          <t>B01F58NCAQ</t>
        </is>
      </c>
      <c r="M1010" s="15" t="n">
        <v>29.89</v>
      </c>
      <c r="N1010" s="15" t="n"/>
      <c r="O1010" s="15" t="n">
        <v>39.99</v>
      </c>
      <c r="P1010" s="15">
        <f>O1010/1.19</f>
        <v/>
      </c>
      <c r="Q1010" s="15">
        <f>O1010-P1010</f>
        <v/>
      </c>
      <c r="R1010" s="15">
        <f>O1010*0.15</f>
        <v/>
      </c>
      <c r="S1010" s="15" t="n">
        <v>15.9</v>
      </c>
      <c r="T1010" s="15">
        <f>S1010*0.2</f>
        <v/>
      </c>
      <c r="U1010" s="15" t="n">
        <v>0.400000000000002</v>
      </c>
      <c r="V1010" s="15" t="n">
        <v>11.75</v>
      </c>
      <c r="W1010" s="15">
        <f>V1010*0.2</f>
        <v/>
      </c>
      <c r="X1010" s="21">
        <f>O1010-Q1010-R1010-S1010-U1010-V1010+T1010+W1010</f>
        <v/>
      </c>
      <c r="Y1010" s="14" t="n"/>
      <c r="Z1010" s="15">
        <f>O1010+1.5</f>
        <v/>
      </c>
      <c r="AA1010" s="15" t="n"/>
      <c r="AB1010" s="15" t="n"/>
      <c r="AC1010" s="14" t="n"/>
      <c r="AD1010" s="14" t="n"/>
      <c r="AE1010" s="13" t="inlineStr">
        <is>
          <t>NOT_UPLOADED</t>
        </is>
      </c>
    </row>
    <row r="1011" ht="16" customHeight="1">
      <c r="A1011" s="17" t="n">
        <v>5054563037909</v>
      </c>
      <c r="B1011" s="17" t="n">
        <v>4047400392041</v>
      </c>
      <c r="C1011" s="13" t="n"/>
      <c r="D1011" s="18" t="n"/>
      <c r="E1011" s="18" t="inlineStr">
        <is>
          <t>AMP-5054563037909</t>
        </is>
      </c>
      <c r="F1011" s="17" t="n">
        <v>3401001</v>
      </c>
      <c r="G1011" s="18" t="inlineStr">
        <is>
          <t>AMPEREL</t>
        </is>
      </c>
      <c r="H1011" s="18" t="inlineStr">
        <is>
          <t>PARODONTAX</t>
        </is>
      </c>
      <c r="I1011" s="18" t="inlineStr">
        <is>
          <t>Parodontax Classic Fluoridfrei, Zahnpasta ohne Fluorid, hilft Zahnfleischbluten zu reduzieren und vorzubeugen, 1 x 75ml</t>
        </is>
      </c>
      <c r="J1011" s="18" t="inlineStr">
        <is>
          <t>No</t>
        </is>
      </c>
      <c r="K1011" s="18" t="inlineStr">
        <is>
          <t>https://www.amazon.de/Parodontax-Classic-Fluoridfrei-Zahnpasta-Fluorid/dp/B07DX32Z8C/ref=sr_1_1?__mk_de_DE=%C3%85M%C3%85%C5%BD%C3%95%C3%91&amp;crid=1Z5CS881NNTXK&amp;dib=eyJ2IjoiMSJ9.LbUp4bmeqyt_j8esMeHXMT6Ck7QpQQbNBoty2Q0Ud1FwbIT9IVJYhqhENW47pncns5MIRL_MmbMDZCLWSMxQS15VvUYd4xIEBjlQPcYOzp-tXTJnf1cGNZTarIxcWftWxk2qIbogxmpFqXA-cEjYr1-5sQ9BNGYFYJmMu5i64rhOfLcGAcOewipe7K6y1ztLZW0Ppz7TGKM29n_iEpk7JSVBZ7OhZp9OgqBYYuXV5HlMOP5jQ6_iTJTjNG34OCQ1AYXmpMY0BNFrcChAG8SYuWVi9sU67_91z_DqXPFU_KE._7UcpW-UV9jw3u0ANFOLvRXQJ3yF45EgntOIPNN1r54&amp;dib_tag=se&amp;keywords=parodontax%2Bclassic&amp;qid=1760473277&amp;refinements=p_123%3A320727&amp;rnid=91049101031&amp;sprefix=parodontax%2Bclassic%2Caps%2C134&amp;sr=8-1&amp;th=1</t>
        </is>
      </c>
      <c r="L1011" s="18" t="inlineStr">
        <is>
          <t>B07DX32Z8C</t>
        </is>
      </c>
      <c r="M1011" s="19" t="n">
        <v>9.4</v>
      </c>
      <c r="N1011" s="19" t="n"/>
      <c r="O1011" s="19" t="n">
        <v>9.199999999999999</v>
      </c>
      <c r="P1011" s="19">
        <f>O1011/1.19</f>
        <v/>
      </c>
      <c r="Q1011" s="19">
        <f>O1011-P1011</f>
        <v/>
      </c>
      <c r="R1011" s="19">
        <f>O1011*0.15</f>
        <v/>
      </c>
      <c r="S1011" s="19" t="n">
        <v>2.84</v>
      </c>
      <c r="T1011" s="19">
        <f>S1011*0.2</f>
        <v/>
      </c>
      <c r="U1011" s="19" t="n">
        <v>0.400000000000002</v>
      </c>
      <c r="V1011" s="19" t="n">
        <v>2.4</v>
      </c>
      <c r="W1011" s="19">
        <f>V1011*0.2</f>
        <v/>
      </c>
      <c r="X1011" s="16">
        <f>O1011-Q1011-R1011-S1011-U1011-V1011+T1011+W1011</f>
        <v/>
      </c>
      <c r="Y1011" s="18" t="n"/>
      <c r="Z1011" s="19">
        <f>O1011+1.5</f>
        <v/>
      </c>
      <c r="AA1011" s="19" t="n"/>
      <c r="AB1011" s="19" t="n"/>
      <c r="AC1011" s="18" t="n"/>
      <c r="AD1011" s="18" t="n"/>
      <c r="AE1011" s="13" t="inlineStr">
        <is>
          <t>NOT_UPLOADED</t>
        </is>
      </c>
    </row>
    <row r="1012" ht="16" customHeight="1">
      <c r="A1012" s="12" t="n">
        <v>5054563086433</v>
      </c>
      <c r="B1012" s="12" t="n">
        <v>5999518582144</v>
      </c>
      <c r="C1012" s="13" t="n"/>
      <c r="D1012" s="14" t="n"/>
      <c r="E1012" s="14" t="inlineStr">
        <is>
          <t>AMP-5054563086433</t>
        </is>
      </c>
      <c r="F1012" s="12" t="n">
        <v>3401004</v>
      </c>
      <c r="G1012" s="14" t="inlineStr">
        <is>
          <t>AMPEREL</t>
        </is>
      </c>
      <c r="H1012" s="14" t="inlineStr">
        <is>
          <t>PARODONTAX</t>
        </is>
      </c>
      <c r="I1012" s="14" t="inlineStr">
        <is>
          <t>PARODONTAX DENT WHITENING 75ML (Paket kann variieren)</t>
        </is>
      </c>
      <c r="J1012" s="14" t="inlineStr">
        <is>
          <t>No</t>
        </is>
      </c>
      <c r="K1012" s="14" t="inlineStr">
        <is>
          <t>https://www.amazon.de/GLAXOSMITHKLINE-C-HEALTH-SpA-8016825970635-PARODONTAX-WHITENING/dp/B00E4KWVUO/ref=sr_1_6?__mk_de_DE=%C3%85M%C3%85%C5%BD%C3%95%C3%91&amp;crid=386163QEM5IIS&amp;dib=eyJ2IjoiMSJ9.Y5-EqRzFaxxRU5krmuRvuUfYS1tdB-xybIPBKT86ICbCjcbcG1tsljlkj2d9DplvJoCmjnsg_V04jDxQLjlfxgl96eTmrB7LYXqxv6oCd9fDrSsc6rLWOIbn3KO_7p7J3PqBHJyVAyaQb6rIvyY3-S4RSSBL0ughI58idNaDz9rq8g2AS7ocytdt4QnG9GAk0IMyD14oA3xtOVRGDQaxrpnUR9QuF7ClBbFgOJ1C0OMfs7N770Mt1T8VjEktUM-1uOvHB2GTO1CwXXa0I8J4cI9SfYJYH51JcgsNYiUMPco.n_IPywJQLwsI9c8KLiT00ROI3AwqjNeBnAMhTGHjRC8&amp;dib_tag=se&amp;keywords=parodontax+WHITENING&amp;qid=1760473509&amp;refinements=p_123%3A320727&amp;rnid=91049101031&amp;sprefix=parodontax+whitening%2Caps%2C99&amp;sr=8-6</t>
        </is>
      </c>
      <c r="L1012" s="14" t="inlineStr">
        <is>
          <t>B00E4KWVUO</t>
        </is>
      </c>
      <c r="M1012" s="15" t="n">
        <v>9.9</v>
      </c>
      <c r="N1012" s="15" t="n"/>
      <c r="O1012" s="15" t="n">
        <v>9.9</v>
      </c>
      <c r="P1012" s="15">
        <f>O1012/1.19</f>
        <v/>
      </c>
      <c r="Q1012" s="15">
        <f>O1012-P1012</f>
        <v/>
      </c>
      <c r="R1012" s="15">
        <f>O1012*0.15</f>
        <v/>
      </c>
      <c r="S1012" s="15" t="n">
        <v>2.65</v>
      </c>
      <c r="T1012" s="15">
        <f>S1012*0.2</f>
        <v/>
      </c>
      <c r="U1012" s="15" t="n">
        <v>0.400000000000002</v>
      </c>
      <c r="V1012" s="15" t="n">
        <v>2.4</v>
      </c>
      <c r="W1012" s="15">
        <f>V1012*0.2</f>
        <v/>
      </c>
      <c r="X1012" s="21">
        <f>O1012-Q1012-R1012-S1012-U1012-V1012+T1012+W1012</f>
        <v/>
      </c>
      <c r="Y1012" s="14" t="n"/>
      <c r="Z1012" s="15">
        <f>O1012+1.5</f>
        <v/>
      </c>
      <c r="AA1012" s="15" t="n"/>
      <c r="AB1012" s="15" t="n"/>
      <c r="AC1012" s="14" t="n"/>
      <c r="AD1012" s="14" t="n"/>
      <c r="AE1012" s="13" t="inlineStr">
        <is>
          <t>NOT_UPLOADED</t>
        </is>
      </c>
    </row>
    <row r="1013" ht="16" customHeight="1">
      <c r="A1013" s="17" t="n"/>
      <c r="B1013" s="17" t="n">
        <v>5999518582144</v>
      </c>
      <c r="C1013" s="20" t="inlineStr">
        <is>
          <t>PACK X 3</t>
        </is>
      </c>
      <c r="D1013" s="18" t="n"/>
      <c r="E1013" s="18" t="inlineStr">
        <is>
          <t>AMP-59995185821443</t>
        </is>
      </c>
      <c r="F1013" s="17" t="n">
        <v>3401004</v>
      </c>
      <c r="G1013" s="18" t="inlineStr">
        <is>
          <t>AMPEREL</t>
        </is>
      </c>
      <c r="H1013" s="18" t="inlineStr">
        <is>
          <t>PARODONTAX</t>
        </is>
      </c>
      <c r="I1013" s="18" t="inlineStr">
        <is>
          <t>3x Parodontax dentifricio Whitening Zahnpasta 75 ml Zahncreme</t>
        </is>
      </c>
      <c r="J1013" s="18" t="inlineStr">
        <is>
          <t>No</t>
        </is>
      </c>
      <c r="K1013" s="18" t="inlineStr">
        <is>
          <t>https://www.amazon.de/Parodontax-dentifricio-Whitening-Zahnpasta-Zahncreme/dp/B07PT73QHC/ref=sr_1_13?__mk_de_DE=%C3%85M%C3%85%C5%BD%C3%95%C3%91&amp;crid=386163QEM5IIS&amp;dib=eyJ2IjoiMSJ9.Y5-EqRzFaxxRU5krmuRvuUfYS1tdB-xybIPBKT86ICbCjcbcG1tsljlkj2d9DplvJoCmjnsg_V04jDxQLjlfxgl96eTmrB7LYXqxv6oCd9fDrSsc6rLWOIbn3KO_7p7J3PqBHJyVAyaQb6rIvyY3-S4RSSBL0ughI58idNaDz9rq8g2AS7ocytdt4QnG9GAk0IMyD14oA3xtOVRGDQaxrpnUR9QuF7ClBbFgOJ1C0OMfs7N770Mt1T8VjEktUM-1uOvHB2GTO1CwXXa0I8J4cI9SfYJYH51JcgsNYiUMPco.n_IPywJQLwsI9c8KLiT00ROI3AwqjNeBnAMhTGHjRC8&amp;dib_tag=se&amp;keywords=parodontax+WHITENING&amp;qid=1760473509&amp;refinements=p_123%3A320727&amp;rnid=91049101031&amp;sprefix=parodontax+whitening%2Caps%2C99&amp;sr=8-13</t>
        </is>
      </c>
      <c r="L1013" s="18" t="inlineStr">
        <is>
          <t>B07PT73QHC</t>
        </is>
      </c>
      <c r="M1013" s="19" t="n"/>
      <c r="N1013" s="19" t="n"/>
      <c r="O1013" s="19" t="n">
        <v>20.4</v>
      </c>
      <c r="P1013" s="19">
        <f>O1013/1.19</f>
        <v/>
      </c>
      <c r="Q1013" s="19">
        <f>O1013-P1013</f>
        <v/>
      </c>
      <c r="R1013" s="19">
        <f>O1013*0.15</f>
        <v/>
      </c>
      <c r="S1013" s="19" t="n">
        <v>7.95</v>
      </c>
      <c r="T1013" s="19">
        <f>S1013*0.2</f>
        <v/>
      </c>
      <c r="U1013" s="19" t="n">
        <v>0.400000000000002</v>
      </c>
      <c r="V1013" s="19" t="n">
        <v>4.4</v>
      </c>
      <c r="W1013" s="19">
        <f>V1013*0.2</f>
        <v/>
      </c>
      <c r="X1013" s="21">
        <f>O1013-Q1013-R1013-S1013-U1013-V1013+T1013+W1013</f>
        <v/>
      </c>
      <c r="Y1013" s="18" t="n"/>
      <c r="Z1013" s="19">
        <f>O1013+1.5</f>
        <v/>
      </c>
      <c r="AA1013" s="19" t="n"/>
      <c r="AB1013" s="19" t="n"/>
      <c r="AC1013" s="18" t="n"/>
      <c r="AD1013" s="18" t="n"/>
      <c r="AE1013" s="13" t="inlineStr">
        <is>
          <t>NOT_UPLOADED</t>
        </is>
      </c>
    </row>
    <row r="1014" ht="16" customHeight="1">
      <c r="A1014" s="12" t="n"/>
      <c r="B1014" s="12" t="n">
        <v>5999518582144</v>
      </c>
      <c r="C1014" s="20" t="inlineStr">
        <is>
          <t>PACK X 2</t>
        </is>
      </c>
      <c r="D1014" s="14" t="n"/>
      <c r="E1014" s="14" t="inlineStr">
        <is>
          <t>AMP-59995185821442</t>
        </is>
      </c>
      <c r="F1014" s="12" t="n">
        <v>3401004</v>
      </c>
      <c r="G1014" s="14" t="inlineStr">
        <is>
          <t>AMPEREL</t>
        </is>
      </c>
      <c r="H1014" s="14" t="inlineStr">
        <is>
          <t>PARODONTAX</t>
        </is>
      </c>
      <c r="I1014" s="14" t="inlineStr">
        <is>
          <t>2 x Parodontax Zahnasta – Fluoride Whitening - 2 x 75ml</t>
        </is>
      </c>
      <c r="J1014" s="14" t="inlineStr">
        <is>
          <t>No</t>
        </is>
      </c>
      <c r="K1014" s="14" t="inlineStr">
        <is>
          <t>https://www.amazon.de/Parodontax-Zahnasta-Fluoride-Whitening-75ml/dp/B01I3ELWRE/ref=sr_1_16?__mk_de_DE=%C3%85M%C3%85%C5%BD%C3%95%C3%91&amp;crid=386163QEM5IIS&amp;dib=eyJ2IjoiMSJ9.Y5-EqRzFaxxRU5krmuRvuUfYS1tdB-xybIPBKT86ICbCjcbcG1tsljlkj2d9DplvJoCmjnsg_V04jDxQLjlfxgl96eTmrB7LYXqxv6oCd9fDrSsc6rLWOIbn3KO_7p7J3PqBHJyVAyaQb6rIvyY3-S4RSSBL0ughI58idNaDz9rq8g2AS7ocytdt4QnG9GAk0IMyD14oA3xtOVRGDQaxrpnUR9QuF7ClBbFgOJ1C0OMfs7N770Mt1T8VjEktUM-1uOvHB2GTO1CwXXa0I8J4cI9SfYJYH51JcgsNYiUMPco.n_IPywJQLwsI9c8KLiT00ROI3AwqjNeBnAMhTGHjRC8&amp;dib_tag=se&amp;keywords=parodontax+WHITENING&amp;qid=1760473509&amp;refinements=p_123%3A320727&amp;rnid=91049101031&amp;sprefix=parodontax+whitening%2Caps%2C99&amp;sr=8-16</t>
        </is>
      </c>
      <c r="L1014" s="14" t="inlineStr">
        <is>
          <t>B01I3ELWRE</t>
        </is>
      </c>
      <c r="M1014" s="15" t="n"/>
      <c r="N1014" s="15" t="n"/>
      <c r="O1014" s="15" t="n">
        <v>15.9</v>
      </c>
      <c r="P1014" s="15">
        <f>O1014/1.19</f>
        <v/>
      </c>
      <c r="Q1014" s="15">
        <f>O1014-P1014</f>
        <v/>
      </c>
      <c r="R1014" s="15">
        <f>O1014*0.15</f>
        <v/>
      </c>
      <c r="S1014" s="15" t="n">
        <v>5.3</v>
      </c>
      <c r="T1014" s="15">
        <f>S1014*0.2</f>
        <v/>
      </c>
      <c r="U1014" s="15" t="n">
        <v>0.400000000000002</v>
      </c>
      <c r="V1014" s="15" t="n">
        <v>3.4</v>
      </c>
      <c r="W1014" s="15">
        <f>V1014*0.2</f>
        <v/>
      </c>
      <c r="X1014" s="21">
        <f>O1014-Q1014-R1014-S1014-U1014-V1014+T1014+W1014</f>
        <v/>
      </c>
      <c r="Y1014" s="14" t="n"/>
      <c r="Z1014" s="15">
        <f>O1014+1.5</f>
        <v/>
      </c>
      <c r="AA1014" s="15" t="n"/>
      <c r="AB1014" s="15" t="n"/>
      <c r="AC1014" s="14" t="n"/>
      <c r="AD1014" s="14" t="n"/>
      <c r="AE1014" s="13" t="inlineStr">
        <is>
          <t>NOT_UPLOADED</t>
        </is>
      </c>
    </row>
    <row r="1015" ht="16" customHeight="1">
      <c r="A1015" s="17" t="n"/>
      <c r="B1015" s="17" t="n">
        <v>5999518582144</v>
      </c>
      <c r="C1015" s="13" t="n"/>
      <c r="D1015" s="18" t="n"/>
      <c r="E1015" s="18" t="inlineStr">
        <is>
          <t>AMP-59995185821441</t>
        </is>
      </c>
      <c r="F1015" s="17" t="n">
        <v>3401004</v>
      </c>
      <c r="G1015" s="18" t="inlineStr">
        <is>
          <t>AMPEREL</t>
        </is>
      </c>
      <c r="H1015" s="18" t="inlineStr">
        <is>
          <t>PARODONTAX</t>
        </is>
      </c>
      <c r="I1015" s="18" t="inlineStr">
        <is>
          <t>Parodontax Blanqueante 75Ml</t>
        </is>
      </c>
      <c r="J1015" s="18" t="inlineStr">
        <is>
          <t>No</t>
        </is>
      </c>
      <c r="K1015" s="18" t="inlineStr">
        <is>
          <t>https://www.amazon.de/Paradontax-Parodontax-Dent%C3%ADfrico-Blanqueante-75/dp/B089SX1Y44/ref=sr_1_17?__mk_de_DE=%C3%85M%C3%85%C5%BD%C3%95%C3%91&amp;crid=386163QEM5IIS&amp;dib=eyJ2IjoiMSJ9.Y5-EqRzFaxxRU5krmuRvuUfYS1tdB-xybIPBKT86ICbCjcbcG1tsljlkj2d9DplvJoCmjnsg_V04jDxQLjlfxgl96eTmrB7LYXqxv6oCd9fDrSsc6rLWOIbn3KO_7p7J3PqBHJyVAyaQb6rIvyY3-S4RSSBL0ughI58idNaDz9rq8g2AS7ocytdt4QnG9GAk0IMyD14oA3xtOVRGDQaxrpnUR9QuF7ClBbFgOJ1C0OMfs7N770Mt1T8VjEktUM-1uOvHB2GTO1CwXXa0I8J4cI9SfYJYH51JcgsNYiUMPco.n_IPywJQLwsI9c8KLiT00ROI3AwqjNeBnAMhTGHjRC8&amp;dib_tag=se&amp;keywords=parodontax+WHITENING&amp;qid=1760473509&amp;refinements=p_123%3A320727&amp;rnid=91049101031&amp;sprefix=parodontax+whitening%2Caps%2C99&amp;sr=8-17</t>
        </is>
      </c>
      <c r="L1015" s="18" t="inlineStr">
        <is>
          <t>B089SX1Y44</t>
        </is>
      </c>
      <c r="M1015" s="19" t="n">
        <v>12.99</v>
      </c>
      <c r="N1015" s="19" t="n"/>
      <c r="O1015" s="19" t="n">
        <v>12.5</v>
      </c>
      <c r="P1015" s="19">
        <f>O1015/1.19</f>
        <v/>
      </c>
      <c r="Q1015" s="19">
        <f>O1015-P1015</f>
        <v/>
      </c>
      <c r="R1015" s="19">
        <f>O1015*0.15</f>
        <v/>
      </c>
      <c r="S1015" s="19" t="n">
        <v>2.65</v>
      </c>
      <c r="T1015" s="19">
        <f>S1015*0.2</f>
        <v/>
      </c>
      <c r="U1015" s="19" t="n">
        <v>0.400000000000002</v>
      </c>
      <c r="V1015" s="19" t="n">
        <v>2.4</v>
      </c>
      <c r="W1015" s="19">
        <f>V1015*0.2</f>
        <v/>
      </c>
      <c r="X1015" s="21">
        <f>O1015-Q1015-R1015-S1015-U1015-V1015+T1015+W1015</f>
        <v/>
      </c>
      <c r="Y1015" s="18" t="n"/>
      <c r="Z1015" s="19">
        <f>O1015+1.5</f>
        <v/>
      </c>
      <c r="AA1015" s="19" t="n"/>
      <c r="AB1015" s="19" t="n"/>
      <c r="AC1015" s="18" t="n"/>
      <c r="AD1015" s="18" t="n"/>
      <c r="AE1015" s="13" t="inlineStr">
        <is>
          <t>NOT_UPLOADED</t>
        </is>
      </c>
    </row>
    <row r="1016" ht="16" customHeight="1">
      <c r="A1016" s="12" t="n">
        <v>5054563026163</v>
      </c>
      <c r="B1016" s="12" t="n">
        <v>5999518582144</v>
      </c>
      <c r="C1016" s="13" t="n"/>
      <c r="D1016" s="14" t="n"/>
      <c r="E1016" s="14" t="inlineStr">
        <is>
          <t>AMP-5054563026163</t>
        </is>
      </c>
      <c r="F1016" s="12" t="n">
        <v>3401004</v>
      </c>
      <c r="G1016" s="14" t="inlineStr">
        <is>
          <t>AMPEREL</t>
        </is>
      </c>
      <c r="H1016" s="14" t="inlineStr">
        <is>
          <t>PARODONTAX</t>
        </is>
      </c>
      <c r="I1016" s="14" t="inlineStr">
        <is>
          <t>Parodontax Zahnpasta Whitening, 75 m</t>
        </is>
      </c>
      <c r="J1016" s="14" t="inlineStr">
        <is>
          <t>No</t>
        </is>
      </c>
      <c r="K1016" s="14" t="inlineStr">
        <is>
          <t>https://www.amazon.de/Parodontax-Tandpasta-whitening-75ml/dp/B07VSWJGPT/ref=sr_1_1?__mk_de_DE=%C3%85M%C3%85%C5%BD%C3%95%C3%91&amp;crid=1BG17BVXRAM0Z&amp;dib=eyJ2IjoiMSJ9.RSksG9Ij2I4_PeRynLA23g.2DiJm3trfQzDGlky4x8UFNkIyZmM5V5QZnWJ92AsVDc&amp;dib_tag=se&amp;keywords=B07VSWJGPT&amp;qid=1760474420&amp;sprefix=b07vswjgpt%2Caps%2C75&amp;sr=8-1</t>
        </is>
      </c>
      <c r="L1016" s="14" t="inlineStr">
        <is>
          <t>B07VSWJGPT</t>
        </is>
      </c>
      <c r="M1016" s="15" t="n">
        <v>10.33</v>
      </c>
      <c r="N1016" s="15" t="n"/>
      <c r="O1016" s="15" t="n">
        <v>9.699999999999999</v>
      </c>
      <c r="P1016" s="15">
        <f>O1016/1.19</f>
        <v/>
      </c>
      <c r="Q1016" s="15">
        <f>O1016-P1016</f>
        <v/>
      </c>
      <c r="R1016" s="15">
        <f>O1016*0.15</f>
        <v/>
      </c>
      <c r="S1016" s="15" t="n">
        <v>2.65</v>
      </c>
      <c r="T1016" s="15">
        <f>S1016*0.2</f>
        <v/>
      </c>
      <c r="U1016" s="15" t="n">
        <v>0.400000000000002</v>
      </c>
      <c r="V1016" s="15" t="n">
        <v>2.4</v>
      </c>
      <c r="W1016" s="15">
        <f>V1016*0.2</f>
        <v/>
      </c>
      <c r="X1016" s="21">
        <f>O1016-Q1016-R1016-S1016-U1016-V1016+T1016+W1016</f>
        <v/>
      </c>
      <c r="Y1016" s="14" t="n"/>
      <c r="Z1016" s="15">
        <f>O1016+1.5</f>
        <v/>
      </c>
      <c r="AA1016" s="15" t="n"/>
      <c r="AB1016" s="15" t="n"/>
      <c r="AC1016" s="14" t="n"/>
      <c r="AD1016" s="14" t="n"/>
      <c r="AE1016" s="13" t="inlineStr">
        <is>
          <t>NOT_UPLOADED</t>
        </is>
      </c>
    </row>
    <row r="1017" ht="16" customHeight="1">
      <c r="A1017" s="17" t="n">
        <v>5054563948267</v>
      </c>
      <c r="B1017" s="17" t="n">
        <v>5999518582144</v>
      </c>
      <c r="C1017" s="13" t="n"/>
      <c r="D1017" s="18" t="n"/>
      <c r="E1017" s="18" t="inlineStr">
        <is>
          <t>AMP-5054563948267</t>
        </is>
      </c>
      <c r="F1017" s="17" t="n">
        <v>3401004</v>
      </c>
      <c r="G1017" s="18" t="inlineStr">
        <is>
          <t>AMPEREL</t>
        </is>
      </c>
      <c r="H1017" s="18" t="inlineStr">
        <is>
          <t>PARODONTAX</t>
        </is>
      </c>
      <c r="I1017" s="18" t="inlineStr">
        <is>
          <t>Parodontax Bleichende Zahnpasta 75ml</t>
        </is>
      </c>
      <c r="J1017" s="18" t="inlineStr">
        <is>
          <t>No</t>
        </is>
      </c>
      <c r="K1017" s="18" t="inlineStr">
        <is>
          <t>https://www.amazon.de/Parodontax-Bleichende-Zahnpasta-75ml/dp/B0C9S9ZDNF/ref=sr_1_23?__mk_de_DE=%C3%85M%C3%85%C5%BD%C3%95%C3%91&amp;crid=386163QEM5IIS&amp;dib=eyJ2IjoiMSJ9.Y5-EqRzFaxxRU5krmuRvuUfYS1tdB-xybIPBKT86ICbCjcbcG1tsljlkj2d9DplvJoCmjnsg_V04jDxQLjlfxgl96eTmrB7LYXqxv6oCd9fDrSsc6rLWOIbn3KO_7p7J3PqBHJyVAyaQb6rIvyY3-S4RSSBL0ughI58idNaDz9rq8g2AS7ocytdt4QnG9GAk0IMyD14oA3xtOVRGDQaxrpnUR9QuF7ClBbFgOJ1C0OMfs7N770Mt1T8VjEktUM-1uOvHB2GTO1CwXXa0I8J4cI9SfYJYH51JcgsNYiUMPco.n_IPywJQLwsI9c8KLiT00ROI3AwqjNeBnAMhTGHjRC8&amp;dib_tag=se&amp;keywords=parodontax+WHITENING&amp;qid=1760473509&amp;refinements=p_123%3A320727&amp;rnid=91049101031&amp;sprefix=parodontax+whitening%2Caps%2C99&amp;sr=8-23</t>
        </is>
      </c>
      <c r="L1017" s="18" t="inlineStr">
        <is>
          <t>B0C9S9ZDNF</t>
        </is>
      </c>
      <c r="M1017" s="19" t="n"/>
      <c r="N1017" s="19" t="n"/>
      <c r="O1017" s="19" t="n">
        <v>10.9</v>
      </c>
      <c r="P1017" s="19">
        <f>O1017/1.19</f>
        <v/>
      </c>
      <c r="Q1017" s="19">
        <f>O1017-P1017</f>
        <v/>
      </c>
      <c r="R1017" s="19">
        <f>O1017*0.15</f>
        <v/>
      </c>
      <c r="S1017" s="19" t="n">
        <v>2.65</v>
      </c>
      <c r="T1017" s="19">
        <f>S1017*0.2</f>
        <v/>
      </c>
      <c r="U1017" s="19" t="n">
        <v>0.400000000000002</v>
      </c>
      <c r="V1017" s="19" t="n">
        <v>2.4</v>
      </c>
      <c r="W1017" s="19">
        <f>V1017*0.2</f>
        <v/>
      </c>
      <c r="X1017" s="21">
        <f>O1017-Q1017-R1017-S1017-U1017-V1017+T1017+W1017</f>
        <v/>
      </c>
      <c r="Y1017" s="18" t="n"/>
      <c r="Z1017" s="19">
        <f>O1017+1.5</f>
        <v/>
      </c>
      <c r="AA1017" s="19" t="n"/>
      <c r="AB1017" s="19" t="n"/>
      <c r="AC1017" s="18" t="n"/>
      <c r="AD1017" s="18" t="n"/>
      <c r="AE1017" s="13" t="inlineStr">
        <is>
          <t>NOT_UPLOADED</t>
        </is>
      </c>
    </row>
    <row r="1018" ht="16" customHeight="1">
      <c r="A1018" s="12" t="n">
        <v>3094904500893</v>
      </c>
      <c r="B1018" s="12" t="n">
        <v>5999518582144</v>
      </c>
      <c r="C1018" s="13" t="n"/>
      <c r="D1018" s="14" t="n"/>
      <c r="E1018" s="14" t="inlineStr">
        <is>
          <t>AMP-3094904500893</t>
        </is>
      </c>
      <c r="F1018" s="12" t="n">
        <v>3401004</v>
      </c>
      <c r="G1018" s="14" t="inlineStr">
        <is>
          <t>AMPEREL</t>
        </is>
      </c>
      <c r="H1018" s="14" t="inlineStr">
        <is>
          <t>PARODONTAX</t>
        </is>
      </c>
      <c r="I1018" s="14" t="inlineStr">
        <is>
          <t>PARODONTAX Weißes Zahnpasta</t>
        </is>
      </c>
      <c r="J1018" s="14" t="inlineStr">
        <is>
          <t>No</t>
        </is>
      </c>
      <c r="K1018" s="14" t="inlineStr">
        <is>
          <t>https://www.amazon.de/Parodontax-Whiteness-Toothpaste-Fluorine-75ml/dp/B00GX97KIW/ref=sr_1_25?__mk_de_DE=%C3%85M%C3%85%C5%BD%C3%95%C3%91&amp;crid=386163QEM5IIS&amp;dib=eyJ2IjoiMSJ9.Y5-EqRzFaxxRU5krmuRvuUfYS1tdB-xybIPBKT86ICbCjcbcG1tsljlkj2d9DplvJoCmjnsg_V04jDxQLjlfxgl96eTmrB7LYXqxv6oCd9fDrSsc6rLWOIbn3KO_7p7J3PqBHJyVAyaQb6rIvyY3-S4RSSBL0ughI58idNaDz9rq8g2AS7ocytdt4QnG9GAk0IMyD14oA3xtOVRGDQaxrpnUR9QuF7ClBbFgOJ1C0OMfs7N770Mt1T8VjEktUM-1uOvHB2GTO1CwXXa0I8J4cI9SfYJYH51JcgsNYiUMPco.n_IPywJQLwsI9c8KLiT00ROI3AwqjNeBnAMhTGHjRC8&amp;dib_tag=se&amp;keywords=parodontax+WHITENING&amp;qid=1760473509&amp;refinements=p_123%3A320727&amp;rnid=91049101031&amp;sprefix=parodontax+whitening%2Caps%2C99&amp;sr=8-25</t>
        </is>
      </c>
      <c r="L1018" s="14" t="inlineStr">
        <is>
          <t>B00GX97KIW</t>
        </is>
      </c>
      <c r="M1018" s="15" t="n"/>
      <c r="N1018" s="15" t="n"/>
      <c r="O1018" s="15" t="n">
        <v>11.5</v>
      </c>
      <c r="P1018" s="15">
        <f>O1018/1.19</f>
        <v/>
      </c>
      <c r="Q1018" s="15">
        <f>O1018-P1018</f>
        <v/>
      </c>
      <c r="R1018" s="15">
        <f>O1018*0.15</f>
        <v/>
      </c>
      <c r="S1018" s="15" t="n">
        <v>2.65</v>
      </c>
      <c r="T1018" s="15">
        <f>S1018*0.2</f>
        <v/>
      </c>
      <c r="U1018" s="15" t="n">
        <v>0.400000000000002</v>
      </c>
      <c r="V1018" s="15" t="n">
        <v>2.4</v>
      </c>
      <c r="W1018" s="15">
        <f>V1018*0.2</f>
        <v/>
      </c>
      <c r="X1018" s="21">
        <f>O1018-Q1018-R1018-S1018-U1018-V1018+T1018+W1018</f>
        <v/>
      </c>
      <c r="Y1018" s="14" t="n"/>
      <c r="Z1018" s="15">
        <f>O1018+1.5</f>
        <v/>
      </c>
      <c r="AA1018" s="15" t="n"/>
      <c r="AB1018" s="15" t="n"/>
      <c r="AC1018" s="14" t="n"/>
      <c r="AD1018" s="14" t="n"/>
      <c r="AE1018" s="13" t="inlineStr">
        <is>
          <t>NOT_UPLOADED</t>
        </is>
      </c>
    </row>
    <row r="1019" ht="16" customHeight="1">
      <c r="A1019" s="17" t="n">
        <v>5054563949394</v>
      </c>
      <c r="B1019" s="17" t="n">
        <v>5054563011275</v>
      </c>
      <c r="C1019" s="13" t="n"/>
      <c r="D1019" s="18" t="n"/>
      <c r="E1019" s="18" t="inlineStr">
        <is>
          <t>AMP-5054563949394</t>
        </is>
      </c>
      <c r="F1019" s="17" t="n">
        <v>3401007</v>
      </c>
      <c r="G1019" s="18" t="inlineStr">
        <is>
          <t>AMPEREL</t>
        </is>
      </c>
      <c r="H1019" s="18" t="inlineStr">
        <is>
          <t>PARODONTAX</t>
        </is>
      </c>
      <c r="I1019" s="18" t="inlineStr">
        <is>
          <t>Parodontax Ultra Clean 75ml, hilft Zahnfleischbluten zu reduzieren und vorzubeugen</t>
        </is>
      </c>
      <c r="J1019" s="18" t="inlineStr">
        <is>
          <t>No</t>
        </is>
      </c>
      <c r="K1019" s="18" t="inlineStr">
        <is>
          <t>https://www.amazon.de/Parodontax-Zahnpasta-Zahnfleischbluten-reduzieren-vorzubeugen/dp/B0BTMKJJL7/ref=sr_1_1?crid=3EA1DQ5JFYV81&amp;dib=eyJ2IjoiMSJ9.v95znd0Msu78cf-WAkiKh1JxjKZc3Ang_Gt7OrHKutOECk7g24hpf6Keg572tPV0JD0UPB8eybsZvtELTDWecOkXipIQCttjahZfgyzSMpf9bTIvpPAEJXjGOyNmwKTq5wPuzwGYKumsqyYpIeW5QWq4_Dj59LHOV5Am_x40sRs-WX83TnDjGq0QEDLLB44SLaBoSEdOTBXzLiY8U-lJCZ-4oP4KUb10EEZHDBZMJVTp0zM5dyLmMZnroTA6n4hoEdw8-nzkXKFKr78KRxIHwhL4y1-HM51NgARIej3Zl-A.P4E6fymcx_ezwW4ur3I0lUhFYcL0HMLpmiKUOwthbmI&amp;dib_tag=se&amp;keywords=parodontax+ultra+clean&amp;qid=1760553586&amp;sprefix=parodontax+ULTRA+C%2Caps%2C95&amp;sr=8-1</t>
        </is>
      </c>
      <c r="L1019" s="18" t="inlineStr">
        <is>
          <t>B0BTMKJJL7</t>
        </is>
      </c>
      <c r="M1019" s="19" t="n"/>
      <c r="N1019" s="19" t="n"/>
      <c r="O1019" s="19" t="n">
        <v>9.75</v>
      </c>
      <c r="P1019" s="19">
        <f>O1019/1.19</f>
        <v/>
      </c>
      <c r="Q1019" s="19">
        <f>O1019-P1019</f>
        <v/>
      </c>
      <c r="R1019" s="19">
        <f>O1019*0.15</f>
        <v/>
      </c>
      <c r="S1019" s="19" t="n">
        <v>2.65</v>
      </c>
      <c r="T1019" s="19">
        <f>S1019*0.2</f>
        <v/>
      </c>
      <c r="U1019" s="19" t="n">
        <v>0.400000000000002</v>
      </c>
      <c r="V1019" s="19" t="n">
        <v>2.4</v>
      </c>
      <c r="W1019" s="19">
        <f>V1019*0.2</f>
        <v/>
      </c>
      <c r="X1019" s="21">
        <f>O1019-Q1019-R1019-S1019-U1019-V1019+T1019+W1019</f>
        <v/>
      </c>
      <c r="Y1019" s="18" t="n"/>
      <c r="Z1019" s="19">
        <f>O1019+1.5</f>
        <v/>
      </c>
      <c r="AA1019" s="19" t="n"/>
      <c r="AB1019" s="19" t="n"/>
      <c r="AC1019" s="18" t="n"/>
      <c r="AD1019" s="18" t="n"/>
      <c r="AE1019" s="13" t="inlineStr">
        <is>
          <t>NOT_UPLOADED</t>
        </is>
      </c>
    </row>
    <row r="1020" ht="16" customHeight="1">
      <c r="A1020" s="12" t="n">
        <v>5054563016690</v>
      </c>
      <c r="B1020" s="12" t="n">
        <v>5054563011275</v>
      </c>
      <c r="C1020" s="20" t="inlineStr">
        <is>
          <t>PACK X 6</t>
        </is>
      </c>
      <c r="D1020" s="14" t="n"/>
      <c r="E1020" s="14" t="inlineStr">
        <is>
          <t>AMP-5054563016690</t>
        </is>
      </c>
      <c r="F1020" s="12" t="n">
        <v>3401007</v>
      </c>
      <c r="G1020" s="14" t="inlineStr">
        <is>
          <t>AMPEREL</t>
        </is>
      </c>
      <c r="H1020" s="14" t="inlineStr">
        <is>
          <t>PARODONTAX</t>
        </is>
      </c>
      <c r="I1020" s="14" t="inlineStr">
        <is>
          <t>Parodontax 6 x Zahnpasta Ultra Clean - 75 ml</t>
        </is>
      </c>
      <c r="J1020" s="14" t="inlineStr">
        <is>
          <t>No</t>
        </is>
      </c>
      <c r="K1020" s="14" t="inlineStr">
        <is>
          <t>https://www.amazon.de/PARODONTAX-Zahnpasta-Ultra-Clean-75/dp/B072FKKPPL/ref=sr_1_2?crid=3EA1DQ5JFYV81&amp;dib=eyJ2IjoiMSJ9.v95znd0Msu78cf-WAkiKh1JxjKZc3Ang_Gt7OrHKutOECk7g24hpf6Keg572tPV0JD0UPB8eybsZvtELTDWecOkXipIQCttjahZfgyzSMpf9bTIvpPAEJXjGOyNmwKTq5wPuzwGYKumsqyYpIeW5QWq4_Dj59LHOV5Am_x40sRs-WX83TnDjGq0QEDLLB44SLaBoSEdOTBXzLiY8U-lJCZ-4oP4KUb10EEZHDBZMJVTp0zM5dyLmMZnroTA6n4hoEdw8-nzkXKFKr78KRxIHwhL4y1-HM51NgARIej3Zl-A.P4E6fymcx_ezwW4ur3I0lUhFYcL0HMLpmiKUOwthbmI&amp;dib_tag=se&amp;keywords=parodontax+ultra+clean&amp;qid=1760553586&amp;sprefix=parodontax+ULTRA+C%2Caps%2C95&amp;sr=8-2</t>
        </is>
      </c>
      <c r="L1020" s="14" t="inlineStr">
        <is>
          <t>B072FKKPPL</t>
        </is>
      </c>
      <c r="M1020" s="15" t="n"/>
      <c r="N1020" s="15" t="n"/>
      <c r="O1020" s="15" t="n">
        <v>39.99</v>
      </c>
      <c r="P1020" s="15">
        <f>O1020/1.19</f>
        <v/>
      </c>
      <c r="Q1020" s="15">
        <f>O1020-P1020</f>
        <v/>
      </c>
      <c r="R1020" s="15">
        <f>O1020*0.15</f>
        <v/>
      </c>
      <c r="S1020" s="15" t="n">
        <v>17.05</v>
      </c>
      <c r="T1020" s="15">
        <f>S1020*0.2</f>
        <v/>
      </c>
      <c r="U1020" s="15" t="n">
        <v>0.400000000000002</v>
      </c>
      <c r="V1020" s="15" t="n">
        <v>11.75</v>
      </c>
      <c r="W1020" s="15">
        <f>V1020*0.2</f>
        <v/>
      </c>
      <c r="X1020" s="21">
        <f>O1020-Q1020-R1020-S1020-U1020-V1020+T1020+W1020</f>
        <v/>
      </c>
      <c r="Y1020" s="14" t="n"/>
      <c r="Z1020" s="15">
        <f>O1020+1.5</f>
        <v/>
      </c>
      <c r="AA1020" s="15" t="n"/>
      <c r="AB1020" s="15" t="n"/>
      <c r="AC1020" s="14" t="n"/>
      <c r="AD1020" s="14" t="n"/>
      <c r="AE1020" s="13" t="inlineStr">
        <is>
          <t>NOT_UPLOADED</t>
        </is>
      </c>
    </row>
    <row r="1021" ht="16" customHeight="1">
      <c r="A1021" s="17" t="n">
        <v>5054563016683</v>
      </c>
      <c r="B1021" s="17" t="n">
        <v>5054563011275</v>
      </c>
      <c r="C1021" s="20" t="inlineStr">
        <is>
          <t>PACK X 4</t>
        </is>
      </c>
      <c r="D1021" s="18" t="n"/>
      <c r="E1021" s="18" t="inlineStr">
        <is>
          <t>AMP-5054563016683</t>
        </is>
      </c>
      <c r="F1021" s="17" t="n">
        <v>3401007</v>
      </c>
      <c r="G1021" s="18" t="inlineStr">
        <is>
          <t>AMPEREL</t>
        </is>
      </c>
      <c r="H1021" s="18" t="inlineStr">
        <is>
          <t>PARODONTAX</t>
        </is>
      </c>
      <c r="I1021" s="18" t="inlineStr">
        <is>
          <t>Parodontax 4 x Zahnpasta Ultra Clean - 75 ml</t>
        </is>
      </c>
      <c r="J1021" s="18" t="inlineStr">
        <is>
          <t>No</t>
        </is>
      </c>
      <c r="K1021" s="18" t="inlineStr">
        <is>
          <t>https://www.amazon.de/PARODONTAX-Zahnpasta-Ultra-Clean-75/dp/B071ZB432V/ref=sr_1_4?crid=3EA1DQ5JFYV81&amp;dib=eyJ2IjoiMSJ9.v95znd0Msu78cf-WAkiKh1JxjKZc3Ang_Gt7OrHKutOECk7g24hpf6Keg572tPV0JD0UPB8eybsZvtELTDWecOkXipIQCttjahZfgyzSMpf9bTIvpPAEJXjGOyNmwKTq5wPuzwGYKumsqyYpIeW5QWq4_Dj59LHOV5Am_x40sRs-WX83TnDjGq0QEDLLB44SLaBoSEdOTBXzLiY8U-lJCZ-4oP4KUb10EEZHDBZMJVTp0zM5dyLmMZnroTA6n4hoEdw8-nzkXKFKr78KRxIHwhL4y1-HM51NgARIej3Zl-A.P4E6fymcx_ezwW4ur3I0lUhFYcL0HMLpmiKUOwthbmI&amp;dib_tag=se&amp;keywords=parodontax+ultra+clean&amp;qid=1760553586&amp;sprefix=parodontax+ULTRA+C%2Caps%2C95&amp;sr=8-4</t>
        </is>
      </c>
      <c r="L1021" s="18" t="inlineStr">
        <is>
          <t>B071ZB432V</t>
        </is>
      </c>
      <c r="M1021" s="19" t="n"/>
      <c r="N1021" s="19" t="n"/>
      <c r="O1021" s="19" t="n">
        <v>29</v>
      </c>
      <c r="P1021" s="19">
        <f>O1021/1.19</f>
        <v/>
      </c>
      <c r="Q1021" s="19">
        <f>O1021-P1021</f>
        <v/>
      </c>
      <c r="R1021" s="19">
        <f>O1021*0.15</f>
        <v/>
      </c>
      <c r="S1021" s="19" t="n">
        <v>11.36</v>
      </c>
      <c r="T1021" s="19">
        <f>S1021*0.2</f>
        <v/>
      </c>
      <c r="U1021" s="19" t="n">
        <v>0.400000000000002</v>
      </c>
      <c r="V1021" s="19" t="n">
        <v>8</v>
      </c>
      <c r="W1021" s="19">
        <f>V1021*0.2</f>
        <v/>
      </c>
      <c r="X1021" s="21">
        <f>O1021-Q1021-R1021-S1021-U1021-V1021+T1021+W1021</f>
        <v/>
      </c>
      <c r="Y1021" s="18" t="n"/>
      <c r="Z1021" s="19">
        <f>O1021+1.5</f>
        <v/>
      </c>
      <c r="AA1021" s="19" t="n"/>
      <c r="AB1021" s="19" t="n"/>
      <c r="AC1021" s="18" t="n"/>
      <c r="AD1021" s="18" t="n"/>
      <c r="AE1021" s="13" t="inlineStr">
        <is>
          <t>NOT_UPLOADED</t>
        </is>
      </c>
    </row>
    <row r="1022" ht="16" customHeight="1">
      <c r="A1022" s="12" t="n">
        <v>5054563030603</v>
      </c>
      <c r="B1022" s="12" t="n">
        <v>5054563011275</v>
      </c>
      <c r="C1022" s="13" t="n"/>
      <c r="D1022" s="14" t="n"/>
      <c r="E1022" s="14" t="inlineStr">
        <is>
          <t>AMP-5054563030603</t>
        </is>
      </c>
      <c r="F1022" s="12" t="n">
        <v>3401007</v>
      </c>
      <c r="G1022" s="14" t="inlineStr">
        <is>
          <t>AMPEREL</t>
        </is>
      </c>
      <c r="H1022" s="14" t="inlineStr">
        <is>
          <t>PARODONTAX</t>
        </is>
      </c>
      <c r="I1022" s="14" t="inlineStr">
        <is>
          <t>Parodontax Ultra Clean, Zahnpasta hilft dabei, Zahnfleisch zu reduzieren und zu verhindern und starke Zähne und frische Alice zu halten, 75 ml</t>
        </is>
      </c>
      <c r="J1022" s="14" t="inlineStr">
        <is>
          <t>No</t>
        </is>
      </c>
      <c r="K1022" s="14" t="inlineStr">
        <is>
          <t>https://www.amazon.de/Parodontax-Ultra-Clean-Zahncreme-75ml/dp/B0719Q5TH5/ref=sr_1_5?crid=3EA1DQ5JFYV81&amp;dib=eyJ2IjoiMSJ9.v95znd0Msu78cf-WAkiKh1JxjKZc3Ang_Gt7OrHKutOECk7g24hpf6Keg572tPV0JD0UPB8eybsZvtELTDWecOkXipIQCttjahZfgyzSMpf9bTIvpPAEJXjGOyNmwKTq5wPuzwGYKumsqyYpIeW5QWq4_Dj59LHOV5Am_x40sRs-WX83TnDjGq0QEDLLB44SLaBoSEdOTBXzLiY8U-lJCZ-4oP4KUb10EEZHDBZMJVTp0zM5dyLmMZnroTA6n4hoEdw8-nzkXKFKr78KRxIHwhL4y1-HM51NgARIej3Zl-A.P4E6fymcx_ezwW4ur3I0lUhFYcL0HMLpmiKUOwthbmI&amp;dib_tag=se&amp;keywords=parodontax%2Bultra%2Bclean&amp;qid=1760553586&amp;sprefix=parodontax%2BULTRA%2BC%2Caps%2C95&amp;sr=8-5&amp;th=1</t>
        </is>
      </c>
      <c r="L1022" s="14" t="inlineStr">
        <is>
          <t>B0719Q5TH5</t>
        </is>
      </c>
      <c r="M1022" s="15" t="n"/>
      <c r="N1022" s="15" t="n"/>
      <c r="O1022" s="15" t="n">
        <v>9.699999999999999</v>
      </c>
      <c r="P1022" s="15">
        <f>O1022/1.19</f>
        <v/>
      </c>
      <c r="Q1022" s="15">
        <f>O1022-P1022</f>
        <v/>
      </c>
      <c r="R1022" s="15">
        <f>O1022*0.15</f>
        <v/>
      </c>
      <c r="S1022" s="15" t="n">
        <v>2.84</v>
      </c>
      <c r="T1022" s="15">
        <f>S1022*0.2</f>
        <v/>
      </c>
      <c r="U1022" s="15" t="n">
        <v>0.400000000000002</v>
      </c>
      <c r="V1022" s="15" t="n">
        <v>2.4</v>
      </c>
      <c r="W1022" s="15">
        <f>V1022*0.2</f>
        <v/>
      </c>
      <c r="X1022" s="21">
        <f>O1022-Q1022-R1022-S1022-U1022-V1022+T1022+W1022</f>
        <v/>
      </c>
      <c r="Y1022" s="14" t="n"/>
      <c r="Z1022" s="15">
        <f>O1022+1.5</f>
        <v/>
      </c>
      <c r="AA1022" s="15" t="n"/>
      <c r="AB1022" s="15" t="n"/>
      <c r="AC1022" s="14" t="n"/>
      <c r="AD1022" s="14" t="n"/>
      <c r="AE1022" s="13" t="inlineStr">
        <is>
          <t>NOT_UPLOADED</t>
        </is>
      </c>
    </row>
    <row r="1023" ht="16" customHeight="1">
      <c r="A1023" s="17" t="n">
        <v>5054563112279</v>
      </c>
      <c r="B1023" s="17" t="n">
        <v>5054563011275</v>
      </c>
      <c r="C1023" s="13" t="n"/>
      <c r="D1023" s="18" t="n"/>
      <c r="E1023" s="18" t="inlineStr">
        <is>
          <t>AMP-5054563112279</t>
        </is>
      </c>
      <c r="F1023" s="17" t="n">
        <v>3401007</v>
      </c>
      <c r="G1023" s="18" t="inlineStr">
        <is>
          <t>AMPEREL</t>
        </is>
      </c>
      <c r="H1023" s="18" t="inlineStr">
        <is>
          <t>PARODONTAX</t>
        </is>
      </c>
      <c r="I1023" s="18" t="inlineStr">
        <is>
          <t>Parodontax Ultra Clean, Tägliche Zahnpasta für Gesundes Zahnfleisch und starke Zähne, 75 ml</t>
        </is>
      </c>
      <c r="J1023" s="18" t="inlineStr">
        <is>
          <t>No</t>
        </is>
      </c>
      <c r="K1023" s="18" t="inlineStr">
        <is>
          <t>https://www.amazon.de/Parodontax-Ultra-Clean-Zahnpasta-75/dp/B0982QGPJ7/ref=sr_1_6?crid=3EA1DQ5JFYV81&amp;dib=eyJ2IjoiMSJ9.v95znd0Msu78cf-WAkiKh1JxjKZc3Ang_Gt7OrHKutOECk7g24hpf6Keg572tPV0JD0UPB8eybsZvtELTDWecOkXipIQCttjahZfgyzSMpf9bTIvpPAEJXjGOyNmwKTq5wPuzwGYKumsqyYpIeW5QWq4_Dj59LHOV5Am_x40sRs-WX83TnDjGq0QEDLLB44SLaBoSEdOTBXzLiY8U-lJCZ-4oP4KUb10EEZHDBZMJVTp0zM5dyLmMZnroTA6n4hoEdw8-nzkXKFKr78KRxIHwhL4y1-HM51NgARIej3Zl-A.P4E6fymcx_ezwW4ur3I0lUhFYcL0HMLpmiKUOwthbmI&amp;dib_tag=se&amp;keywords=parodontax+ultra+clean&amp;qid=1760553586&amp;sprefix=parodontax+ULTRA+C%2Caps%2C95&amp;sr=8-6</t>
        </is>
      </c>
      <c r="L1023" s="18" t="inlineStr">
        <is>
          <t>B0982QGPJ7</t>
        </is>
      </c>
      <c r="M1023" s="19" t="n"/>
      <c r="N1023" s="19" t="n"/>
      <c r="O1023" s="19" t="n">
        <v>9.9</v>
      </c>
      <c r="P1023" s="19">
        <f>O1023/1.19</f>
        <v/>
      </c>
      <c r="Q1023" s="19">
        <f>O1023-P1023</f>
        <v/>
      </c>
      <c r="R1023" s="19">
        <f>O1023*0.15</f>
        <v/>
      </c>
      <c r="S1023" s="19" t="n">
        <v>2.84</v>
      </c>
      <c r="T1023" s="19">
        <f>S1023*0.2</f>
        <v/>
      </c>
      <c r="U1023" s="19" t="n">
        <v>0.400000000000002</v>
      </c>
      <c r="V1023" s="19" t="n">
        <v>2.4</v>
      </c>
      <c r="W1023" s="19">
        <f>V1023*0.2</f>
        <v/>
      </c>
      <c r="X1023" s="21">
        <f>O1023-Q1023-R1023-S1023-U1023-V1023+T1023+W1023</f>
        <v/>
      </c>
      <c r="Y1023" s="18" t="n"/>
      <c r="Z1023" s="19">
        <f>O1023+1.5</f>
        <v/>
      </c>
      <c r="AA1023" s="19" t="n"/>
      <c r="AB1023" s="19" t="n"/>
      <c r="AC1023" s="18" t="n"/>
      <c r="AD1023" s="18" t="n"/>
      <c r="AE1023" s="13" t="inlineStr">
        <is>
          <t>NOT_UPLOADED</t>
        </is>
      </c>
    </row>
    <row r="1024" ht="16" customHeight="1">
      <c r="A1024" s="12" t="n"/>
      <c r="B1024" s="12" t="n">
        <v>3800132250154</v>
      </c>
      <c r="C1024" s="13" t="n"/>
      <c r="D1024" s="14" t="n"/>
      <c r="E1024" s="14" t="n"/>
      <c r="F1024" s="12" t="n">
        <v>3404002</v>
      </c>
      <c r="G1024" s="14" t="inlineStr">
        <is>
          <t>AMPEREL</t>
        </is>
      </c>
      <c r="H1024" s="14" t="inlineStr">
        <is>
          <t>PARODONTAX</t>
        </is>
      </c>
      <c r="I1024" s="14" t="inlineStr">
        <is>
          <t>Parodontax Tägliches Mundwasser mit frischer Minze – Die Flasche mit 500 ml</t>
        </is>
      </c>
      <c r="J1024" s="14" t="inlineStr">
        <is>
          <t>No</t>
        </is>
      </c>
      <c r="K1024" s="14" t="inlineStr">
        <is>
          <t>https://www.amazon.de/Parodontax-T%C3%A4gliches-Mundwasser-aktiver-Zahnfleisch/dp/B07MBLNXJM/ref=sr_1_7?__mk_de_DE=%C3%85M%C3%85%C5%BD%C3%95%C3%91&amp;crid=1TJ866X5EFP75&amp;dib=eyJ2IjoiMSJ9.weeHJ5q9ofS1BgmcbraRae7L5yuey1b-MNREGmgfflh5aaX_SJXHFiPJEMO1-jB9GEi7j3wq75VkRGQLNoleZ85tmR0z0vtjWtyfWZ6FXsO6SpwdyMrXggvBOOwkd1excSvgOq0F_K6j9lm70TJYeiwOLCPKdM07HwjoCF8T1XoXK68EyLtMBdZ87JHe8S-6m1drTuKQb58NTTiuV_mJVHj7nOq_UfvvsNm_H5n9wSV-F_ldg41P-5YB6KFUzZVn40jPqQvZa7UzqgE1jWBDheuxrnJ1uxvqwyU-oM8yBu0.Mz4M9MjcU-hdC0k1hkteLkt3r6vMkW_FmHqSoQ4jeTo&amp;dib_tag=se&amp;keywords=parodontax%2Bmouthwash%2B500ML&amp;qid=1760555356&amp;sprefix=parodontax%2Bmouthwash%2B500ml%2Caps%2C119&amp;sr=8-7&amp;th=1</t>
        </is>
      </c>
      <c r="L1024" s="14" t="inlineStr">
        <is>
          <t>B07MBLNXJM</t>
        </is>
      </c>
      <c r="M1024" s="15" t="n"/>
      <c r="N1024" s="15" t="n"/>
      <c r="O1024" s="15" t="n">
        <v>15</v>
      </c>
      <c r="P1024" s="15">
        <f>O1024/1.19</f>
        <v/>
      </c>
      <c r="Q1024" s="15">
        <f>O1024-P1024</f>
        <v/>
      </c>
      <c r="R1024" s="15">
        <f>O1024*0.15</f>
        <v/>
      </c>
      <c r="S1024" s="15" t="n">
        <v>3.89</v>
      </c>
      <c r="T1024" s="15">
        <f>S1024*0.2</f>
        <v/>
      </c>
      <c r="U1024" s="15" t="n">
        <v>0.400000000000002</v>
      </c>
      <c r="V1024" s="15" t="n">
        <v>6.09</v>
      </c>
      <c r="W1024" s="15">
        <f>V1024*0.2</f>
        <v/>
      </c>
      <c r="X1024" s="16">
        <f>O1024-Q1024-R1024-S1024-U1024-V1024+T1024+W1024</f>
        <v/>
      </c>
      <c r="Y1024" s="14" t="n"/>
      <c r="Z1024" s="15">
        <f>O1024+1.5</f>
        <v/>
      </c>
      <c r="AA1024" s="15" t="n"/>
      <c r="AB1024" s="15" t="n"/>
      <c r="AC1024" s="14" t="n"/>
      <c r="AD1024" s="14" t="n"/>
      <c r="AE1024" s="13" t="inlineStr">
        <is>
          <t>NOT_UPLOADED</t>
        </is>
      </c>
    </row>
    <row r="1025" ht="16" customHeight="1">
      <c r="A1025" s="17" t="n">
        <v>8431890093438</v>
      </c>
      <c r="B1025" s="17" t="n">
        <v>5054563068491</v>
      </c>
      <c r="C1025" s="13" t="n"/>
      <c r="D1025" s="18" t="n"/>
      <c r="E1025" s="18" t="inlineStr">
        <is>
          <t>AMP-8431890093438</t>
        </is>
      </c>
      <c r="F1025" s="17" t="n">
        <v>3404003</v>
      </c>
      <c r="G1025" s="18" t="inlineStr">
        <is>
          <t>AMPEREL</t>
        </is>
      </c>
      <c r="H1025" s="18" t="inlineStr">
        <is>
          <t>PARODONTAX</t>
        </is>
      </c>
      <c r="I1025" s="18" t="inlineStr">
        <is>
          <t>Parodontax Herbal Daily Gum Care 500ml371325</t>
        </is>
      </c>
      <c r="J1025" s="18" t="inlineStr">
        <is>
          <t>No</t>
        </is>
      </c>
      <c r="K1025" s="18" t="inlineStr">
        <is>
          <t>https://www.amazon.de/Parodontax-8431890077643-Mundwasser-500-ml/dp/B00WIBPZ68/ref=sr_1_13?__mk_de_DE=%C3%85M%C3%85%C5%BD%C3%95%C3%91&amp;crid=1TJ866X5EFP75&amp;dib=eyJ2IjoiMSJ9.weeHJ5q9ofS1BgmcbraRae7L5yuey1b-MNREGmgfflh5aaX_SJXHFiPJEMO1-jB9GEi7j3wq75VkRGQLNoleZ85tmR0z0vtjWtyfWZ6FXsO6SpwdyMrXggvBOOwkd1excSvgOq0F_K6j9lm70TJYeiwOLCPKdM07HwjoCF8T1XoXK68EyLtMBdZ87JHe8S-6m1drTuKQb58NTTiuV_mJVHj7nOq_UfvvsNm_H5n9wSV-F_ldg41P-5YB6KFUzZVn40jPqQvZa7UzqgE1jWBDheuxrnJ1uxvqwyU-oM8yBu0.Mz4M9MjcU-hdC0k1hkteLkt3r6vMkW_FmHqSoQ4jeTo&amp;dib_tag=se&amp;keywords=parodontax%2Bmouthwash%2B500ML&amp;qid=1760555356&amp;sprefix=parodontax%2Bmouthwash%2B500ml%2Caps%2C119&amp;sr=8-13&amp;th=1</t>
        </is>
      </c>
      <c r="L1025" s="18" t="inlineStr">
        <is>
          <t>B00WIBPZ68</t>
        </is>
      </c>
      <c r="M1025" s="19" t="n"/>
      <c r="N1025" s="19" t="n"/>
      <c r="O1025" s="19" t="n">
        <v>13.9</v>
      </c>
      <c r="P1025" s="19">
        <f>O1025/1.19</f>
        <v/>
      </c>
      <c r="Q1025" s="19">
        <f>O1025-P1025</f>
        <v/>
      </c>
      <c r="R1025" s="19">
        <f>O1025*0.15</f>
        <v/>
      </c>
      <c r="S1025" s="19" t="n">
        <v>3.89</v>
      </c>
      <c r="T1025" s="19">
        <f>S1025*0.2</f>
        <v/>
      </c>
      <c r="U1025" s="19" t="n">
        <v>0.400000000000002</v>
      </c>
      <c r="V1025" s="19" t="n">
        <v>6.09</v>
      </c>
      <c r="W1025" s="19">
        <f>V1025*0.2</f>
        <v/>
      </c>
      <c r="X1025" s="16">
        <f>O1025-Q1025-R1025-S1025-U1025-V1025+T1025+W1025</f>
        <v/>
      </c>
      <c r="Y1025" s="18" t="n"/>
      <c r="Z1025" s="19">
        <f>O1025+1.5</f>
        <v/>
      </c>
      <c r="AA1025" s="19" t="n"/>
      <c r="AB1025" s="19" t="n"/>
      <c r="AC1025" s="18" t="n"/>
      <c r="AD1025" s="18" t="n"/>
      <c r="AE1025" s="13" t="inlineStr">
        <is>
          <t>NOT_UPLOADED</t>
        </is>
      </c>
    </row>
    <row r="1026" ht="16" customHeight="1">
      <c r="A1026" s="12" t="n">
        <v>5054563066138</v>
      </c>
      <c r="B1026" s="12" t="n">
        <v>5054563066138</v>
      </c>
      <c r="C1026" s="20" t="inlineStr">
        <is>
          <t>PACK X 2</t>
        </is>
      </c>
      <c r="D1026" s="14" t="n"/>
      <c r="E1026" s="14" t="inlineStr">
        <is>
          <t>AMP-5054563066138</t>
        </is>
      </c>
      <c r="F1026" s="12" t="n">
        <v>3401010</v>
      </c>
      <c r="G1026" s="14" t="inlineStr">
        <is>
          <t>AMPEREL</t>
        </is>
      </c>
      <c r="H1026" s="14" t="inlineStr">
        <is>
          <t>PARODONTAX</t>
        </is>
      </c>
      <c r="I1026" s="14" t="inlineStr">
        <is>
          <t>2 x Parodontax Herbal Fresh Toothpaste 75ml Stop Prevent Bleeding Gums</t>
        </is>
      </c>
      <c r="J1026" s="14" t="inlineStr">
        <is>
          <t>No</t>
        </is>
      </c>
      <c r="K1026" s="14" t="inlineStr">
        <is>
          <t>https://www.amazon.de/Parodontax-Herbal-Toothpaste-Prevent-Bleeding/dp/B085256P3X/ref=sr_1_1?dib=eyJ2IjoiMSJ9.DkSMwwUe4nwxtgs87YW8y0O1Y6OvFHivi_6bjW4qeDWRRCCEmEAi-Hr3Y2EkaA5td9RiEMhBACMIGUn81jb12BDOKzTwxnSonGw7jrlKnidcwADenAeUt2s9esMHSUHbaJWoTUxSTV6Rjx2DsFE8xuhDsE6MgCljxnPCC1qDuTzWDrgI1HTUrxvmkLCNZxOxPUz4Kdwqc9ovhFI3dQFgZIucVRJGSic-KZCVryvyYArTxbPG1D_jcRgARB0QO4ALnJH5Y3F1GFFQ4ExC6HOniHlsDnpbEf4BPLQHdQeLW94.gM7_djz1RqsAv9kEqNtNBoanK_-_X4tPTnz8138ipz8&amp;dib_tag=se&amp;keywords=parodontax+herbal+fresh&amp;qid=1761062405&amp;sr=8-1</t>
        </is>
      </c>
      <c r="L1026" s="14" t="inlineStr">
        <is>
          <t>B085256P3X</t>
        </is>
      </c>
      <c r="M1026" s="15" t="n"/>
      <c r="N1026" s="15" t="n"/>
      <c r="O1026" s="15" t="n">
        <v>16.2</v>
      </c>
      <c r="P1026" s="15">
        <f>O1026/1.19</f>
        <v/>
      </c>
      <c r="Q1026" s="15">
        <f>O1026-P1026</f>
        <v/>
      </c>
      <c r="R1026" s="15">
        <f>O1026*0.15</f>
        <v/>
      </c>
      <c r="S1026" s="15" t="n">
        <v>5.7</v>
      </c>
      <c r="T1026" s="15">
        <f>S1026*0.2</f>
        <v/>
      </c>
      <c r="U1026" s="15" t="n">
        <v>0.400000000000002</v>
      </c>
      <c r="V1026" s="15" t="n">
        <v>3.4</v>
      </c>
      <c r="W1026" s="15">
        <f>V1026*0.2</f>
        <v/>
      </c>
      <c r="X1026" s="21">
        <f>O1026-Q1026-R1026-S1026-U1026-V1026+T1026+W1026</f>
        <v/>
      </c>
      <c r="Y1026" s="14" t="n"/>
      <c r="Z1026" s="15">
        <f>O1026+1.5</f>
        <v/>
      </c>
      <c r="AA1026" s="15" t="n"/>
      <c r="AB1026" s="15" t="n"/>
      <c r="AC1026" s="14" t="n"/>
      <c r="AD1026" s="14" t="n"/>
      <c r="AE1026" s="13" t="inlineStr">
        <is>
          <t>NOT_UPLOADED</t>
        </is>
      </c>
    </row>
    <row r="1027" ht="16" customHeight="1">
      <c r="A1027" s="17" t="n">
        <v>5054563070753</v>
      </c>
      <c r="B1027" s="17" t="n">
        <v>5054563066138</v>
      </c>
      <c r="C1027" s="13" t="n"/>
      <c r="D1027" s="18" t="inlineStr">
        <is>
          <t>deleted</t>
        </is>
      </c>
      <c r="E1027" s="18" t="inlineStr">
        <is>
          <t>AMP-5054563070753</t>
        </is>
      </c>
      <c r="F1027" s="17" t="n">
        <v>3401010</v>
      </c>
      <c r="G1027" s="18" t="inlineStr">
        <is>
          <t>AMPEREL</t>
        </is>
      </c>
      <c r="H1027" s="18" t="inlineStr">
        <is>
          <t>PARODONTAX</t>
        </is>
      </c>
      <c r="I1027" s="18" t="inlineStr">
        <is>
          <t>Parodontax Herbal Sensation Zahnpasta 75 ml</t>
        </is>
      </c>
      <c r="J1027" s="18" t="inlineStr">
        <is>
          <t>No</t>
        </is>
      </c>
      <c r="K1027" s="18" t="inlineStr">
        <is>
          <t>https://www.amazon.de/dp/B0B45XGV3G</t>
        </is>
      </c>
      <c r="L1027" s="18" t="inlineStr">
        <is>
          <t>B0B45XGV3G</t>
        </is>
      </c>
      <c r="M1027" s="19" t="n"/>
      <c r="N1027" s="19" t="n"/>
      <c r="O1027" s="19" t="n">
        <v>10.95</v>
      </c>
      <c r="P1027" s="19">
        <f>O1027/1.19</f>
        <v/>
      </c>
      <c r="Q1027" s="19">
        <f>O1027-P1027</f>
        <v/>
      </c>
      <c r="R1027" s="19">
        <f>O1027*0.15</f>
        <v/>
      </c>
      <c r="S1027" s="19" t="n">
        <v>2.84</v>
      </c>
      <c r="T1027" s="19">
        <f>S1027*0.2</f>
        <v/>
      </c>
      <c r="U1027" s="19" t="n">
        <v>0.400000000000002</v>
      </c>
      <c r="V1027" s="19" t="n">
        <v>2.4</v>
      </c>
      <c r="W1027" s="19">
        <f>V1027*0.2</f>
        <v/>
      </c>
      <c r="X1027" s="21">
        <f>O1027-Q1027-R1027-S1027-U1027-V1027+T1027+W1027</f>
        <v/>
      </c>
      <c r="Y1027" s="18" t="n"/>
      <c r="Z1027" s="19">
        <f>O1027+1.5</f>
        <v/>
      </c>
      <c r="AA1027" s="19" t="n"/>
      <c r="AB1027" s="19" t="n"/>
      <c r="AC1027" s="18" t="n"/>
      <c r="AD1027" s="18" t="n"/>
      <c r="AE1027" s="13" t="inlineStr">
        <is>
          <t>NOT_UPLOADED</t>
        </is>
      </c>
    </row>
    <row r="1028" ht="16" customHeight="1">
      <c r="A1028" s="12" t="n"/>
      <c r="B1028" s="12" t="n">
        <v>5054563066138</v>
      </c>
      <c r="C1028" s="20" t="inlineStr">
        <is>
          <t>PACK X 6</t>
        </is>
      </c>
      <c r="D1028" s="14" t="n"/>
      <c r="E1028" s="14" t="inlineStr">
        <is>
          <t>AMP-50545630661386</t>
        </is>
      </c>
      <c r="F1028" s="12" t="n">
        <v>3401010</v>
      </c>
      <c r="G1028" s="14" t="inlineStr">
        <is>
          <t>AMPEREL</t>
        </is>
      </c>
      <c r="H1028" s="14" t="inlineStr">
        <is>
          <t>PARODONTAX</t>
        </is>
      </c>
      <c r="I1028" s="14" t="inlineStr">
        <is>
          <t>Parodontax Herbal Toothpaste + Flouride (PACK OF 6) [Authentic European] by Parodontax</t>
        </is>
      </c>
      <c r="J1028" s="14" t="inlineStr">
        <is>
          <t>No</t>
        </is>
      </c>
      <c r="K1028" s="14" t="inlineStr">
        <is>
          <t>https://www.amazon.de/Parodontax-Toothpaste-Flouride-Authentic-European/dp/B00U3759EM/ref=sr_1_10?dib=eyJ2IjoiMSJ9.DkSMwwUe4nwxtgs87YW8y0O1Y6OvFHivi_6bjW4qeDWRRCCEmEAi-Hr3Y2EkaA5td9RiEMhBACMIGUn81jb12BDOKzTwxnSonGw7jrlKnidcwADenAeUt2s9esMHSUHbaJWoTUxSTV6Rjx2DsFE8xuhDsE6MgCljxnPCC1qDuTzWDrgI1HTUrxvmkLCNZxOxPUz4Kdwqc9ovhFI3dQFgZIucVRJGSic-KZCVryvyYArTxbPG1D_jcRgARB0QO4ALnJH5Y3F1GFFQ4ExC6HOniHlsDnpbEf4BPLQHdQeLW94.gM7_djz1RqsAv9kEqNtNBoanK_-_X4tPTnz8138ipz8&amp;dib_tag=se&amp;keywords=parodontax+herbal+fresh&amp;qid=1761062405&amp;sr=8-10</t>
        </is>
      </c>
      <c r="L1028" s="14" t="inlineStr">
        <is>
          <t>B00U3759EM</t>
        </is>
      </c>
      <c r="M1028" s="15" t="n"/>
      <c r="N1028" s="15" t="n"/>
      <c r="O1028" s="15" t="n">
        <v>42.3</v>
      </c>
      <c r="P1028" s="15">
        <f>O1028/1.19</f>
        <v/>
      </c>
      <c r="Q1028" s="15">
        <f>O1028-P1028</f>
        <v/>
      </c>
      <c r="R1028" s="15">
        <f>O1028*0.15</f>
        <v/>
      </c>
      <c r="S1028" s="15" t="n">
        <v>17.05</v>
      </c>
      <c r="T1028" s="15">
        <f>S1028*0.2</f>
        <v/>
      </c>
      <c r="U1028" s="15" t="n">
        <v>0.400000000000002</v>
      </c>
      <c r="V1028" s="15" t="n">
        <v>11.75</v>
      </c>
      <c r="W1028" s="15">
        <f>V1028*0.2</f>
        <v/>
      </c>
      <c r="X1028" s="21">
        <f>O1028-Q1028-R1028-S1028-U1028-V1028+T1028+W1028</f>
        <v/>
      </c>
      <c r="Y1028" s="14" t="n"/>
      <c r="Z1028" s="15">
        <f>O1028+1.5</f>
        <v/>
      </c>
      <c r="AA1028" s="15" t="n"/>
      <c r="AB1028" s="15" t="n"/>
      <c r="AC1028" s="14" t="n"/>
      <c r="AD1028" s="14" t="n"/>
      <c r="AE1028" s="13" t="inlineStr">
        <is>
          <t>NOT_UPLOADED</t>
        </is>
      </c>
    </row>
    <row r="1029" ht="16" customHeight="1">
      <c r="A1029" s="17" t="n">
        <v>5054563180643</v>
      </c>
      <c r="B1029" s="17" t="n">
        <v>5054563949936</v>
      </c>
      <c r="C1029" s="20" t="inlineStr">
        <is>
          <t>PACK X 4</t>
        </is>
      </c>
      <c r="D1029" s="18" t="n"/>
      <c r="E1029" s="18" t="inlineStr">
        <is>
          <t>AMP-5054563180643</t>
        </is>
      </c>
      <c r="F1029" s="17" t="n">
        <v>3401002</v>
      </c>
      <c r="G1029" s="18" t="inlineStr">
        <is>
          <t>AMPEREL</t>
        </is>
      </c>
      <c r="H1029" s="18" t="inlineStr">
        <is>
          <t>PARODONTAX</t>
        </is>
      </c>
      <c r="I1029" s="18" t="inlineStr">
        <is>
          <t>Parodontax Fluorid Zahnpasta, 4x75ml Zahncreme, hilft Zahnfleischbluten zu reduzieren und vorzubeugen</t>
        </is>
      </c>
      <c r="J1029" s="18" t="inlineStr">
        <is>
          <t>No</t>
        </is>
      </c>
      <c r="K1029" s="18" t="inlineStr">
        <is>
          <t>https://www.amazon.de/Parodontax-Zahnpasta-Zahnfleischbluten-reduzieren-vorzubeugen/dp/B0BVRJ7TZF/ref=sr_1_1?__mk_de_DE=%C3%85M%C3%85%C5%BD%C3%95%C3%91&amp;crid=3TO027P9PFNXJ&amp;dib=eyJ2IjoiMSJ9.3kZqbHpcrgoBLG7sbEAu3j-Zho2StQyT8Jq7vhpYwbxwWWR_nhdLm2Q1jbJxhxBnmB757uvyaknrs-hG-Qd9izJ0MfQ8mT5MgqF2jhHUcow2_0vGuyqeybcbtBM1iOvQMEns9-iKAbbcxrFgA3XjyYghTmc-57A9TPswUfn9OIwcTyOWFQ46sfxKR6dcUZv9CNV3zGxiGHELfNlsNOhQSajsH3gc8UqWykHqSf_HbOmbSbXvBOXDanNObRgyzP9VZPuaPQmdgffWMc7Dfk4T2TkRzRngG1yID7lsLfdGlGo.sM0mVLSzChzk5h3flm_wuUnbRS40oQ7vMsZfPX7gGQw&amp;dib_tag=se&amp;keywords=parodontax+fluorid&amp;qid=1761063207&amp;sprefix=parodontax+fluoride%2Caps%2C88&amp;sr=8-1</t>
        </is>
      </c>
      <c r="L1029" s="18" t="inlineStr">
        <is>
          <t>B0BVRJ7TZF</t>
        </is>
      </c>
      <c r="M1029" s="19" t="n"/>
      <c r="N1029" s="19" t="n"/>
      <c r="O1029" s="19" t="n">
        <v>29</v>
      </c>
      <c r="P1029" s="19">
        <f>O1029/1.19</f>
        <v/>
      </c>
      <c r="Q1029" s="19">
        <f>O1029-P1029</f>
        <v/>
      </c>
      <c r="R1029" s="19">
        <f>O1029*0.15</f>
        <v/>
      </c>
      <c r="S1029" s="19" t="n">
        <v>10.6</v>
      </c>
      <c r="T1029" s="19">
        <f>S1029*0.2</f>
        <v/>
      </c>
      <c r="U1029" s="19" t="n">
        <v>0.400000000000002</v>
      </c>
      <c r="V1029" s="19" t="n">
        <v>8</v>
      </c>
      <c r="W1029" s="19">
        <f>V1029*0.2</f>
        <v/>
      </c>
      <c r="X1029" s="21">
        <f>O1029-Q1029-R1029-S1029-U1029-V1029+T1029+W1029</f>
        <v/>
      </c>
      <c r="Y1029" s="18" t="n"/>
      <c r="Z1029" s="19">
        <f>O1029+1.5</f>
        <v/>
      </c>
      <c r="AA1029" s="19" t="n"/>
      <c r="AB1029" s="19" t="n"/>
      <c r="AC1029" s="18" t="n"/>
      <c r="AD1029" s="18" t="n"/>
      <c r="AE1029" s="13" t="inlineStr">
        <is>
          <t>NOT_UPLOADED</t>
        </is>
      </c>
    </row>
    <row r="1030" ht="16" customHeight="1">
      <c r="A1030" s="12" t="n">
        <v>5054563949516</v>
      </c>
      <c r="B1030" s="12" t="n">
        <v>5054563949936</v>
      </c>
      <c r="C1030" s="13" t="n"/>
      <c r="D1030" s="14" t="n"/>
      <c r="E1030" s="14" t="inlineStr">
        <is>
          <t>AMP-5054563949516</t>
        </is>
      </c>
      <c r="F1030" s="12" t="n">
        <v>3401002</v>
      </c>
      <c r="G1030" s="14" t="inlineStr">
        <is>
          <t>AMPEREL</t>
        </is>
      </c>
      <c r="H1030" s="14" t="inlineStr">
        <is>
          <t>PARODONTAX</t>
        </is>
      </c>
      <c r="I1030" s="14" t="inlineStr">
        <is>
          <t>Parodontax Fluorid Zahnpasta, 1x 75ml Zahncreme, hilft Zahnfleischbluten zu reduzieren und vorzubeugen</t>
        </is>
      </c>
      <c r="J1030" s="14" t="inlineStr">
        <is>
          <t>No</t>
        </is>
      </c>
      <c r="K1030" s="14" t="inlineStr">
        <is>
          <t>https://www.amazon.de/Parodontax-Zahnpasta-Zahnfleischbluten-reduzieren-vorzubeugen/dp/B0BTMJ3S5Z/ref=sr_1_11?__mk_de_DE=%C3%85M%C3%85%C5%BD%C3%95%C3%91&amp;crid=3TO027P9PFNXJ&amp;dib=eyJ2IjoiMSJ9.3kZqbHpcrgoBLG7sbEAu3j-Zho2StQyT8Jq7vhpYwbxwWWR_nhdLm2Q1jbJxhxBnmB757uvyaknrs-hG-Qd9izJ0MfQ8mT5MgqF2jhHUcow2_0vGuyqeybcbtBM1iOvQMEns9-iKAbbcxrFgA3XjyYghTmc-57A9TPswUfn9OIwcTyOWFQ46sfxKR6dcUZv9m4PUrFvwnC-ikBFyertguKfgLjMdbgY0PIjTb07ASeUuHOtbeqt43ca_WykDzJw9uIhD7Rk3KZNtcu-VI4my5l5dCNEVG8nKu7lDH6G-uQM.WPyOnpTiLSr0b87kFdvkXcM6P-E3PeTYtdR7iemtV9o&amp;dib_tag=se&amp;keywords=parodontax+fluorid&amp;qid=1761071906&amp;sprefix=parodontax+fluoride%2Caps%2C88&amp;sr=8-11</t>
        </is>
      </c>
      <c r="L1030" s="14" t="inlineStr">
        <is>
          <t>B0BTMJ3S5Z</t>
        </is>
      </c>
      <c r="M1030" s="15" t="n"/>
      <c r="N1030" s="15" t="n"/>
      <c r="O1030" s="15" t="n">
        <v>9.5</v>
      </c>
      <c r="P1030" s="15">
        <f>O1030/1.19</f>
        <v/>
      </c>
      <c r="Q1030" s="15">
        <f>O1030-P1030</f>
        <v/>
      </c>
      <c r="R1030" s="15">
        <f>O1030*0.15</f>
        <v/>
      </c>
      <c r="S1030" s="15" t="n">
        <v>2.65</v>
      </c>
      <c r="T1030" s="15">
        <f>S1030*0.2</f>
        <v/>
      </c>
      <c r="U1030" s="15" t="n">
        <v>0.400000000000002</v>
      </c>
      <c r="V1030" s="15" t="n">
        <v>2.4</v>
      </c>
      <c r="W1030" s="15">
        <f>V1030*0.2</f>
        <v/>
      </c>
      <c r="X1030" s="21">
        <f>O1030-Q1030-R1030-S1030-U1030-V1030+T1030+W1030</f>
        <v/>
      </c>
      <c r="Y1030" s="14" t="n"/>
      <c r="Z1030" s="15">
        <f>O1030+1.5</f>
        <v/>
      </c>
      <c r="AA1030" s="15" t="n"/>
      <c r="AB1030" s="15" t="n"/>
      <c r="AC1030" s="14" t="n"/>
      <c r="AD1030" s="14" t="n"/>
      <c r="AE1030" s="13" t="inlineStr">
        <is>
          <t>NOT_UPLOADED</t>
        </is>
      </c>
    </row>
    <row r="1031" ht="16" customHeight="1">
      <c r="A1031" s="17" t="n">
        <v>5054563949936</v>
      </c>
      <c r="B1031" s="17" t="n">
        <v>5054563949936</v>
      </c>
      <c r="C1031" s="20" t="inlineStr">
        <is>
          <t>PACK X 3</t>
        </is>
      </c>
      <c r="D1031" s="18" t="n"/>
      <c r="E1031" s="18" t="inlineStr">
        <is>
          <t>AMP-50545639499363</t>
        </is>
      </c>
      <c r="F1031" s="17" t="n">
        <v>3401002</v>
      </c>
      <c r="G1031" s="18" t="inlineStr">
        <is>
          <t>AMPEREL</t>
        </is>
      </c>
      <c r="H1031" s="18" t="inlineStr">
        <is>
          <t>PARODONTAX</t>
        </is>
      </c>
      <c r="I1031" s="18" t="inlineStr">
        <is>
          <t>Parodontax, Toothpaste, Fluoride, Pack of 3, 75 ml</t>
        </is>
      </c>
      <c r="J1031" s="18" t="inlineStr">
        <is>
          <t>No</t>
        </is>
      </c>
      <c r="K1031" s="18" t="inlineStr">
        <is>
          <t>https://www.amazon.de/-/en/Parodontax-Toothpaste-Fluoride-Pack-75/dp/B0F1YWWMW7/ref=sr_1_14?crid=26T4EF1X95JBG&amp;dib=eyJ2IjoiMSJ9.3kZqbHpcrgoBLG7sbEAu3j-Zho2StQyT8Jq7vhpYwbxwWWR_nhdLm2Q1jbJxhxBnmB757uvyaknrs-hG-Qd9izJ0MfQ8mT5MgqF2jhHUcow2_0vGuyqeybcbtBM1iOvQMEns9-iKAbbcxrFgA3XjyYghTmc-57A9TPswUfn9OIwcTyOWFQ46sfxKR6dcUZv9m4PUrFvwnC-ikBFyertguKfgLjMdbgY0PIjTb07ASeUuHOtbeqt43ca_WykDzJw9uIhD7Rk3KZNtcu-VI4my5l5dCNEVG8nKu7lDH6G-uQM.7osr1s_gj_r2ZZv9LF5225ZWydoBFW_E_kYB_AFG4Wc&amp;dib_tag=se&amp;keywords=parodontax+fluorid&amp;qid=1761072365&amp;sprefix=parodontax+fluoride%2Caps%2C184&amp;sr=8-14</t>
        </is>
      </c>
      <c r="L1031" s="18" t="inlineStr">
        <is>
          <t>B0F1YWWMW7</t>
        </is>
      </c>
      <c r="M1031" s="19" t="n"/>
      <c r="N1031" s="19" t="n"/>
      <c r="O1031" s="19" t="n">
        <v>23.9</v>
      </c>
      <c r="P1031" s="19">
        <f>O1031/1.19</f>
        <v/>
      </c>
      <c r="Q1031" s="19">
        <f>O1031-P1031</f>
        <v/>
      </c>
      <c r="R1031" s="19">
        <f>O1031*0.15</f>
        <v/>
      </c>
      <c r="S1031" s="19" t="n">
        <v>7.95</v>
      </c>
      <c r="T1031" s="19">
        <f>S1031*0.2</f>
        <v/>
      </c>
      <c r="U1031" s="19" t="n">
        <v>0.400000000000002</v>
      </c>
      <c r="V1031" s="19" t="n">
        <v>7.4</v>
      </c>
      <c r="W1031" s="19">
        <f>V1031*0.2</f>
        <v/>
      </c>
      <c r="X1031" s="21">
        <f>O1031-Q1031-R1031-S1031-U1031-V1031+T1031+W1031</f>
        <v/>
      </c>
      <c r="Y1031" s="18" t="n"/>
      <c r="Z1031" s="19">
        <f>O1031+1.5</f>
        <v/>
      </c>
      <c r="AA1031" s="19" t="n"/>
      <c r="AB1031" s="19" t="n"/>
      <c r="AC1031" s="18" t="n"/>
      <c r="AD1031" s="18" t="n"/>
      <c r="AE1031" s="13" t="inlineStr">
        <is>
          <t>NOT_UPLOADED</t>
        </is>
      </c>
    </row>
    <row r="1032" ht="16" customHeight="1">
      <c r="A1032" s="12" t="n">
        <v>8590335008847</v>
      </c>
      <c r="B1032" s="12" t="n">
        <v>5054563949936</v>
      </c>
      <c r="C1032" s="20" t="inlineStr">
        <is>
          <t>PACK X 3</t>
        </is>
      </c>
      <c r="D1032" s="14" t="n"/>
      <c r="E1032" s="14" t="inlineStr">
        <is>
          <t>AMP-8590335008847</t>
        </is>
      </c>
      <c r="F1032" s="12" t="n">
        <v>3401002</v>
      </c>
      <c r="G1032" s="14" t="inlineStr">
        <is>
          <t>AMPEREL</t>
        </is>
      </c>
      <c r="H1032" s="14" t="inlineStr">
        <is>
          <t>PARODONTAX</t>
        </is>
      </c>
      <c r="I1032" s="14" t="inlineStr">
        <is>
          <t>Parodontax Herbal Toothpaste + Flouride 75ml - 3 Pack</t>
        </is>
      </c>
      <c r="J1032" s="14" t="inlineStr">
        <is>
          <t>No</t>
        </is>
      </c>
      <c r="K1032" s="14" t="inlineStr">
        <is>
          <t>https://www.amazon.de/-/en/Parodontax-Herbal-Toothpaste-Flouride-75ml/dp/B00E19I850/ref=sr_1_28?crid=26T4EF1X95JBG&amp;dib=eyJ2IjoiMSJ9.3kZqbHpcrgoBLG7sbEAu3j-Zho2StQyT8Jq7vhpYwbxwWWR_nhdLm2Q1jbJxhxBnmB757uvyaknrs-hG-Qd9izJ0MfQ8mT5MgqF2jhHUcow2_0vGuyqeybcbtBM1iOvQMEns9-iKAbbcxrFgA3XjyYghTmc-57A9TPswUfn9OIwcTyOWFQ46sfxKR6dcUZv9m4PUrFvwnC-ikBFyertguKfgLjMdbgY0PIjTb07ASeUuHOtbeqt43ca_WykDzJw9uIhD7Rk3KZNtcu-VI4my5l5dCNEVG8nKu7lDH6G-uQM.7osr1s_gj_r2ZZv9LF5225ZWydoBFW_E_kYB_AFG4Wc&amp;dib_tag=se&amp;keywords=parodontax+fluorid&amp;qid=1761072365&amp;sprefix=parodontax+fluoride%2Caps%2C184&amp;sr=8-28</t>
        </is>
      </c>
      <c r="L1032" s="14" t="inlineStr">
        <is>
          <t>B00E19I850</t>
        </is>
      </c>
      <c r="M1032" s="15" t="n"/>
      <c r="N1032" s="15" t="n"/>
      <c r="O1032" s="15" t="n">
        <v>23.4</v>
      </c>
      <c r="P1032" s="15">
        <f>O1032/1.19</f>
        <v/>
      </c>
      <c r="Q1032" s="15">
        <f>O1032-P1032</f>
        <v/>
      </c>
      <c r="R1032" s="15">
        <f>O1032*0.15</f>
        <v/>
      </c>
      <c r="S1032" s="15" t="n">
        <v>7.95</v>
      </c>
      <c r="T1032" s="15">
        <f>S1032*0.2</f>
        <v/>
      </c>
      <c r="U1032" s="15" t="n">
        <v>0.400000000000002</v>
      </c>
      <c r="V1032" s="15" t="n">
        <v>7.4</v>
      </c>
      <c r="W1032" s="15">
        <f>V1032*0.2</f>
        <v/>
      </c>
      <c r="X1032" s="21">
        <f>O1032-Q1032-R1032-S1032-U1032-V1032+T1032+W1032</f>
        <v/>
      </c>
      <c r="Y1032" s="14" t="n"/>
      <c r="Z1032" s="15">
        <f>O1032+1.5</f>
        <v/>
      </c>
      <c r="AA1032" s="15" t="n"/>
      <c r="AB1032" s="15" t="n"/>
      <c r="AC1032" s="14" t="n"/>
      <c r="AD1032" s="14" t="n"/>
      <c r="AE1032" s="13" t="inlineStr">
        <is>
          <t>NOT_UPLOADED</t>
        </is>
      </c>
    </row>
    <row r="1033" ht="16" customHeight="1">
      <c r="A1033" s="17" t="n">
        <v>5054563037930</v>
      </c>
      <c r="B1033" s="17" t="n">
        <v>5054563949936</v>
      </c>
      <c r="C1033" s="13" t="n"/>
      <c r="D1033" s="18" t="n"/>
      <c r="E1033" s="18" t="inlineStr">
        <is>
          <t>AMP-5054563037930</t>
        </is>
      </c>
      <c r="F1033" s="17" t="n">
        <v>3401002</v>
      </c>
      <c r="G1033" s="18" t="inlineStr">
        <is>
          <t>AMPEREL</t>
        </is>
      </c>
      <c r="H1033" s="18" t="inlineStr">
        <is>
          <t>PARODONTAX</t>
        </is>
      </c>
      <c r="I1033" s="18" t="inlineStr">
        <is>
          <t>Paradontax Fluoride Toothpaste, 75 ml</t>
        </is>
      </c>
      <c r="J1033" s="18" t="inlineStr">
        <is>
          <t>No</t>
        </is>
      </c>
      <c r="K1033" s="18" t="inlineStr">
        <is>
          <t>https://www.amazon.de/-/en/Paradontax-Fluoride-Toothpaste-75-ml/dp/B07RYYG2X1/ref=sr_1_33?crid=26T4EF1X95JBG&amp;dib=eyJ2IjoiMSJ9.3kZqbHpcrgoBLG7sbEAu3j-Zho2StQyT8Jq7vhpYwbxwWWR_nhdLm2Q1jbJxhxBnmB757uvyaknrs-hG-Qd9izJ0MfQ8mT5MgqF2jhHUcow2_0vGuyqeybcbtBM1iOvQMEns9-iKAbbcxrFgA3XjyYghTmc-57A9TPswUfn9OIwcTyOWFQ46sfxKR6dcUZv9m4PUrFvwnC-ikBFyertguKfgLjMdbgY0PIjTb07ASeUuHOtbeqt43ca_WykDzJw9uIhD7Rk3KZNtcu-VI4my5l5dCNEVG8nKu7lDH6G-uQM.7osr1s_gj_r2ZZv9LF5225ZWydoBFW_E_kYB_AFG4Wc&amp;dib_tag=se&amp;keywords=parodontax+fluorid&amp;qid=1761072365&amp;sprefix=parodontax+fluoride%2Caps%2C184&amp;sr=8-33</t>
        </is>
      </c>
      <c r="L1033" s="18" t="inlineStr">
        <is>
          <t>B07RYYG2X1</t>
        </is>
      </c>
      <c r="M1033" s="19" t="n"/>
      <c r="N1033" s="19" t="n"/>
      <c r="O1033" s="19" t="n">
        <v>9.99</v>
      </c>
      <c r="P1033" s="19">
        <f>O1033/1.19</f>
        <v/>
      </c>
      <c r="Q1033" s="19">
        <f>O1033-P1033</f>
        <v/>
      </c>
      <c r="R1033" s="19">
        <f>O1033*0.15</f>
        <v/>
      </c>
      <c r="S1033" s="19" t="n">
        <v>2.65</v>
      </c>
      <c r="T1033" s="19">
        <f>S1033*0.2</f>
        <v/>
      </c>
      <c r="U1033" s="19" t="n">
        <v>0.400000000000002</v>
      </c>
      <c r="V1033" s="19" t="n">
        <v>2.4</v>
      </c>
      <c r="W1033" s="19">
        <f>V1033*0.2</f>
        <v/>
      </c>
      <c r="X1033" s="21">
        <f>O1033-Q1033-R1033-S1033-U1033-V1033+T1033+W1033</f>
        <v/>
      </c>
      <c r="Y1033" s="18" t="n"/>
      <c r="Z1033" s="19">
        <f>O1033+1.5</f>
        <v/>
      </c>
      <c r="AA1033" s="19" t="n"/>
      <c r="AB1033" s="19" t="n"/>
      <c r="AC1033" s="18" t="n"/>
      <c r="AD1033" s="18" t="n"/>
      <c r="AE1033" s="13" t="inlineStr">
        <is>
          <t>NOT_UPLOADED</t>
        </is>
      </c>
    </row>
    <row r="1034" ht="16" customHeight="1">
      <c r="A1034" s="12" t="n">
        <v>5054563949424</v>
      </c>
      <c r="B1034" s="12" t="n">
        <v>3830029297009</v>
      </c>
      <c r="C1034" s="13" t="n"/>
      <c r="D1034" s="14" t="n"/>
      <c r="E1034" s="14" t="inlineStr">
        <is>
          <t>AMP-5054563949424</t>
        </is>
      </c>
      <c r="F1034" s="12" t="n">
        <v>3401005</v>
      </c>
      <c r="G1034" s="14" t="inlineStr">
        <is>
          <t>AMPEREL</t>
        </is>
      </c>
      <c r="H1034" s="14" t="inlineStr">
        <is>
          <t>PARODONTAX</t>
        </is>
      </c>
      <c r="I1034" s="14" t="inlineStr">
        <is>
          <t>Parodontax Extra Fresh Toothpaste, 75 ml, Helps Reduce and Prevent Bleeding Gums</t>
        </is>
      </c>
      <c r="J1034" s="14" t="inlineStr">
        <is>
          <t>No</t>
        </is>
      </c>
      <c r="K1034" s="14" t="inlineStr">
        <is>
          <t>https://www.amazon.de/-/en/Parodontax-Toothpaste-Reduce-Prevent-Bleeding/dp/B0BTMK2DXJ/ref=sr_1_1?crid=3687QMR8SCAZZ&amp;dib=eyJ2IjoiMSJ9.7SdikzDD1bRoHJZoOFSJIWh2eTzqLpfwSztZwjRwbaQgnAFgXFCjLe58F8f3Yyq8-qVLxk_6SP7F_fzGzuLCjn8I7DNr1cw0KrMFyE0FxiKIlgnuAzmapJJ7wg2l2OGyCjhey091BCc41OEutQOPi_P44hy4BiTvGh0rdKn692Y9SsR-2k_GcfvrtD8SjPcYZKQ2oQD563RA1uSK2Um_uYmOABKEEC73QmQr7_LuBZ1yvwWQUHZbnKAJlLYgwtkQwFX568wY7lvsPPa1K5UKGc1CXVInR8oY2AXow9FOySI.VkVsQLuDsCQKjMxoAcMeis3mOLjCnGQ6DuHxyTDCZSw&amp;dib_tag=se&amp;keywords=parodontax+EXTRA+FRESH&amp;qid=1761072929&amp;sprefix=parodontax+%2Caps%2C7321&amp;sr=8-1</t>
        </is>
      </c>
      <c r="L1034" s="14" t="inlineStr">
        <is>
          <t>B0BTMK2DXJ</t>
        </is>
      </c>
      <c r="M1034" s="15" t="n"/>
      <c r="N1034" s="15" t="n"/>
      <c r="O1034" s="15" t="n">
        <v>9.4</v>
      </c>
      <c r="P1034" s="15">
        <f>O1034/1.19</f>
        <v/>
      </c>
      <c r="Q1034" s="15">
        <f>O1034-P1034</f>
        <v/>
      </c>
      <c r="R1034" s="15">
        <f>O1034*0.15</f>
        <v/>
      </c>
      <c r="S1034" s="15" t="n">
        <v>2.65</v>
      </c>
      <c r="T1034" s="15">
        <f>S1034*0.2</f>
        <v/>
      </c>
      <c r="U1034" s="15" t="n">
        <v>0.400000000000002</v>
      </c>
      <c r="V1034" s="15" t="n">
        <v>2.4</v>
      </c>
      <c r="W1034" s="15">
        <f>V1034*0.2</f>
        <v/>
      </c>
      <c r="X1034" s="21">
        <f>O1034-Q1034-R1034-S1034-U1034-V1034+T1034+W1034</f>
        <v/>
      </c>
      <c r="Y1034" s="14" t="n"/>
      <c r="Z1034" s="15">
        <f>O1034+1.5</f>
        <v/>
      </c>
      <c r="AA1034" s="15" t="n"/>
      <c r="AB1034" s="15" t="n"/>
      <c r="AC1034" s="14" t="n"/>
      <c r="AD1034" s="14" t="n"/>
      <c r="AE1034" s="13" t="inlineStr">
        <is>
          <t>NOT_UPLOADED</t>
        </is>
      </c>
    </row>
    <row r="1035" ht="16" customHeight="1">
      <c r="A1035" s="17" t="n">
        <v>8016825970642</v>
      </c>
      <c r="B1035" s="17" t="n">
        <v>3830029297009</v>
      </c>
      <c r="C1035" s="20" t="inlineStr">
        <is>
          <t>PACK X 8</t>
        </is>
      </c>
      <c r="D1035" s="18" t="n"/>
      <c r="E1035" s="18" t="inlineStr">
        <is>
          <t>AMP-8016825970642</t>
        </is>
      </c>
      <c r="F1035" s="17" t="n">
        <v>3401005</v>
      </c>
      <c r="G1035" s="18" t="inlineStr">
        <is>
          <t>AMPEREL</t>
        </is>
      </c>
      <c r="H1035" s="18" t="inlineStr">
        <is>
          <t>PARODONTAX</t>
        </is>
      </c>
      <c r="I1035" s="18" t="inlineStr">
        <is>
          <t>Parodontax dentifricio Extra Fresh Toothpaste 75 ml Pack of 6</t>
        </is>
      </c>
      <c r="J1035" s="18" t="inlineStr">
        <is>
          <t>No</t>
        </is>
      </c>
      <c r="K1035" s="18" t="inlineStr">
        <is>
          <t>https://www.amazon.de/-/en/Parodontax-dentifricio-Extra-Fresh-Toothpaste/dp/B07PP2GPJ6/ref=sr_1_5?crid=3687QMR8SCAZZ&amp;dib=eyJ2IjoiMSJ9.7SdikzDD1bRoHJZoOFSJIWh2eTzqLpfwSztZwjRwbaQgnAFgXFCjLe58F8f3Yyq8-qVLxk_6SP7F_fzGzuLCjn8I7DNr1cw0KrMFyE0FxiKIlgnuAzmapJJ7wg2l2OGyCjhey091BCc41OEutQOPi_P44hy4BiTvGh0rdKn692Y9SsR-2k_GcfvrtD8SjPcYZKQ2oQD563RA1uSK2Um_uYmOABKEEC73QmQr7_LuBZ1yvwWQUHZbnKAJlLYgwtkQwFX568wY7lvsPPa1K5UKGc1CXVInR8oY2AXow9FOySI.VkVsQLuDsCQKjMxoAcMeis3mOLjCnGQ6DuHxyTDCZSw&amp;dib_tag=se&amp;keywords=parodontax+EXTRA+FRESH&amp;qid=1761072929&amp;sprefix=parodontax+%2Caps%2C7321&amp;sr=8-5</t>
        </is>
      </c>
      <c r="L1035" s="18" t="inlineStr">
        <is>
          <t>B07PP2GPJ6</t>
        </is>
      </c>
      <c r="M1035" s="19" t="n"/>
      <c r="N1035" s="19" t="n"/>
      <c r="O1035" s="19" t="n">
        <v>48</v>
      </c>
      <c r="P1035" s="19">
        <f>O1035/1.19</f>
        <v/>
      </c>
      <c r="Q1035" s="19">
        <f>O1035-P1035</f>
        <v/>
      </c>
      <c r="R1035" s="19">
        <f>O1035*0.15</f>
        <v/>
      </c>
      <c r="S1035" s="19" t="n">
        <v>21.2</v>
      </c>
      <c r="T1035" s="19">
        <f>S1035*0.2</f>
        <v/>
      </c>
      <c r="U1035" s="19" t="n">
        <v>0.400000000000002</v>
      </c>
      <c r="V1035" s="19" t="n">
        <v>10</v>
      </c>
      <c r="W1035" s="19">
        <f>V1035*0.2</f>
        <v/>
      </c>
      <c r="X1035" s="21">
        <f>O1035-Q1035-R1035-S1035-U1035-V1035+T1035+W1035</f>
        <v/>
      </c>
      <c r="Y1035" s="18" t="n"/>
      <c r="Z1035" s="19">
        <f>O1035+1.5</f>
        <v/>
      </c>
      <c r="AA1035" s="19" t="n"/>
      <c r="AB1035" s="19" t="n"/>
      <c r="AC1035" s="18" t="n"/>
      <c r="AD1035" s="18" t="n"/>
      <c r="AE1035" s="13" t="inlineStr">
        <is>
          <t>NOT_UPLOADED</t>
        </is>
      </c>
    </row>
    <row r="1036" ht="16" customHeight="1">
      <c r="A1036" s="12" t="n">
        <v>5054563056672</v>
      </c>
      <c r="B1036" s="12" t="n">
        <v>5054563048417</v>
      </c>
      <c r="C1036" s="13" t="n"/>
      <c r="D1036" s="14" t="n"/>
      <c r="E1036" s="14" t="inlineStr">
        <is>
          <t>AMP-5054563056672</t>
        </is>
      </c>
      <c r="F1036" s="12" t="n">
        <v>3402001</v>
      </c>
      <c r="G1036" s="14" t="inlineStr">
        <is>
          <t>AMPEREL</t>
        </is>
      </c>
      <c r="H1036" s="14" t="inlineStr">
        <is>
          <t>PARODONTAX</t>
        </is>
      </c>
      <c r="I1036" s="14" t="inlineStr">
        <is>
          <t>parodontax Zahnbürste Sanfte Reinigung</t>
        </is>
      </c>
      <c r="J1036" s="14" t="inlineStr">
        <is>
          <t>No</t>
        </is>
      </c>
      <c r="K1036" s="14" t="inlineStr">
        <is>
          <t>https://www.amazon.de/-/en/Parodontax-60000000116088-parodontax-Zahnb%C3%BCrste-Reinigung/dp/B09QMT3HHB/ref=sr_1_1?crid=2QVCDR3QQT74C&amp;dib=eyJ2IjoiMSJ9.wvk4XfThXXEDly6yuQ67W55BuwmAl4_KjsdkgD_Q41C-DX_nXhzu7zlXeeiPr7mijfrSm3R9lXub-8P9VZO-Q0E87goPZbXziiZg_pNeFAVcVRbsDbu9tdiAcBfM89AhETzBjkPTdSrKEJMJsDJQvUVGpMj4e7Ikgl_pF2ePrSmPv95Mo0fnsy71Qe2BPdqcN6bhCPemwvqEWNs_JASijyAp5AOb3Rq_DDoFVdfXEHt08pK0gzf-qtxHY8JEflLaGAFjQfi7rGrVchaKyHiBX6IXyv2w2oTy1DH4w7xRzn8.ogoxqCS4iearhFEptyYXYHqkx3xrira6cXIuQg9TTXY&amp;dib_tag=se&amp;keywords=parodontax%2BGENTLE%2BCLEAN&amp;qid=1761073664&amp;sprefix=parodontax%2Bgentle%2Bclean%2Caps%2C157&amp;sr=8-1&amp;th=1</t>
        </is>
      </c>
      <c r="L1036" s="14" t="inlineStr">
        <is>
          <t>B09QMT3HHB</t>
        </is>
      </c>
      <c r="M1036" s="15" t="n"/>
      <c r="N1036" s="15" t="n"/>
      <c r="O1036" s="15" t="n">
        <v>8.699999999999999</v>
      </c>
      <c r="P1036" s="15">
        <f>O1036/1.19</f>
        <v/>
      </c>
      <c r="Q1036" s="15">
        <f>O1036-P1036</f>
        <v/>
      </c>
      <c r="R1036" s="15">
        <f>O1036*0.15</f>
        <v/>
      </c>
      <c r="S1036" s="15" t="n">
        <v>2.92</v>
      </c>
      <c r="T1036" s="15">
        <f>S1036*0.2</f>
        <v/>
      </c>
      <c r="U1036" s="15" t="n">
        <v>0.400000000000002</v>
      </c>
      <c r="V1036" s="15" t="n">
        <v>1.92</v>
      </c>
      <c r="W1036" s="15">
        <f>V1036*0.2</f>
        <v/>
      </c>
      <c r="X1036" s="16">
        <f>O1036-Q1036-R1036-S1036-U1036-V1036+T1036+W1036</f>
        <v/>
      </c>
      <c r="Y1036" s="14" t="n"/>
      <c r="Z1036" s="15">
        <f>O1036+1.5</f>
        <v/>
      </c>
      <c r="AA1036" s="15" t="n"/>
      <c r="AB1036" s="15" t="n"/>
      <c r="AC1036" s="14" t="n"/>
      <c r="AD1036" s="14" t="n"/>
      <c r="AE1036" s="13" t="inlineStr">
        <is>
          <t>NOT_UPLOADED</t>
        </is>
      </c>
    </row>
    <row r="1037" ht="16" customHeight="1">
      <c r="A1037" s="17" t="n"/>
      <c r="B1037" s="17" t="n">
        <v>5054563048417</v>
      </c>
      <c r="C1037" s="20" t="inlineStr">
        <is>
          <t>PACK X 2</t>
        </is>
      </c>
      <c r="D1037" s="18" t="n"/>
      <c r="E1037" s="18" t="n"/>
      <c r="F1037" s="17" t="n">
        <v>3402001</v>
      </c>
      <c r="G1037" s="18" t="inlineStr">
        <is>
          <t>AMPEREL</t>
        </is>
      </c>
      <c r="H1037" s="18" t="inlineStr">
        <is>
          <t>PARODONTAX</t>
        </is>
      </c>
      <c r="I1037" s="18" t="inlineStr">
        <is>
          <t>Parodontax Gentle Cleaning Toothbrush 1 Piece Gentle on Gums and Strong Against Plaque with Extra Soft Bristles (Pack of 2)</t>
        </is>
      </c>
      <c r="J1037" s="18" t="inlineStr">
        <is>
          <t>No</t>
        </is>
      </c>
      <c r="K1037" s="18" t="inlineStr">
        <is>
          <t>https://www.amazon.de/-/en/Parodontax-Cleaning-Toothbrush-Against-Bristles/dp/B0DLWWMPFK/ref=sr_1_2?crid=2QVCDR3QQT74C&amp;dib=eyJ2IjoiMSJ9.wvk4XfThXXEDly6yuQ67W55BuwmAl4_KjsdkgD_Q41C-DX_nXhzu7zlXeeiPr7mijfrSm3R9lXub-8P9VZO-Q0E87goPZbXziiZg_pNeFAVcVRbsDbu9tdiAcBfM89AhETzBjkPTdSrKEJMJsDJQvUVGpMj4e7Ikgl_pF2ePrSmPv95Mo0fnsy71Qe2BPdqcN6bhCPemwvqEWNs_JASijyAp5AOb3Rq_DDoFVdfXEHt08pK0gzf-qtxHY8JEflLaGAFjQfi7rGrVchaKyHiBX6IXyv2w2oTy1DH4w7xRzn8.ogoxqCS4iearhFEptyYXYHqkx3xrira6cXIuQg9TTXY&amp;dib_tag=se&amp;keywords=parodontax%2BGENTLE%2BCLEAN&amp;qid=1761073664&amp;sprefix=parodontax%2Bgentle%2Bclean%2Caps%2C157&amp;sr=8-2&amp;th=1</t>
        </is>
      </c>
      <c r="L1037" s="18" t="inlineStr">
        <is>
          <t>B0DLWWMPFK</t>
        </is>
      </c>
      <c r="M1037" s="19" t="n"/>
      <c r="N1037" s="19" t="n"/>
      <c r="O1037" s="19" t="n">
        <v>13.7</v>
      </c>
      <c r="P1037" s="19">
        <f>O1037/1.19</f>
        <v/>
      </c>
      <c r="Q1037" s="19">
        <f>O1037-P1037</f>
        <v/>
      </c>
      <c r="R1037" s="19">
        <f>O1037*0.15</f>
        <v/>
      </c>
      <c r="S1037" s="19" t="n">
        <v>5.84</v>
      </c>
      <c r="T1037" s="19">
        <f>S1037*0.2</f>
        <v/>
      </c>
      <c r="U1037" s="19" t="n">
        <v>0.400000000000002</v>
      </c>
      <c r="V1037" s="19" t="n">
        <v>2.2</v>
      </c>
      <c r="W1037" s="19">
        <f>V1037*0.2</f>
        <v/>
      </c>
      <c r="X1037" s="21">
        <f>O1037-Q1037-R1037-S1037-U1037-V1037+T1037+W1037</f>
        <v/>
      </c>
      <c r="Y1037" s="18" t="n"/>
      <c r="Z1037" s="19">
        <f>O1037+1.5</f>
        <v/>
      </c>
      <c r="AA1037" s="19" t="n"/>
      <c r="AB1037" s="19" t="n"/>
      <c r="AC1037" s="18" t="n"/>
      <c r="AD1037" s="18" t="n"/>
      <c r="AE1037" s="13" t="inlineStr">
        <is>
          <t>NOT_UPLOADED</t>
        </is>
      </c>
    </row>
    <row r="1038" ht="16" customHeight="1">
      <c r="A1038" s="12" t="n"/>
      <c r="B1038" s="12" t="n">
        <v>3574661474939</v>
      </c>
      <c r="C1038" s="13" t="n"/>
      <c r="D1038" s="14" t="n"/>
      <c r="E1038" s="14" t="inlineStr">
        <is>
          <t>AM-3574661474939</t>
        </is>
      </c>
      <c r="F1038" s="12" t="n">
        <v>4408007</v>
      </c>
      <c r="G1038" s="14" t="inlineStr">
        <is>
          <t>AMPEREL</t>
        </is>
      </c>
      <c r="H1038" s="14" t="inlineStr">
        <is>
          <t>PENATENE</t>
        </is>
      </c>
      <c r="I1038" s="14" t="inlineStr">
        <is>
          <t>Penaten Bad &amp; Shampoo mildes Baby Bad &amp; Baby Shampoo formuliert ohne Parabene &amp; Farbstoffe speziell für Neugeborene entwickelt, 400ml</t>
        </is>
      </c>
      <c r="J1038" s="14" t="inlineStr">
        <is>
          <t>No</t>
        </is>
      </c>
      <c r="K1038" s="14" t="inlineStr">
        <is>
          <t>https://www.amazon.de/formuliert-Farbstoffe-Neugeborene-entwickeltes-Haarshampoo/dp/B07TTXGWRV/ref=sr_1_1?__mk_de_DE=%C3%85M%C3%85%C5%BD%C3%95%C3%91&amp;dib=eyJ2IjoiMSJ9.Xep0rUUJXhcfC040JUEUQPlRBacNO5a0dQPe2eFAhPzGjHj071QN20LucGBJIEps.LgbDgpByHR6O1ZA-YLNc0X_8oejghfQJTQYLfxwimIc&amp;dib_tag=se&amp;keywords=3574661474939%2F&amp;qid=1764790946&amp;s=beauty&amp;sr=1-1&amp;th=1</t>
        </is>
      </c>
      <c r="L1038" s="14" t="inlineStr">
        <is>
          <t>B07TTXGWRV</t>
        </is>
      </c>
      <c r="M1038" s="15" t="n"/>
      <c r="N1038" s="15" t="n"/>
      <c r="O1038" s="15" t="n">
        <v>15</v>
      </c>
      <c r="P1038" s="15">
        <f>O1038/1.19</f>
        <v/>
      </c>
      <c r="Q1038" s="15">
        <f>O1038-P1038</f>
        <v/>
      </c>
      <c r="R1038" s="15">
        <f>O1038*0.15</f>
        <v/>
      </c>
      <c r="S1038" s="15" t="n">
        <v>4.94</v>
      </c>
      <c r="T1038" s="15">
        <f>S1038*0.2</f>
        <v/>
      </c>
      <c r="U1038" s="15" t="n">
        <v>0.400000000000002</v>
      </c>
      <c r="V1038" s="15" t="n">
        <v>5.19</v>
      </c>
      <c r="W1038" s="15">
        <f>V1038*0.2</f>
        <v/>
      </c>
      <c r="X1038" s="16">
        <f>O1038-Q1038-R1038-S1038-U1038-V1038+T1038+W1038</f>
        <v/>
      </c>
      <c r="Y1038" s="14" t="n"/>
      <c r="Z1038" s="15">
        <f>O1038+1.5</f>
        <v/>
      </c>
      <c r="AA1038" s="15" t="n"/>
      <c r="AB1038" s="15" t="n"/>
      <c r="AC1038" s="14" t="n"/>
      <c r="AD1038" s="14" t="n"/>
      <c r="AE1038" s="13" t="inlineStr">
        <is>
          <t>NOT_UPLOADED</t>
        </is>
      </c>
    </row>
    <row r="1039" ht="16" customHeight="1">
      <c r="A1039" s="17" t="n"/>
      <c r="B1039" s="17" t="n">
        <v>3574661821337</v>
      </c>
      <c r="C1039" s="13" t="n"/>
      <c r="D1039" s="18" t="n"/>
      <c r="E1039" s="18" t="inlineStr">
        <is>
          <t>AM-3574661821337</t>
        </is>
      </c>
      <c r="F1039" s="17" t="n">
        <v>4408009</v>
      </c>
      <c r="G1039" s="18" t="inlineStr">
        <is>
          <t>AMPEREL</t>
        </is>
      </c>
      <c r="H1039" s="18" t="inlineStr">
        <is>
          <t>PENATENE</t>
        </is>
      </c>
      <c r="I1039" s="18" t="inlineStr">
        <is>
          <t>Penaten Creme Baby Wundschutzcreme mit Nässeschutz &amp; Hautschutz pflegt mit Zinkoxid, Lanolin &amp; Panthenol empfindliche Babyhaut, 150ml</t>
        </is>
      </c>
      <c r="J1039" s="18" t="inlineStr">
        <is>
          <t>No</t>
        </is>
      </c>
      <c r="K1039" s="18" t="inlineStr">
        <is>
          <t>https://www.amazon.de/Penaten-Wundschutzcreme-N%C3%A4sseschutz-empfindliche-3-Phasenschutz/dp/B0DKPFL7TL/ref=sr_1_1?__mk_de_DE=%C3%85M%C3%85%C5%BD%C3%95%C3%91&amp;crid=2NZ0BPJ3JXFAT&amp;dib=eyJ2IjoiMSJ9.PJuWruGYPfvOX_rbcvfO6g.kGL4HzN4q3V-qt29-O6nuciWdbPfaB9qUKMoqBRf0EQ&amp;dib_tag=se&amp;keywords=3574661821337&amp;qid=1764791652&amp;sprefix=3574661821337%2Caps%2C96&amp;sr=8-1</t>
        </is>
      </c>
      <c r="L1039" s="18" t="inlineStr">
        <is>
          <t>B0DKPFL7TL</t>
        </is>
      </c>
      <c r="M1039" s="19" t="n"/>
      <c r="N1039" s="19" t="n"/>
      <c r="O1039" s="19" t="n">
        <v>12</v>
      </c>
      <c r="P1039" s="19">
        <f>O1039/1.19</f>
        <v/>
      </c>
      <c r="Q1039" s="19">
        <f>O1039-P1039</f>
        <v/>
      </c>
      <c r="R1039" s="19">
        <f>O1039*0.15</f>
        <v/>
      </c>
      <c r="S1039" s="19" t="n">
        <v>4.45</v>
      </c>
      <c r="T1039" s="19">
        <f>S1039*0.2</f>
        <v/>
      </c>
      <c r="U1039" s="19" t="n">
        <v>0.400000000000002</v>
      </c>
      <c r="V1039" s="19" t="n">
        <v>3.8</v>
      </c>
      <c r="W1039" s="19">
        <f>V1039*0.2</f>
        <v/>
      </c>
      <c r="X1039" s="16">
        <f>O1039-Q1039-R1039-S1039-U1039-V1039+T1039+W1039</f>
        <v/>
      </c>
      <c r="Y1039" s="18" t="n"/>
      <c r="Z1039" s="19">
        <f>O1039+1.5</f>
        <v/>
      </c>
      <c r="AA1039" s="19" t="n"/>
      <c r="AB1039" s="19" t="n"/>
      <c r="AC1039" s="18" t="n"/>
      <c r="AD1039" s="18" t="n"/>
      <c r="AE1039" s="13" t="inlineStr">
        <is>
          <t>NOT_UPLOADED</t>
        </is>
      </c>
    </row>
    <row r="1040" ht="16" customHeight="1">
      <c r="A1040" s="12" t="n">
        <v>4150019551843</v>
      </c>
      <c r="B1040" s="12" t="n">
        <v>3574661821344</v>
      </c>
      <c r="C1040" s="13" t="n"/>
      <c r="D1040" s="14" t="n"/>
      <c r="E1040" s="14" t="inlineStr">
        <is>
          <t>AMP-4150019551843</t>
        </is>
      </c>
      <c r="F1040" s="12" t="n">
        <v>4408004</v>
      </c>
      <c r="G1040" s="14" t="inlineStr">
        <is>
          <t>AMPEREL</t>
        </is>
      </c>
      <c r="H1040" s="14" t="inlineStr">
        <is>
          <t>PENATENE</t>
        </is>
      </c>
      <c r="I1040" s="14" t="inlineStr">
        <is>
          <t>Penaten Sofortschutz Beruhigt Creme, 50 ml</t>
        </is>
      </c>
      <c r="J1040" s="14" t="inlineStr">
        <is>
          <t>No</t>
        </is>
      </c>
      <c r="K1040" s="14" t="inlineStr">
        <is>
          <t>https://www.amazon.de/Penaten-50699-Creme-50-ml/dp/B001IZ1PKK/ref=sr_1_3?crid=1YIFRT8XPWPJX&amp;dib=eyJ2IjoiMSJ9.buaZBBnx1pBuNTCdjGMlvmueuTIeIZo3AZEVTZ7wHmc1MT64nhmTUe07tQC7LZCJ4TmQpYZ1rp5EBUpXDQ8kEXvE-F3dx17143aXQ8EOCXXeXPdSSJqNdw_WO7d9a8SomPUx3sdbUKhLyNm6nbIUH7ToNJn2iJehQ5Ncb3idGFDrdD4wmIG1BNE20RVXxVFDXexxBF5DECDxVDj-m57WtDY3Rjx2zdTBy4ismA5CIRtqfXj55lgwYSfW8s0bBEtTgXz_-HAaUtlKwqsdp73tDFzffw6eJ7zrkNwHvjVp8Fw.leErjsOYvczgSCxXzzTUWoXnW_x2Pn3lKE9RvXgkTMw&amp;dib_tag=se&amp;keywords=penaten+creme&amp;qid=1764792008&amp;sprefix=PENATENE%2Caps%2C111&amp;sr=8-3</t>
        </is>
      </c>
      <c r="L1040" s="14" t="inlineStr">
        <is>
          <t>B001IZ1PKK</t>
        </is>
      </c>
      <c r="M1040" s="15" t="n"/>
      <c r="N1040" s="15" t="n"/>
      <c r="O1040" s="15" t="n">
        <v>8</v>
      </c>
      <c r="P1040" s="15">
        <f>O1040/1.19</f>
        <v/>
      </c>
      <c r="Q1040" s="15">
        <f>O1040-P1040</f>
        <v/>
      </c>
      <c r="R1040" s="15">
        <f>O1040*0.15</f>
        <v/>
      </c>
      <c r="S1040" s="15" t="n">
        <v>2.47</v>
      </c>
      <c r="T1040" s="15">
        <f>S1040*0.2</f>
        <v/>
      </c>
      <c r="U1040" s="15" t="n">
        <v>0.400000000000002</v>
      </c>
      <c r="V1040" s="15" t="n">
        <v>2</v>
      </c>
      <c r="W1040" s="15">
        <f>V1040*0.2</f>
        <v/>
      </c>
      <c r="X1040" s="16">
        <f>O1040-Q1040-R1040-S1040-U1040-V1040+T1040+W1040</f>
        <v/>
      </c>
      <c r="Y1040" s="14" t="n"/>
      <c r="Z1040" s="15">
        <f>O1040+1.5</f>
        <v/>
      </c>
      <c r="AA1040" s="15" t="n"/>
      <c r="AB1040" s="15" t="n"/>
      <c r="AC1040" s="14" t="n"/>
      <c r="AD1040" s="14" t="n"/>
      <c r="AE1040" s="13" t="inlineStr">
        <is>
          <t>NOT_UPLOADED</t>
        </is>
      </c>
    </row>
    <row r="1041" ht="16" customHeight="1">
      <c r="A1041" s="17" t="n">
        <v>3574660533859</v>
      </c>
      <c r="B1041" s="17" t="n">
        <v>3574661821337</v>
      </c>
      <c r="C1041" s="13" t="n"/>
      <c r="D1041" s="18" t="n"/>
      <c r="E1041" s="18" t="inlineStr">
        <is>
          <t>AMP-35746605338593</t>
        </is>
      </c>
      <c r="F1041" s="17" t="n">
        <v>4408009</v>
      </c>
      <c r="G1041" s="18" t="inlineStr">
        <is>
          <t>AMPEREL</t>
        </is>
      </c>
      <c r="H1041" s="18" t="inlineStr">
        <is>
          <t>PENATENE</t>
        </is>
      </c>
      <c r="I1041" s="18" t="inlineStr">
        <is>
          <t>PENATEN PASTA PROTETTIVA 150ML</t>
        </is>
      </c>
      <c r="J1041" s="18" t="inlineStr">
        <is>
          <t>No</t>
        </is>
      </c>
      <c r="K1041" s="18" t="inlineStr">
        <is>
          <t>https://www.amazon.de/Unbekannt-PENATEN-PASTA-PROTETTIVA-150ML/dp/B00F34H4BQ/ref=sr_1_13?crid=1YIFRT8XPWPJX&amp;dib=eyJ2IjoiMSJ9.buaZBBnx1pBuNTCdjGMlvmueuTIeIZo3AZEVTZ7wHmc1MT64nhmTUe07tQC7LZCJ4TmQpYZ1rp5EBUpXDQ8kEXvE-F3dx17143aXQ8EOCXXeXPdSSJqNdw_WO7d9a8SomPUx3sdbUKhLyNm6nbIUH7ToNJn2iJehQ5Ncb3idGFDrdD4wmIG1BNE20RVXxVFDXexxBF5DECDxVDj-m57WtDY3Rjx2zdTBy4ismA5CIRtqfXj55lgwYSfW8s0bBEtTgXz_-HAaUtlKwqsdp73tDFzffw6eJ7zrkNwHvjVp8Fw.leErjsOYvczgSCxXzzTUWoXnW_x2Pn3lKE9RvXgkTMw&amp;dib_tag=se&amp;keywords=penaten+creme&amp;qid=1764792008&amp;sprefix=PENATENE%2Caps%2C111&amp;sr=8-13</t>
        </is>
      </c>
      <c r="L1041" s="18" t="inlineStr">
        <is>
          <t>B00F34H4BQ</t>
        </is>
      </c>
      <c r="M1041" s="19" t="n"/>
      <c r="N1041" s="19" t="n"/>
      <c r="O1041" s="19" t="n">
        <v>12</v>
      </c>
      <c r="P1041" s="19">
        <f>O1041/1.19</f>
        <v/>
      </c>
      <c r="Q1041" s="19">
        <f>O1041-P1041</f>
        <v/>
      </c>
      <c r="R1041" s="19">
        <f>O1041*0.15</f>
        <v/>
      </c>
      <c r="S1041" s="19" t="n">
        <v>4.45</v>
      </c>
      <c r="T1041" s="19">
        <f>S1041*0.2</f>
        <v/>
      </c>
      <c r="U1041" s="19" t="n">
        <v>0.400000000000002</v>
      </c>
      <c r="V1041" s="19" t="n">
        <v>2.82</v>
      </c>
      <c r="W1041" s="19">
        <f>V1041*0.2</f>
        <v/>
      </c>
      <c r="X1041" s="21">
        <f>O1041-Q1041-R1041-S1041-U1041-V1041+T1041+W1041</f>
        <v/>
      </c>
      <c r="Y1041" s="18" t="n"/>
      <c r="Z1041" s="19">
        <f>O1041+1.5</f>
        <v/>
      </c>
      <c r="AA1041" s="19" t="n"/>
      <c r="AB1041" s="19" t="n"/>
      <c r="AC1041" s="18" t="n"/>
      <c r="AD1041" s="18" t="n"/>
      <c r="AE1041" s="13" t="inlineStr">
        <is>
          <t>NOT_UPLOADED</t>
        </is>
      </c>
    </row>
    <row r="1042" ht="16" customHeight="1">
      <c r="A1042" s="12" t="n">
        <v>3574660533859</v>
      </c>
      <c r="B1042" s="12" t="n">
        <v>3574661821337</v>
      </c>
      <c r="C1042" s="20" t="inlineStr">
        <is>
          <t>PACK X 3</t>
        </is>
      </c>
      <c r="D1042" s="14" t="n"/>
      <c r="E1042" s="14" t="inlineStr">
        <is>
          <t>AMP-3574660533859</t>
        </is>
      </c>
      <c r="F1042" s="12" t="n">
        <v>4408009</v>
      </c>
      <c r="G1042" s="14" t="inlineStr">
        <is>
          <t>AMPEREL</t>
        </is>
      </c>
      <c r="H1042" s="14" t="inlineStr">
        <is>
          <t>PENATENE</t>
        </is>
      </c>
      <c r="I1042" s="14" t="inlineStr">
        <is>
          <t>Baby Creme - 150ml (3er Pack) von Penaten</t>
        </is>
      </c>
      <c r="J1042" s="14" t="inlineStr">
        <is>
          <t>No</t>
        </is>
      </c>
      <c r="K1042" s="14" t="inlineStr">
        <is>
          <t>https://www.amazon.de/Penaten-Baby-Creme-Cremefarben-St%C3%BCck/dp/B01MQKPXFW/ref=sr_1_14?crid=1YIFRT8XPWPJX&amp;dib=eyJ2IjoiMSJ9.buaZBBnx1pBuNTCdjGMlvmueuTIeIZo3AZEVTZ7wHmc1MT64nhmTUe07tQC7LZCJ4TmQpYZ1rp5EBUpXDQ8kEXvE-F3dx17143aXQ8EOCXXeXPdSSJqNdw_WO7d9a8SomPUx3sdbUKhLyNm6nbIUH7ToNJn2iJehQ5Ncb3idGFDrdD4wmIG1BNE20RVXxVFDXexxBF5DECDxVDj-m57WtDY3Rjx2zdTBy4ismA5CIRtqfXj55lgwYSfW8s0bBEtTgXz_-HAaUtlKwqsdp73tDFzffw6eJ7zrkNwHvjVp8Fw.leErjsOYvczgSCxXzzTUWoXnW_x2Pn3lKE9RvXgkTMw&amp;dib_tag=se&amp;keywords=penaten+creme&amp;qid=1764792008&amp;sprefix=PENATENE%2Caps%2C111&amp;sr=8-14</t>
        </is>
      </c>
      <c r="L1042" s="14" t="inlineStr">
        <is>
          <t>B01MQKPXFW</t>
        </is>
      </c>
      <c r="M1042" s="15" t="n"/>
      <c r="N1042" s="15" t="n"/>
      <c r="O1042" s="15" t="n">
        <v>26</v>
      </c>
      <c r="P1042" s="15">
        <f>O1042/1.19</f>
        <v/>
      </c>
      <c r="Q1042" s="15">
        <f>O1042-P1042</f>
        <v/>
      </c>
      <c r="R1042" s="15">
        <f>O1042*0.15</f>
        <v/>
      </c>
      <c r="S1042" s="15" t="n">
        <v>13.35</v>
      </c>
      <c r="T1042" s="15">
        <f>S1042*0.2</f>
        <v/>
      </c>
      <c r="U1042" s="15" t="n">
        <v>0.400000000000002</v>
      </c>
      <c r="V1042" s="15" t="n">
        <v>5.7</v>
      </c>
      <c r="W1042" s="15">
        <f>V1042*0.2</f>
        <v/>
      </c>
      <c r="X1042" s="21">
        <f>O1042-Q1042-R1042-S1042-U1042-V1042+T1042+W1042</f>
        <v/>
      </c>
      <c r="Y1042" s="14" t="n"/>
      <c r="Z1042" s="15">
        <f>O1042+1.5</f>
        <v/>
      </c>
      <c r="AA1042" s="15" t="n"/>
      <c r="AB1042" s="15" t="n"/>
      <c r="AC1042" s="14" t="n"/>
      <c r="AD1042" s="14" t="n"/>
      <c r="AE1042" s="13" t="inlineStr">
        <is>
          <t>NOT_UPLOADED</t>
        </is>
      </c>
    </row>
    <row r="1043" ht="16" customHeight="1">
      <c r="A1043" s="17" t="n">
        <v>3574661783161</v>
      </c>
      <c r="B1043" s="17" t="n">
        <v>3574661821337</v>
      </c>
      <c r="C1043" s="13" t="n"/>
      <c r="D1043" s="18" t="n"/>
      <c r="E1043" s="18" t="inlineStr">
        <is>
          <t>AMP-3574661783161</t>
        </is>
      </c>
      <c r="F1043" s="17" t="n">
        <v>4408009</v>
      </c>
      <c r="G1043" s="18" t="inlineStr">
        <is>
          <t>AMPEREL</t>
        </is>
      </c>
      <c r="H1043" s="18" t="inlineStr">
        <is>
          <t>PENATENE</t>
        </is>
      </c>
      <c r="I1043" s="18" t="inlineStr">
        <is>
          <t>Penaten Creme (150 ml), Baby Wundschutzcreme mit Nässeschutz &amp; Hautschutz, schützt sofort zarte Babyhaut mit Panthenol, zieht schnell ein &amp; beruhigt</t>
        </is>
      </c>
      <c r="J1043" s="18" t="inlineStr">
        <is>
          <t>No</t>
        </is>
      </c>
      <c r="K1043" s="18" t="inlineStr">
        <is>
          <t>https://www.amazon.de/Penaten-Wundschutzcreme-N%C3%A4sseschutz-Hautschutz-Panthenol/dp/B0CTCNXXRN/ref=sr_1_31?crid=1YIFRT8XPWPJX&amp;dib=eyJ2IjoiMSJ9.buaZBBnx1pBuNTCdjGMlvmueuTIeIZo3AZEVTZ7wHmc1MT64nhmTUe07tQC7LZCJ4TmQpYZ1rp5EBUpXDQ8kEXvE-F3dx17143aXQ8EOCXXeXPdSSJqNdw_WO7d9a8SomPUx3sdbUKhLyNm6nbIUH7ToNJn2iJehQ5Ncb3idGFDrdD4wmIG1BNE20RVXxVFDXexxBF5DECDxVDj-m57WtDY3Rjx2zdTBy4ismA5CIRtqfXj55lgwYSfW8s0bBEtTgXz_-HAaUtlKwqsdp73tDFzffw6eJ7zrkNwHvjVp8Fw.leErjsOYvczgSCxXzzTUWoXnW_x2Pn3lKE9RvXgkTMw&amp;dib_tag=se&amp;keywords=penaten+creme&amp;qid=1764792008&amp;sprefix=PENATENE%2Caps%2C111&amp;sr=8-31</t>
        </is>
      </c>
      <c r="L1043" s="18" t="inlineStr">
        <is>
          <t>B0CTCNXXRN</t>
        </is>
      </c>
      <c r="M1043" s="19" t="n"/>
      <c r="N1043" s="19" t="n"/>
      <c r="O1043" s="19" t="n">
        <v>12</v>
      </c>
      <c r="P1043" s="19">
        <f>O1043/1.19</f>
        <v/>
      </c>
      <c r="Q1043" s="19">
        <f>O1043-P1043</f>
        <v/>
      </c>
      <c r="R1043" s="19">
        <f>O1043*0.15</f>
        <v/>
      </c>
      <c r="S1043" s="19" t="n">
        <v>4.45</v>
      </c>
      <c r="T1043" s="19">
        <f>S1043*0.2</f>
        <v/>
      </c>
      <c r="U1043" s="19" t="n">
        <v>0.400000000000002</v>
      </c>
      <c r="V1043" s="19" t="n">
        <v>2.82</v>
      </c>
      <c r="W1043" s="19">
        <f>V1043*0.2</f>
        <v/>
      </c>
      <c r="X1043" s="21">
        <f>O1043-Q1043-R1043-S1043-U1043-V1043+T1043+W1043</f>
        <v/>
      </c>
      <c r="Y1043" s="18" t="n"/>
      <c r="Z1043" s="19">
        <f>O1043+1.5</f>
        <v/>
      </c>
      <c r="AA1043" s="19" t="n"/>
      <c r="AB1043" s="19" t="n"/>
      <c r="AC1043" s="18" t="n"/>
      <c r="AD1043" s="18" t="n"/>
      <c r="AE1043" s="13" t="inlineStr">
        <is>
          <t>NOT_UPLOADED</t>
        </is>
      </c>
    </row>
    <row r="1044" ht="16" customHeight="1">
      <c r="A1044" s="12" t="n"/>
      <c r="B1044" s="12" t="n">
        <v>3574661821337</v>
      </c>
      <c r="C1044" s="13" t="n"/>
      <c r="D1044" s="14" t="n"/>
      <c r="E1044" s="14" t="n"/>
      <c r="F1044" s="12" t="n">
        <v>4408009</v>
      </c>
      <c r="G1044" s="14" t="inlineStr">
        <is>
          <t>AMPEREL</t>
        </is>
      </c>
      <c r="H1044" s="14" t="inlineStr">
        <is>
          <t>PENATENE</t>
        </is>
      </c>
      <c r="I1044" s="14" t="inlineStr">
        <is>
          <t>PENATEN Creme, 150 ml (1 x 150 ml)</t>
        </is>
      </c>
      <c r="J1044" s="14" t="inlineStr">
        <is>
          <t>No</t>
        </is>
      </c>
      <c r="K1044" s="14" t="inlineStr">
        <is>
          <t>https://www.amazon.de/Penaten-Creme-150ml/dp/B00B5R31BM/ref=sr_1_39?crid=1YIFRT8XPWPJX&amp;dib=eyJ2IjoiMSJ9.buaZBBnx1pBuNTCdjGMlvmueuTIeIZo3AZEVTZ7wHmc1MT64nhmTUe07tQC7LZCJ4TmQpYZ1rp5EBUpXDQ8kEXvE-F3dx17143aXQ8EOCXXeXPdSSJqNdw_WO7d9a8SomPUx3sdbUKhLyNm6nbIUH7ToNJn2iJehQ5Ncb3idGFDrdD4wmIG1BNE20RVXxVFDXexxBF5DECDxVDj-m57WtDY3Rjx2zdTBy4ismA5CIRtqfXj55lgwYSfW8s0bBEtTgXz_-HAaUtlKwqsdp73tDFzffw6eJ7zrkNwHvjVp8Fw.leErjsOYvczgSCxXzzTUWoXnW_x2Pn3lKE9RvXgkTMw&amp;dib_tag=se&amp;keywords=penaten+creme&amp;qid=1764792008&amp;sprefix=PENATENE%2Caps%2C111&amp;sr=8-39</t>
        </is>
      </c>
      <c r="L1044" s="14" t="inlineStr">
        <is>
          <t>B00B5R31BM</t>
        </is>
      </c>
      <c r="M1044" s="15" t="n"/>
      <c r="N1044" s="15" t="n"/>
      <c r="O1044" s="15" t="n">
        <v>12</v>
      </c>
      <c r="P1044" s="15">
        <f>O1044/1.19</f>
        <v/>
      </c>
      <c r="Q1044" s="15">
        <f>O1044-P1044</f>
        <v/>
      </c>
      <c r="R1044" s="15">
        <f>O1044*0.15</f>
        <v/>
      </c>
      <c r="S1044" s="15" t="n">
        <v>4.45</v>
      </c>
      <c r="T1044" s="15">
        <f>S1044*0.2</f>
        <v/>
      </c>
      <c r="U1044" s="15" t="n">
        <v>0.400000000000002</v>
      </c>
      <c r="V1044" s="15" t="n">
        <v>2.82</v>
      </c>
      <c r="W1044" s="15">
        <f>V1044*0.2</f>
        <v/>
      </c>
      <c r="X1044" s="21">
        <f>O1044-Q1044-R1044-S1044-U1044-V1044+T1044+W1044</f>
        <v/>
      </c>
      <c r="Y1044" s="14" t="n"/>
      <c r="Z1044" s="15">
        <f>O1044+1.5</f>
        <v/>
      </c>
      <c r="AA1044" s="15" t="n"/>
      <c r="AB1044" s="15" t="n"/>
      <c r="AC1044" s="14" t="n"/>
      <c r="AD1044" s="14" t="n"/>
      <c r="AE1044" s="13" t="inlineStr">
        <is>
          <t>NOT_UPLOADED</t>
        </is>
      </c>
    </row>
    <row r="1045" ht="16" customHeight="1">
      <c r="A1045" s="17" t="n">
        <v>3574661606026</v>
      </c>
      <c r="B1045" s="17" t="n">
        <v>3574661606026</v>
      </c>
      <c r="C1045" s="13" t="n"/>
      <c r="D1045" s="18" t="n"/>
      <c r="E1045" s="18" t="inlineStr">
        <is>
          <t>AMP-3574661606026</t>
        </is>
      </c>
      <c r="F1045" s="17" t="n">
        <v>4408001</v>
      </c>
      <c r="G1045" s="18" t="inlineStr">
        <is>
          <t>AMPEREL</t>
        </is>
      </c>
      <c r="H1045" s="18" t="inlineStr">
        <is>
          <t>PENATENE</t>
        </is>
      </c>
      <c r="I1045" s="18" t="inlineStr">
        <is>
          <t>PENATEN Pflegecreme Gesicht und Körper 100ml,schnell einziehende Baby Gesichtscreme + Körpercreme für zarte Babyhaut hinterlässt ein weiches Hautgefühl und versorgt die Haut mit wichtiger Feuchtigkeit</t>
        </is>
      </c>
      <c r="J1045" s="18" t="inlineStr">
        <is>
          <t>No</t>
        </is>
      </c>
      <c r="K1045" s="18" t="inlineStr">
        <is>
          <t>https://www.amazon.de/Penaten-Pflegecreme-Babypflege-Feuchtigkeit-Feuchtigkeitscreme/dp/B092P5GZJQ/ref=sr_1_4?crid=1YIFRT8XPWPJX&amp;dib=eyJ2IjoiMSJ9.buaZBBnx1pBuNTCdjGMlvmueuTIeIZo3AZEVTZ7wHmc1MT64nhmTUe07tQC7LZCJ4TmQpYZ1rp5EBUpXDQ8kEXvE-F3dx17143aXQ8EOCXXeXPdSSJqNdw_WO7d9a8SomPUx3sdbUKhLyNm6nbIUH7ToNJn2iJehQ5Ncb3idGFDrdD4wmIG1BNE20RVXxVFDXexxBF5DECDxVDj-m57WtDY3Rjx2zdTBy4ismA5CIRtqfXj55lgwYSfW8s0bBEtTgXz_-HAaUtlKwqsdp73tDFzffw6eJ7zrkNwHvjVp8Fw.leErjsOYvczgSCxXzzTUWoXnW_x2Pn3lKE9RvXgkTMw&amp;dib_tag=se&amp;keywords=penaten%2Bcreme&amp;qid=1764792008&amp;sprefix=PENATENE%2Caps%2C111&amp;sr=8-4&amp;th=1</t>
        </is>
      </c>
      <c r="L1045" s="18" t="inlineStr">
        <is>
          <t>B092P5GZJQ</t>
        </is>
      </c>
      <c r="M1045" s="19" t="n"/>
      <c r="N1045" s="19" t="n"/>
      <c r="O1045" s="19" t="n">
        <v>10</v>
      </c>
      <c r="P1045" s="19">
        <f>O1045/1.19</f>
        <v/>
      </c>
      <c r="Q1045" s="19">
        <f>O1045-P1045</f>
        <v/>
      </c>
      <c r="R1045" s="19">
        <f>O1045*0.15</f>
        <v/>
      </c>
      <c r="S1045" s="19" t="n">
        <v>4.45</v>
      </c>
      <c r="T1045" s="19">
        <f>S1045*0.2</f>
        <v/>
      </c>
      <c r="U1045" s="19" t="n">
        <v>0.400000000000002</v>
      </c>
      <c r="V1045" s="19" t="n">
        <v>2.82</v>
      </c>
      <c r="W1045" s="19">
        <f>V1045*0.2</f>
        <v/>
      </c>
      <c r="X1045" s="22">
        <f>O1045-Q1045-R1045-S1045-U1045-V1045+T1045+W1045</f>
        <v/>
      </c>
      <c r="Y1045" s="18" t="n"/>
      <c r="Z1045" s="19">
        <f>O1045+1.5</f>
        <v/>
      </c>
      <c r="AA1045" s="19" t="n"/>
      <c r="AB1045" s="19" t="n"/>
      <c r="AC1045" s="18" t="n"/>
      <c r="AD1045" s="18" t="n"/>
      <c r="AE1045" s="13" t="inlineStr">
        <is>
          <t>NOT_UPLOADED</t>
        </is>
      </c>
    </row>
    <row r="1046" ht="16" customHeight="1">
      <c r="A1046" s="12" t="n">
        <v>3574661237848</v>
      </c>
      <c r="B1046" s="12" t="n">
        <v>3574661816005</v>
      </c>
      <c r="C1046" s="13" t="n"/>
      <c r="D1046" s="14" t="n"/>
      <c r="E1046" s="14" t="inlineStr">
        <is>
          <t>AMP-3574661237848</t>
        </is>
      </c>
      <c r="F1046" s="12" t="n">
        <v>4408005</v>
      </c>
      <c r="G1046" s="14" t="inlineStr">
        <is>
          <t>AMPEREL</t>
        </is>
      </c>
      <c r="H1046" s="14" t="inlineStr">
        <is>
          <t>PENATENE</t>
        </is>
      </c>
      <c r="I1046" s="14" t="inlineStr">
        <is>
          <t>Penaten Intensiv Pflege-Öl, 200 ml</t>
        </is>
      </c>
      <c r="J1046" s="14" t="inlineStr">
        <is>
          <t>No</t>
        </is>
      </c>
      <c r="K1046" s="14" t="inlineStr">
        <is>
          <t>https://www.amazon.de/Penaten-Intensiv-Pflege-%C3%96l-200/dp/B015OMN51E/ref=sr_1_28?__mk_de_DE=%C3%85M%C3%85%C5%BD%C3%95%C3%91&amp;crid=3JXGSNEMIIBE1&amp;dib=eyJ2IjoiMSJ9.buaZBBnx1pBuNTCdjGMlvk8RJs9PHI_G7Jp57OBS2LXQ53NpN31R2g5MQAYmxDAnRfyPDs64oL9kaC5hgd4nn1o_9GuSw--AQA4c8At0_ypWmjdrouggbbzfjZn-_5pQXAx2_wg_ol7k7Ztrayekjgz1sUtxXiybM6Qo7Ju_DTTkFb6aHDHF5YyBDhrEVRtaF9RCc4IMDVEhnylNxPxQ7MwOTgFkMsDZcUZX5g4I8XZbNcbO9hliMT15L-BA0wFa0PMGi58Or_cxLQzY4CAcnkmf-HOgy4g3duYrsVVZaTo.ctJP99DselQSqcYAn4pTwJ7yn7R546rZ0-d63SyHP7E&amp;dib_tag=se&amp;keywords=PENATEN&amp;qid=1764794324&amp;sprefix=penaten%2Caps%2C105&amp;sr=8-28</t>
        </is>
      </c>
      <c r="L1046" s="14" t="inlineStr">
        <is>
          <t>B015OMN51E</t>
        </is>
      </c>
      <c r="M1046" s="15" t="n"/>
      <c r="N1046" s="15" t="n"/>
      <c r="O1046" s="15" t="n">
        <v>12</v>
      </c>
      <c r="P1046" s="15">
        <f>O1046/1.19</f>
        <v/>
      </c>
      <c r="Q1046" s="15">
        <f>O1046-P1046</f>
        <v/>
      </c>
      <c r="R1046" s="15">
        <f>O1046*0.15</f>
        <v/>
      </c>
      <c r="S1046" s="15" t="n">
        <v>4.45</v>
      </c>
      <c r="T1046" s="15">
        <f>S1046*0.2</f>
        <v/>
      </c>
      <c r="U1046" s="15" t="n">
        <v>0.400000000000002</v>
      </c>
      <c r="V1046" s="15" t="n">
        <v>3.2</v>
      </c>
      <c r="W1046" s="15">
        <f>V1046*0.2</f>
        <v/>
      </c>
      <c r="X1046" s="16">
        <f>O1046-Q1046-R1046-S1046-U1046-V1046+T1046+W1046</f>
        <v/>
      </c>
      <c r="Y1046" s="14" t="n"/>
      <c r="Z1046" s="15">
        <f>O1046+1.5</f>
        <v/>
      </c>
      <c r="AA1046" s="15" t="n"/>
      <c r="AB1046" s="15" t="n"/>
      <c r="AC1046" s="14" t="n"/>
      <c r="AD1046" s="14" t="n"/>
      <c r="AE1046" s="13" t="inlineStr">
        <is>
          <t>NOT_UPLOADED</t>
        </is>
      </c>
    </row>
    <row r="1047" ht="16" customHeight="1">
      <c r="A1047" s="17" t="n">
        <v>4150115431001</v>
      </c>
      <c r="B1047" s="17" t="n">
        <v>3574661816005</v>
      </c>
      <c r="C1047" s="13" t="n"/>
      <c r="D1047" s="18" t="n"/>
      <c r="E1047" s="18" t="inlineStr">
        <is>
          <t>AMP-4150115431001</t>
        </is>
      </c>
      <c r="F1047" s="17" t="n">
        <v>4408005</v>
      </c>
      <c r="G1047" s="18" t="inlineStr">
        <is>
          <t>AMPEREL</t>
        </is>
      </c>
      <c r="H1047" s="18" t="inlineStr">
        <is>
          <t>PENATENE</t>
        </is>
      </c>
      <c r="I1047" s="18" t="inlineStr">
        <is>
          <t>PENATEN INTENSIV Pflegeöl 200 ml</t>
        </is>
      </c>
      <c r="J1047" s="18" t="inlineStr">
        <is>
          <t>No</t>
        </is>
      </c>
      <c r="K1047" s="18" t="inlineStr">
        <is>
          <t>https://www.amazon.de/PENATEN-INTENSIV-Pflege%C3%B6l-200-%C3%96l/dp/B07C64MBS6/ref=sr_1_39?__mk_de_DE=%C3%85M%C3%85%C5%BD%C3%95%C3%91&amp;crid=3JXGSNEMIIBE1&amp;dib=eyJ2IjoiMSJ9.buaZBBnx1pBuNTCdjGMlvk8RJs9PHI_G7Jp57OBS2LXQ53NpN31R2g5MQAYmxDAnRfyPDs64oL9kaC5hgd4nn1o_9GuSw--AQA4c8At0_ypWmjdrouggbbzfjZn-_5pQXAx2_wg_ol7k7Ztrayekjgz1sUtxXiybM6Qo7Ju_DTTkFb6aHDHF5YyBDhrEVRtaF9RCc4IMDVEhnylNxPxQ7MwOTgFkMsDZcUZX5g4I8XZbNcbO9hliMT15L-BA0wFa0PMGi58Or_cxLQzY4CAcnkmf-HOgy4g3duYrsVVZaTo.ctJP99DselQSqcYAn4pTwJ7yn7R546rZ0-d63SyHP7E&amp;dib_tag=se&amp;keywords=PENATEN&amp;qid=1764794324&amp;sprefix=penaten%2Caps%2C105&amp;sr=8-39</t>
        </is>
      </c>
      <c r="L1047" s="18" t="inlineStr">
        <is>
          <t>B07C64MBS6</t>
        </is>
      </c>
      <c r="M1047" s="19" t="n"/>
      <c r="N1047" s="19" t="n"/>
      <c r="O1047" s="19" t="n">
        <v>12</v>
      </c>
      <c r="P1047" s="19">
        <f>O1047/1.19</f>
        <v/>
      </c>
      <c r="Q1047" s="19">
        <f>O1047-P1047</f>
        <v/>
      </c>
      <c r="R1047" s="19">
        <f>O1047*0.15</f>
        <v/>
      </c>
      <c r="S1047" s="19" t="n">
        <v>4.45</v>
      </c>
      <c r="T1047" s="19">
        <f>S1047*0.2</f>
        <v/>
      </c>
      <c r="U1047" s="19" t="n">
        <v>0.400000000000002</v>
      </c>
      <c r="V1047" s="19" t="n">
        <v>2.82</v>
      </c>
      <c r="W1047" s="19">
        <f>V1047*0.2</f>
        <v/>
      </c>
      <c r="X1047" s="21">
        <f>O1047-Q1047-R1047-S1047-U1047-V1047+T1047+W1047</f>
        <v/>
      </c>
      <c r="Y1047" s="18" t="n"/>
      <c r="Z1047" s="19">
        <f>O1047+1.5</f>
        <v/>
      </c>
      <c r="AA1047" s="19" t="n"/>
      <c r="AB1047" s="19" t="n"/>
      <c r="AC1047" s="18" t="n"/>
      <c r="AD1047" s="18" t="n"/>
      <c r="AE1047" s="13" t="inlineStr">
        <is>
          <t>NOT_UPLOADED</t>
        </is>
      </c>
    </row>
    <row r="1048" ht="16" customHeight="1">
      <c r="A1048" s="12" t="n">
        <v>4005900437532</v>
      </c>
      <c r="B1048" s="12" t="n">
        <v>4005900897336</v>
      </c>
      <c r="C1048" s="13" t="n"/>
      <c r="D1048" s="14" t="n"/>
      <c r="E1048" s="14" t="inlineStr">
        <is>
          <t>AMP-4005900437532</t>
        </is>
      </c>
      <c r="F1048" s="12" t="n">
        <v>84229</v>
      </c>
      <c r="G1048" s="14" t="inlineStr">
        <is>
          <t>AMPEREL</t>
        </is>
      </c>
      <c r="H1048" s="14" t="inlineStr">
        <is>
          <t>NIVEA</t>
        </is>
      </c>
      <c r="I1048" s="14" t="inlineStr">
        <is>
          <t>Nivea 3-in-1 Anti-Age Care Cushion for Natural Tinting and Moisture</t>
        </is>
      </c>
      <c r="J1048" s="14" t="inlineStr">
        <is>
          <t>No</t>
        </is>
      </c>
      <c r="K1048" s="14" t="inlineStr">
        <is>
          <t>https://www.amazon.de/-/en/Anti-Age-Cushion-Natural-Tinting-Moisture/dp/B079J66LWS/ref=sr_1_1?crid=33UWSBLKZ09DB&amp;dib=eyJ2IjoiMSJ9.qB-FIJWFdPqplv1_Bw7qPA.VGgPb65uO3qE1XT_3q7470vqNjcxQh8x2SGBwgtSiMk&amp;dib_tag=se&amp;keywords=B079JJ4KJM&amp;qid=1768126510&amp;s=beauty&amp;sprefix=b079jj4kjm%2Cbeauty%2C269&amp;sr=1-1&amp;th=1</t>
        </is>
      </c>
      <c r="L1048" s="14" t="inlineStr">
        <is>
          <t>https://www.amazon.de/-/en/Anti-Age-Cushion-Natural-Tinting-Moisture/dp/B079J66LWS/ref=sr_1_1?crid=33UWSBLKZ09DB&amp;dib=eyJ2IjoiMSJ9.qB-FIJWFdPqplv1_Bw7qPA.VGgPb65uO3qE1XT_3q7470vqNjcxQh8x2SGBwgtSiMk&amp;dib_tag=se&amp;keywords=B079JJ4KJM&amp;qid=1768126510&amp;s=beauty&amp;sprefix=b079jj4kjm%2Cbeauty%2C269&amp;sr=1-1&amp;th=1</t>
        </is>
      </c>
      <c r="M1048" s="15" t="n"/>
      <c r="N1048" s="15" t="n"/>
      <c r="O1048" s="15" t="n">
        <v>28.6</v>
      </c>
      <c r="P1048" s="15">
        <f>O1048/1.19</f>
        <v/>
      </c>
      <c r="Q1048" s="15">
        <f>O1048-P1048</f>
        <v/>
      </c>
      <c r="R1048" s="15">
        <f>O1048*0.15</f>
        <v/>
      </c>
      <c r="S1048" s="15" t="n">
        <v>16.44</v>
      </c>
      <c r="T1048" s="15">
        <f>S1048*0.2</f>
        <v/>
      </c>
      <c r="U1048" s="15" t="n">
        <v>0.400000000000002</v>
      </c>
      <c r="V1048" s="15" t="n">
        <v>2.5</v>
      </c>
      <c r="W1048" s="15">
        <f>V1048*0.2</f>
        <v/>
      </c>
      <c r="X1048" s="21">
        <f>O1048-Q1048-R1048-S1048-U1048-V1048+T1048+W1048</f>
        <v/>
      </c>
      <c r="Y1048" s="14" t="n"/>
      <c r="Z1048" s="15">
        <f>O1048+1.5</f>
        <v/>
      </c>
      <c r="AA1048" s="15" t="n"/>
      <c r="AB1048" s="15" t="n"/>
      <c r="AC1048" s="14" t="n"/>
      <c r="AD1048" s="14" t="n"/>
      <c r="AE1048" s="13" t="inlineStr">
        <is>
          <t>NOT_UPLOADED</t>
        </is>
      </c>
    </row>
    <row r="1049" ht="16" customHeight="1">
      <c r="A1049" s="17" t="n">
        <v>4005900437501</v>
      </c>
      <c r="B1049" s="17" t="n">
        <v>4005900897336</v>
      </c>
      <c r="C1049" s="13" t="n"/>
      <c r="D1049" s="18" t="n"/>
      <c r="E1049" s="18" t="inlineStr">
        <is>
          <t>AMP-4005900437501</t>
        </is>
      </c>
      <c r="F1049" s="17" t="n">
        <v>84229</v>
      </c>
      <c r="G1049" s="18" t="inlineStr">
        <is>
          <t>AMPEREL</t>
        </is>
      </c>
      <c r="H1049" s="18" t="inlineStr">
        <is>
          <t>NIVEA</t>
        </is>
      </c>
      <c r="I1049" s="18" t="inlineStr">
        <is>
          <t>Nivea 3-in-1 Anti-Age Care Cushion for Natural Tinting and Moisture</t>
        </is>
      </c>
      <c r="J1049" s="18" t="inlineStr">
        <is>
          <t>No</t>
        </is>
      </c>
      <c r="K1049" s="18" t="inlineStr">
        <is>
          <t>https://www.amazon.de/-/en/Anti-Age-Cushion-Natural-Tinting-Moisture/dp/B079JJ4KJM/ref=sr_1_1?crid=33UWSBLKZ09DB&amp;dib=eyJ2IjoiMSJ9.qB-FIJWFdPqplv1_Bw7qPA.VGgPb65uO3qE1XT_3q7470vqNjcxQh8x2SGBwgtSiMk&amp;dib_tag=se&amp;keywords=B079JJ4KJM&amp;qid=1768126510&amp;s=beauty&amp;sprefix=b079jj4kjm%2Cbeauty%2C269&amp;sr=1-1&amp;th=1</t>
        </is>
      </c>
      <c r="L1049" s="18" t="inlineStr">
        <is>
          <t>B079JJ4KJM</t>
        </is>
      </c>
      <c r="M1049" s="19" t="n"/>
      <c r="N1049" s="19" t="n"/>
      <c r="O1049" s="19" t="n">
        <v>28.6</v>
      </c>
      <c r="P1049" s="19">
        <f>O1049/1.19</f>
        <v/>
      </c>
      <c r="Q1049" s="19">
        <f>O1049-P1049</f>
        <v/>
      </c>
      <c r="R1049" s="19">
        <f>O1049*0.15</f>
        <v/>
      </c>
      <c r="S1049" s="19" t="n">
        <v>16.44</v>
      </c>
      <c r="T1049" s="19">
        <f>S1049*0.2</f>
        <v/>
      </c>
      <c r="U1049" s="19" t="n">
        <v>0.400000000000002</v>
      </c>
      <c r="V1049" s="19" t="n">
        <v>2.5</v>
      </c>
      <c r="W1049" s="19">
        <f>V1049*0.2</f>
        <v/>
      </c>
      <c r="X1049" s="21">
        <f>O1049-Q1049-R1049-S1049-U1049-V1049+T1049+W1049</f>
        <v/>
      </c>
      <c r="Y1049" s="18" t="n"/>
      <c r="Z1049" s="19">
        <f>O1049+1.5</f>
        <v/>
      </c>
      <c r="AA1049" s="19" t="n"/>
      <c r="AB1049" s="19" t="n"/>
      <c r="AC1049" s="18" t="n"/>
      <c r="AD1049" s="18" t="n"/>
      <c r="AE1049" s="13" t="inlineStr">
        <is>
          <t>NOT_UPLOADED</t>
        </is>
      </c>
    </row>
    <row r="1050" ht="16" customHeight="1">
      <c r="A1050" s="12" t="n">
        <v>4005900897305</v>
      </c>
      <c r="B1050" s="12" t="n">
        <v>4005900897305</v>
      </c>
      <c r="C1050" s="13" t="n"/>
      <c r="D1050" s="14" t="n"/>
      <c r="E1050" s="14" t="inlineStr">
        <is>
          <t>AMP-4005900897305</t>
        </is>
      </c>
      <c r="F1050" s="12" t="n">
        <v>84228</v>
      </c>
      <c r="G1050" s="14" t="inlineStr">
        <is>
          <t>AMPEREL</t>
        </is>
      </c>
      <c r="H1050" s="14" t="inlineStr">
        <is>
          <t>NIVEA</t>
        </is>
      </c>
      <c r="I1050" s="14" t="inlineStr">
        <is>
          <t>NIVEA Cellular Expert Finish 3in1 Pflege Cushion für helle Hauttöne (15 g), Make-up mit Hyaluron, Kollagen-Booster und LSF 15, feuchtigkeitsspendende Cushion Foundation</t>
        </is>
      </c>
      <c r="J1050" s="14" t="inlineStr">
        <is>
          <t>No</t>
        </is>
      </c>
      <c r="K1050" s="14" t="inlineStr">
        <is>
          <t>https://www.amazon.de/-/en/NIVEA-Cellular-Kollagen-Booster-feuchtigkeitsspendende-Foundation/dp/B0BJ6TT8RM/ref=sr_1_1?crid=1U8F631069J1D&amp;dib=eyJ2IjoiMSJ9.c1vA_hajFMqDQEfFaNdBBQ.xeFaThaEcz3n-9hpusNsG7hKAEOunOLWuKlQsSeOzAY&amp;dib_tag=se&amp;keywords=B0BJ6TT8RM&amp;qid=1768126012&amp;s=beauty&amp;sprefix=b0bj6tt8rm%2Cbeauty%2C193&amp;sr=1-1&amp;th=1</t>
        </is>
      </c>
      <c r="L1050" s="14" t="inlineStr">
        <is>
          <t>B0BJ6TT8RM</t>
        </is>
      </c>
      <c r="M1050" s="15" t="n"/>
      <c r="N1050" s="15" t="n"/>
      <c r="O1050" s="15" t="n">
        <v>28.6</v>
      </c>
      <c r="P1050" s="15">
        <f>O1050/1.19</f>
        <v/>
      </c>
      <c r="Q1050" s="15">
        <f>O1050-P1050</f>
        <v/>
      </c>
      <c r="R1050" s="15">
        <f>O1050*0.15</f>
        <v/>
      </c>
      <c r="S1050" s="15" t="n">
        <v>16.44</v>
      </c>
      <c r="T1050" s="15">
        <f>S1050*0.2</f>
        <v/>
      </c>
      <c r="U1050" s="15" t="n">
        <v>0.400000000000002</v>
      </c>
      <c r="V1050" s="15" t="n">
        <v>2.5</v>
      </c>
      <c r="W1050" s="15">
        <f>V1050*0.2</f>
        <v/>
      </c>
      <c r="X1050" s="21">
        <f>O1050-Q1050-R1050-S1050-U1050-V1050+T1050+W1050</f>
        <v/>
      </c>
      <c r="Y1050" s="14" t="n"/>
      <c r="Z1050" s="15">
        <f>O1050+1.5</f>
        <v/>
      </c>
      <c r="AA1050" s="15" t="n"/>
      <c r="AB1050" s="15" t="n"/>
      <c r="AC1050" s="14" t="n"/>
      <c r="AD1050" s="14" t="n"/>
      <c r="AE1050" s="13" t="inlineStr">
        <is>
          <t>NOT_UPLOADED</t>
        </is>
      </c>
    </row>
    <row r="1051" ht="16" customHeight="1">
      <c r="A1051" s="17" t="n">
        <v>4005900437471</v>
      </c>
      <c r="B1051" s="17" t="n">
        <v>4005900897367</v>
      </c>
      <c r="C1051" s="13" t="n"/>
      <c r="D1051" s="18" t="n"/>
      <c r="E1051" s="18" t="inlineStr">
        <is>
          <t>AMP-4005900437471</t>
        </is>
      </c>
      <c r="F1051" s="17" t="n">
        <v>84230</v>
      </c>
      <c r="G1051" s="18" t="inlineStr">
        <is>
          <t>AMPEREL</t>
        </is>
      </c>
      <c r="H1051" s="18" t="inlineStr">
        <is>
          <t>NIVEA</t>
        </is>
      </c>
      <c r="I1051" s="18" t="inlineStr">
        <is>
          <t>Nivea 3-in-1 Anti-Age Care Cushion for Natural Tinting and Moisture</t>
        </is>
      </c>
      <c r="J1051" s="18" t="inlineStr">
        <is>
          <t>No</t>
        </is>
      </c>
      <c r="K1051" s="18" t="inlineStr">
        <is>
          <t>https://www.amazon.de/-/en/NIVEA-Cellular-Kollagen-Booster-feuchtigkeitsspendende-Foundation/dp/B079J66SRB/ref=sr_1_1?crid=24BNNQSZUQG1P&amp;dib=eyJ2IjoiMSJ9.woQvxnbn2uV5av4Jk5UbYA.PP-vfcPlePar7knjQO9lyh570SGRs45d45AFvhkIbVQ&amp;dib_tag=se&amp;keywords=B0BJ6SQVHN&amp;qid=1768123755&amp;s=beauty&amp;sprefix=b0bj6sqvhn%2Cbeauty%2C100&amp;sr=1-1&amp;th=1</t>
        </is>
      </c>
      <c r="L1051" s="18" t="inlineStr">
        <is>
          <t>B079J66SRB</t>
        </is>
      </c>
      <c r="M1051" s="19" t="n"/>
      <c r="N1051" s="19" t="n"/>
      <c r="O1051" s="19" t="n">
        <v>28.59</v>
      </c>
      <c r="P1051" s="19">
        <f>O1051/1.19</f>
        <v/>
      </c>
      <c r="Q1051" s="19">
        <f>O1051-P1051</f>
        <v/>
      </c>
      <c r="R1051" s="19">
        <f>O1051*0.15</f>
        <v/>
      </c>
      <c r="S1051" s="19" t="n">
        <v>16.44</v>
      </c>
      <c r="T1051" s="19">
        <f>S1051*0.2</f>
        <v/>
      </c>
      <c r="U1051" s="19" t="n">
        <v>0.400000000000002</v>
      </c>
      <c r="V1051" s="19" t="n">
        <v>2.5</v>
      </c>
      <c r="W1051" s="19">
        <f>V1051*0.2</f>
        <v/>
      </c>
      <c r="X1051" s="21">
        <f>O1051-Q1051-R1051-S1051-U1051-V1051+T1051+W1051</f>
        <v/>
      </c>
      <c r="Y1051" s="18" t="n"/>
      <c r="Z1051" s="19">
        <f>O1051+1.5</f>
        <v/>
      </c>
      <c r="AA1051" s="19" t="n"/>
      <c r="AB1051" s="19" t="n"/>
      <c r="AC1051" s="18" t="n"/>
      <c r="AD1051" s="18" t="n"/>
      <c r="AE1051" s="13" t="inlineStr">
        <is>
          <t>NOT_UPLOADED</t>
        </is>
      </c>
    </row>
    <row r="1052" ht="16" customHeight="1">
      <c r="A1052" s="12" t="n">
        <v>4005900897367</v>
      </c>
      <c r="B1052" s="12" t="n">
        <v>4005900897367</v>
      </c>
      <c r="C1052" s="13" t="n"/>
      <c r="D1052" s="14" t="n"/>
      <c r="E1052" s="14" t="inlineStr">
        <is>
          <t>AMP-4005900897367</t>
        </is>
      </c>
      <c r="F1052" s="12" t="n">
        <v>84230</v>
      </c>
      <c r="G1052" s="14" t="inlineStr">
        <is>
          <t>AMPEREL</t>
        </is>
      </c>
      <c r="H1052" s="14" t="inlineStr">
        <is>
          <t>NIVEA</t>
        </is>
      </c>
      <c r="I1052" s="14" t="inlineStr">
        <is>
          <t>NIVEA Cellular Expert Finish 3in1 Pflege Cushion für dunkle Hauttöne (15 g), Make-up mit Hyaluron, Kollagen-Booster und LSF 15, feuchtigkeitsspendende Cushion Foundation</t>
        </is>
      </c>
      <c r="J1052" s="14" t="inlineStr">
        <is>
          <t>No</t>
        </is>
      </c>
      <c r="K1052" s="14" t="inlineStr">
        <is>
          <t>https://www.amazon.de/-/en/NIVEA-Cellular-Kollagen-Booster-feuchtigkeitsspendende-Foundation/dp/B0BJ6SQVHN/ref=sr_1_1?crid=24BNNQSZUQG1P&amp;dib=eyJ2IjoiMSJ9.woQvxnbn2uV5av4Jk5UbYA.PP-vfcPlePar7knjQO9lyh570SGRs45d45AFvhkIbVQ&amp;dib_tag=se&amp;keywords=B0BJ6SQVHN&amp;qid=1768123755&amp;s=beauty&amp;sprefix=b0bj6sqvhn%2Cbeauty%2C100&amp;sr=1-1&amp;th=1</t>
        </is>
      </c>
      <c r="L1052" s="14" t="inlineStr">
        <is>
          <t>B0BJ6SQVHN</t>
        </is>
      </c>
      <c r="M1052" s="15" t="n"/>
      <c r="N1052" s="15" t="n"/>
      <c r="O1052" s="15" t="n">
        <v>28.59</v>
      </c>
      <c r="P1052" s="15">
        <f>O1052/1.19</f>
        <v/>
      </c>
      <c r="Q1052" s="15">
        <f>O1052-P1052</f>
        <v/>
      </c>
      <c r="R1052" s="15">
        <f>O1052*0.15</f>
        <v/>
      </c>
      <c r="S1052" s="15" t="n">
        <v>16.44</v>
      </c>
      <c r="T1052" s="15">
        <f>S1052*0.2</f>
        <v/>
      </c>
      <c r="U1052" s="15" t="n">
        <v>0.400000000000002</v>
      </c>
      <c r="V1052" s="15" t="n">
        <v>2.5</v>
      </c>
      <c r="W1052" s="15">
        <f>V1052*0.2</f>
        <v/>
      </c>
      <c r="X1052" s="21">
        <f>O1052-Q1052-R1052-S1052-U1052-V1052+T1052+W1052</f>
        <v/>
      </c>
      <c r="Y1052" s="14" t="n"/>
      <c r="Z1052" s="15">
        <f>O1052+1.5</f>
        <v/>
      </c>
      <c r="AA1052" s="15" t="n"/>
      <c r="AB1052" s="15" t="n"/>
      <c r="AC1052" s="14" t="n"/>
      <c r="AD1052" s="14" t="n"/>
      <c r="AE1052" s="13" t="inlineStr">
        <is>
          <t>NOT_UPLOADED</t>
        </is>
      </c>
    </row>
    <row r="1053" ht="16" customHeight="1">
      <c r="A1053" s="17" t="n">
        <v>4005900972156</v>
      </c>
      <c r="B1053" s="17" t="n">
        <v>9005800379838</v>
      </c>
      <c r="C1053" s="13" t="n"/>
      <c r="D1053" s="18" t="n"/>
      <c r="E1053" s="18" t="inlineStr">
        <is>
          <t>AMP-4005900972156</t>
        </is>
      </c>
      <c r="F1053" s="17" t="n">
        <v>98750</v>
      </c>
      <c r="G1053" s="18" t="inlineStr">
        <is>
          <t>AMPEREL</t>
        </is>
      </c>
      <c r="H1053" s="18" t="inlineStr">
        <is>
          <t>NIVEA</t>
        </is>
      </c>
      <c r="I1053" s="18" t="inlineStr">
        <is>
          <t>NIVEA Q10 Anti-Falten Experte Gezielter Falten-Auffüller 15ml</t>
        </is>
      </c>
      <c r="J1053" s="18" t="inlineStr">
        <is>
          <t>No</t>
        </is>
      </c>
      <c r="K1053" s="18" t="inlineStr">
        <is>
          <t>https://www.amazon.de/-/en/NIVEA-Anti-Falten-Experte-Gezielter-Falten-Auff%C3%BCller/dp/B0C3RJJDYB/ref=sr_1_1?crid=234DIDB7GDQWB&amp;dib=eyJ2IjoiMSJ9.VM_5_YsrUKdevYq_XCkLqg.mLnfo-g_uZZSCG4UrNx42OTc0HX6wQ5AHPq6-dKCduU&amp;dib_tag=se&amp;keywords=B0C3RJJDYB&amp;qid=1768118254&amp;s=beauty&amp;sprefix=b0c3rjjdyb%2Cbeauty%2C221&amp;sr=1-1&amp;th=1</t>
        </is>
      </c>
      <c r="L1053" s="18" t="inlineStr">
        <is>
          <t>B0C3RJJDYB</t>
        </is>
      </c>
      <c r="M1053" s="19" t="n"/>
      <c r="N1053" s="19" t="n"/>
      <c r="O1053" s="19" t="n">
        <v>19.99</v>
      </c>
      <c r="P1053" s="19">
        <f>O1053/1.19</f>
        <v/>
      </c>
      <c r="Q1053" s="19">
        <f>O1053-P1053</f>
        <v/>
      </c>
      <c r="R1053" s="19">
        <f>O1053*0.15</f>
        <v/>
      </c>
      <c r="S1053" s="19" t="n">
        <v>10.65</v>
      </c>
      <c r="T1053" s="19">
        <f>S1053*0.2</f>
        <v/>
      </c>
      <c r="U1053" s="19" t="n">
        <v>0.400000000000002</v>
      </c>
      <c r="V1053" s="19" t="n">
        <v>2.5</v>
      </c>
      <c r="W1053" s="19">
        <f>V1053*0.2</f>
        <v/>
      </c>
      <c r="X1053" s="21">
        <f>O1053-Q1053-R1053-S1053-U1053-V1053+T1053+W1053</f>
        <v/>
      </c>
      <c r="Y1053" s="18" t="n"/>
      <c r="Z1053" s="19">
        <f>O1053+1.5</f>
        <v/>
      </c>
      <c r="AA1053" s="19" t="n"/>
      <c r="AB1053" s="19" t="n"/>
      <c r="AC1053" s="18" t="n"/>
      <c r="AD1053" s="18" t="n"/>
      <c r="AE1053" s="13" t="inlineStr">
        <is>
          <t>NOT_UPLOADED</t>
        </is>
      </c>
    </row>
    <row r="1054" ht="16" customHeight="1">
      <c r="A1054" s="12" t="n">
        <v>4006000182674</v>
      </c>
      <c r="B1054" s="12" t="n">
        <v>9005800390819</v>
      </c>
      <c r="C1054" s="13" t="n"/>
      <c r="D1054" s="14" t="inlineStr">
        <is>
          <t>EPIGENETICS</t>
        </is>
      </c>
      <c r="E1054" s="14" t="inlineStr">
        <is>
          <t>AMP-4006000182674</t>
        </is>
      </c>
      <c r="F1054" s="12" t="n">
        <v>491294448</v>
      </c>
      <c r="G1054" s="14" t="inlineStr">
        <is>
          <t>AMPEREL</t>
        </is>
      </c>
      <c r="H1054" s="14" t="inlineStr">
        <is>
          <t>NIVEA</t>
        </is>
      </c>
      <c r="I1054" s="14" t="inlineStr">
        <is>
          <t>NIVEA CELLULAR Epigenetics Rejuvenating Serum with EPICELLINE, reverses skin age in 2 weeks, revolutionary facial care with 3 types of hyaluronic acid (30 ml)</t>
        </is>
      </c>
      <c r="J1054" s="14" t="inlineStr">
        <is>
          <t>No</t>
        </is>
      </c>
      <c r="K1054" s="14" t="inlineStr">
        <is>
          <t>https://www.amazon.de/Epigenetics-Verj%C3%BCngendes-revolution%C3%A4re-Gesichtspflege-Hyalurons%C3%A4ure/dp/B0FH57G4K1/ref=sr_1_1?__mk_de_DE=%C3%85M%C3%85%C5%BD%C3%95%C3%91&amp;crid=5MOW5FALX5B0&amp;dib=eyJ2IjoiMSJ9.KvdU4dF4fjLlwvH5DG19v8zx2V5096F-A7lMVpknf5k6VT9_kGdSqeZOI24kOc4IBsmDyF8wzUSQh-0TwdyOTdOMADJGVVmvChr5saxFSqd4GVaSgOcY83g8Vvw1eDhqXN2fNQWpFrRdENmWA_4MT0lSehUMBdX1dsxRVsODNLRiNW0T5C6VNyx5-I3YupmmIUErtJP6w5ws9FY7g-maBJVN6AMIPzqTw3e1_tR5wUrgb6W1ug0hN51JXFIAPCgB9_fmeav0X2xLnh1hKajKgjwrqefuGgyczXgdvpiMISc.0Jrmil9u_-7pgj0wnQLcw5ZkfSNZ4Z6wOKqOb4E_tak&amp;dib_tag=se&amp;keywords=nivea+cellular+epigenetics&amp;qid=1760464997&amp;s=beauty&amp;sprefix=nivea+cellular+epigenetics%2Cbeauty%2C87&amp;sr=1-1</t>
        </is>
      </c>
      <c r="L1054" s="14" t="inlineStr">
        <is>
          <t>B0FH57G4K1</t>
        </is>
      </c>
      <c r="M1054" s="15" t="n"/>
      <c r="N1054" s="15" t="n"/>
      <c r="O1054" s="15" t="n">
        <v>21.95</v>
      </c>
      <c r="P1054" s="15">
        <f>O1054/1.19</f>
        <v/>
      </c>
      <c r="Q1054" s="15">
        <f>O1054-P1054</f>
        <v/>
      </c>
      <c r="R1054" s="15">
        <f>O1054*0.15</f>
        <v/>
      </c>
      <c r="S1054" s="15" t="n">
        <v>11.3</v>
      </c>
      <c r="T1054" s="15">
        <f>S1054*0.2</f>
        <v/>
      </c>
      <c r="U1054" s="15" t="n">
        <v>0.400000000000002</v>
      </c>
      <c r="V1054" s="15" t="n">
        <v>3.15</v>
      </c>
      <c r="W1054" s="15">
        <f>V1054*0.2</f>
        <v/>
      </c>
      <c r="X1054" s="21">
        <f>O1054-Q1054-R1054-S1054-U1054-V1054+T1054+W1054</f>
        <v/>
      </c>
      <c r="Y1054" s="14" t="n"/>
      <c r="Z1054" s="15">
        <f>O1054+1.5</f>
        <v/>
      </c>
      <c r="AA1054" s="15" t="n"/>
      <c r="AB1054" s="15" t="n"/>
      <c r="AC1054" s="14" t="n"/>
      <c r="AD1054" s="14" t="n"/>
      <c r="AE1054" s="13" t="inlineStr">
        <is>
          <t>NOT_UPLOADED</t>
        </is>
      </c>
    </row>
    <row r="1055" ht="16" customHeight="1">
      <c r="A1055" s="17" t="n">
        <v>4006000181318</v>
      </c>
      <c r="B1055" s="17" t="n">
        <v>9005800390819</v>
      </c>
      <c r="C1055" s="20" t="inlineStr">
        <is>
          <t>UK ONLY</t>
        </is>
      </c>
      <c r="D1055" s="18" t="inlineStr">
        <is>
          <t>EPIGENETICS</t>
        </is>
      </c>
      <c r="E1055" s="18" t="inlineStr">
        <is>
          <t>AMP-4006000181318</t>
        </is>
      </c>
      <c r="F1055" s="17" t="n">
        <v>491294448</v>
      </c>
      <c r="G1055" s="18" t="inlineStr">
        <is>
          <t>AMPEREL</t>
        </is>
      </c>
      <c r="H1055" s="18" t="inlineStr">
        <is>
          <t>NIVEA</t>
        </is>
      </c>
      <c r="I1055" s="18" t="inlineStr">
        <is>
          <t>NIVEA CELLULAR Epigenetics Age Rewind Face Serum with Epicelline (30ml), Anti-Wrinkle Formula with Triple Hyaluronic Acid, Age Rewind Effect Hydrating Serum for Firmer Skin</t>
        </is>
      </c>
      <c r="J1055" s="18" t="inlineStr">
        <is>
          <t>No</t>
        </is>
      </c>
      <c r="K1055" s="18" t="inlineStr">
        <is>
          <t>https://www.amazon.co.uk/dp/B0FB9CPJ5V</t>
        </is>
      </c>
      <c r="L1055" s="18" t="inlineStr">
        <is>
          <t>B0FB9CPJ5V</t>
        </is>
      </c>
      <c r="M1055" s="19" t="n"/>
      <c r="N1055" s="19" t="n"/>
      <c r="O1055" s="19" t="n">
        <v>21.55</v>
      </c>
      <c r="P1055" s="19">
        <f>O1055/1.19</f>
        <v/>
      </c>
      <c r="Q1055" s="19">
        <f>O1055-P1055</f>
        <v/>
      </c>
      <c r="R1055" s="19">
        <f>O1055*0.15</f>
        <v/>
      </c>
      <c r="S1055" s="19" t="n">
        <v>11.3</v>
      </c>
      <c r="T1055" s="19">
        <f>S1055*0.2</f>
        <v/>
      </c>
      <c r="U1055" s="19" t="n">
        <v>0.400000000000002</v>
      </c>
      <c r="V1055" s="19" t="n">
        <v>2.5</v>
      </c>
      <c r="W1055" s="19">
        <f>V1055*0.2</f>
        <v/>
      </c>
      <c r="X1055" s="21">
        <f>O1055-Q1055-R1055-S1055-U1055-V1055+T1055+W1055</f>
        <v/>
      </c>
      <c r="Y1055" s="18" t="n"/>
      <c r="Z1055" s="19">
        <f>O1055+1.5</f>
        <v/>
      </c>
      <c r="AA1055" s="19" t="n"/>
      <c r="AB1055" s="19" t="n"/>
      <c r="AC1055" s="18" t="n"/>
      <c r="AD1055" s="18" t="n"/>
      <c r="AE1055" s="13" t="inlineStr">
        <is>
          <t>NOT_UPLOADED</t>
        </is>
      </c>
    </row>
    <row r="1056" ht="16" customHeight="1">
      <c r="A1056" s="12" t="n">
        <v>4006000183268</v>
      </c>
      <c r="B1056" s="12" t="n">
        <v>9005800390819</v>
      </c>
      <c r="C1056" s="13" t="n"/>
      <c r="D1056" s="14" t="inlineStr">
        <is>
          <t>EPIGENETICS</t>
        </is>
      </c>
      <c r="E1056" s="14" t="inlineStr">
        <is>
          <t>AMP-4006000183268</t>
        </is>
      </c>
      <c r="F1056" s="12" t="n">
        <v>491294448</v>
      </c>
      <c r="G1056" s="14" t="inlineStr">
        <is>
          <t>AMPEREL</t>
        </is>
      </c>
      <c r="H1056" s="14" t="inlineStr">
        <is>
          <t>NIVEA</t>
        </is>
      </c>
      <c r="I1056" s="14" t="inlineStr">
        <is>
          <t>NIVEA - Epigenetics Ultimatives Gesichtsserum Jugend – Age Clock-Technologie – Epicellin &amp; Hyaluronsäure – Anti-Aging – für alle Hauttypen – 30 ml</t>
        </is>
      </c>
      <c r="J1056" s="14" t="inlineStr">
        <is>
          <t>No</t>
        </is>
      </c>
      <c r="K1056" s="14" t="inlineStr">
        <is>
          <t>https://www.amazon.de/NIVEA-Epigenetics-Gesichtsserum-Clock-Technologie-Hyalurons%C3%A4ure/dp/B0F9XCJ3MD/ref=sr_1_5?__mk_de_DE=%C3%85M%C3%85%C5%BD%C3%95%C3%91&amp;crid=5MOW5FALX5B0&amp;dib=eyJ2IjoiMSJ9.KvdU4dF4fjLlwvH5DG19v8zx2V5096F-A7lMVpknf5k6VT9_kGdSqeZOI24kOc4IBsmDyF8wzUSQh-0TwdyOTdOMADJGVVmvChr5saxFSqd4GVaSgOcY83g8Vvw1eDhqXN2fNQWpFrRdENmWA_4MT0lSehUMBdX1dsxRVsODNLRiNW0T5C6VNyx5-I3YupmmIUErtJP6w5ws9FY7g-maBJVN6AMIPzqTw3e1_tR5wUrgb6W1ug0hN51JXFIAPCgB9_fmeav0X2xLnh1hKajKgjwrqefuGgyczXgdvpiMISc.0Jrmil9u_-7pgj0wnQLcw5ZkfSNZ4Z6wOKqOb4E_tak&amp;dib_tag=se&amp;keywords=nivea+cellular+epigenetics&amp;qid=1760465918&amp;s=beauty&amp;sprefix=nivea+cellular+epigenetics%2Cbeauty%2C87&amp;sr=1-5</t>
        </is>
      </c>
      <c r="L1056" s="14" t="inlineStr">
        <is>
          <t>B0F9XCJ3MD</t>
        </is>
      </c>
      <c r="M1056" s="15" t="n"/>
      <c r="N1056" s="15" t="n"/>
      <c r="O1056" s="15" t="n">
        <v>32.55</v>
      </c>
      <c r="P1056" s="15">
        <f>O1056/1.19</f>
        <v/>
      </c>
      <c r="Q1056" s="15">
        <f>O1056-P1056</f>
        <v/>
      </c>
      <c r="R1056" s="15">
        <f>O1056*0.15</f>
        <v/>
      </c>
      <c r="S1056" s="15" t="n">
        <v>11.3</v>
      </c>
      <c r="T1056" s="15">
        <f>S1056*0.2</f>
        <v/>
      </c>
      <c r="U1056" s="15" t="n">
        <v>0.400000000000002</v>
      </c>
      <c r="V1056" s="15" t="n">
        <v>4.9</v>
      </c>
      <c r="W1056" s="15">
        <f>V1056*0.2</f>
        <v/>
      </c>
      <c r="X1056" s="21">
        <f>O1056-Q1056-R1056-S1056-U1056-V1056+T1056+W1056</f>
        <v/>
      </c>
      <c r="Y1056" s="14" t="n"/>
      <c r="Z1056" s="15">
        <f>O1056+1.5</f>
        <v/>
      </c>
      <c r="AA1056" s="15" t="n"/>
      <c r="AB1056" s="15" t="n"/>
      <c r="AC1056" s="14" t="n"/>
      <c r="AD1056" s="14" t="n"/>
      <c r="AE1056" s="13" t="inlineStr">
        <is>
          <t>NOT_UPLOADED</t>
        </is>
      </c>
    </row>
    <row r="1057" ht="16" customHeight="1">
      <c r="A1057" s="17" t="n">
        <v>5900017100869</v>
      </c>
      <c r="B1057" s="17" t="n">
        <v>9005800390819</v>
      </c>
      <c r="C1057" s="13" t="n"/>
      <c r="D1057" s="18" t="inlineStr">
        <is>
          <t>EPIGENETICS</t>
        </is>
      </c>
      <c r="E1057" s="18" t="inlineStr">
        <is>
          <t>AMP-5900017100869</t>
        </is>
      </c>
      <c r="F1057" s="17" t="n">
        <v>491294448</v>
      </c>
      <c r="G1057" s="18" t="inlineStr">
        <is>
          <t>AMPEREL</t>
        </is>
      </c>
      <c r="H1057" s="18" t="inlineStr">
        <is>
          <t>NIVEA</t>
        </is>
      </c>
      <c r="I1057" s="18" t="inlineStr">
        <is>
          <t>NIVEA CELLULAR Epigenetics Anti-Faltenerum Gesichtsverjüngung für den Tag, mit Hyaluronsäure, 30 ml</t>
        </is>
      </c>
      <c r="J1057" s="18" t="inlineStr">
        <is>
          <t>No</t>
        </is>
      </c>
      <c r="K1057" s="18" t="inlineStr">
        <is>
          <t>https://www.amazon.de/NIVEA-CELLULAR-Epigenetics-Verj%C3%BCngungsserum-30/dp/B0FF4JLN6B/ref=sr_1_6?__mk_de_DE=%C3%85M%C3%85%C5%BD%C3%95%C3%91&amp;crid=5MOW5FALX5B0&amp;dib=eyJ2IjoiMSJ9.KvdU4dF4fjLlwvH5DG19v8zx2V5096F-A7lMVpknf5k6VT9_kGdSqeZOI24kOc4IBsmDyF8wzUSQh-0TwdyOTdOMADJGVVmvChr5saxFSqd4GVaSgOcY83g8Vvw1eDhqXN2fNQWpFrRdENmWA_4MT0lSehUMBdX1dsxRVsODNLRiNW0T5C6VNyx5-I3YupmmIUErtJP6w5ws9FY7g-maBJVN6AMIPzqTw3e1_tR5wUrgb6W1ug0hN51JXFIAPCgB9_fmeav0X2xLnh1hKajKgjwrqefuGgyczXgdvpiMISc.0Jrmil9u_-7pgj0wnQLcw5ZkfSNZ4Z6wOKqOb4E_tak&amp;dib_tag=se&amp;keywords=nivea+cellular+epigenetics&amp;qid=1760465918&amp;s=beauty&amp;sprefix=nivea+cellular+epigenetics%2Cbeauty%2C87&amp;sr=1-6</t>
        </is>
      </c>
      <c r="L1057" s="18" t="inlineStr">
        <is>
          <t>B0FF4JLN6B</t>
        </is>
      </c>
      <c r="M1057" s="19" t="n"/>
      <c r="N1057" s="19" t="n"/>
      <c r="O1057" s="19" t="n">
        <v>36.95</v>
      </c>
      <c r="P1057" s="19">
        <f>O1057/1.19</f>
        <v/>
      </c>
      <c r="Q1057" s="19">
        <f>O1057-P1057</f>
        <v/>
      </c>
      <c r="R1057" s="19">
        <f>O1057*0.15</f>
        <v/>
      </c>
      <c r="S1057" s="19" t="n">
        <v>11.3</v>
      </c>
      <c r="T1057" s="19">
        <f>S1057*0.2</f>
        <v/>
      </c>
      <c r="U1057" s="19" t="n">
        <v>0.400000000000002</v>
      </c>
      <c r="V1057" s="19" t="n">
        <v>4.9</v>
      </c>
      <c r="W1057" s="19">
        <f>V1057*0.2</f>
        <v/>
      </c>
      <c r="X1057" s="21">
        <f>O1057-Q1057-R1057-S1057-U1057-V1057+T1057+W1057</f>
        <v/>
      </c>
      <c r="Y1057" s="18" t="n"/>
      <c r="Z1057" s="19">
        <f>O1057+1.5</f>
        <v/>
      </c>
      <c r="AA1057" s="19" t="n"/>
      <c r="AB1057" s="19" t="n"/>
      <c r="AC1057" s="18" t="n"/>
      <c r="AD1057" s="18" t="n"/>
      <c r="AE1057" s="13" t="inlineStr">
        <is>
          <t>NOT_UPLOADED</t>
        </is>
      </c>
    </row>
    <row r="1058" ht="16" customHeight="1">
      <c r="A1058" s="12" t="n">
        <v>4005808925124</v>
      </c>
      <c r="B1058" s="12" t="n">
        <v>9005800243603</v>
      </c>
      <c r="C1058" s="20" t="inlineStr">
        <is>
          <t>PRICE ERROR</t>
        </is>
      </c>
      <c r="D1058" s="14" t="inlineStr">
        <is>
          <t>Cream 150gr</t>
        </is>
      </c>
      <c r="E1058" s="14" t="inlineStr">
        <is>
          <t>AMP-4005808925124</t>
        </is>
      </c>
      <c r="F1058" s="12" t="n">
        <v>490180104</v>
      </c>
      <c r="G1058" s="14" t="inlineStr">
        <is>
          <t>AMPEREL</t>
        </is>
      </c>
      <c r="H1058" s="14" t="inlineStr">
        <is>
          <t>NIVEA</t>
        </is>
      </c>
      <c r="I1058" s="14" t="inlineStr">
        <is>
          <t>NIVEA Cream for Face, Body &amp; Hands (1 x 150 ml), Moisturiser with Creamy Texture, Enriched with Eucerit, Multi-Purpose Moisturiser for the Whole Family</t>
        </is>
      </c>
      <c r="J1058" s="14" t="inlineStr">
        <is>
          <t>No</t>
        </is>
      </c>
      <c r="K1058" s="14" t="inlineStr">
        <is>
          <t>https://www.amazon.de/-/en/Moisturiser-Texture-Enriched-Eucerit-Multi-Purpose/dp/B07YQG4M32/ref=sr_1_1?crid=L6DH26D4B60U&amp;dib=eyJ2IjoiMSJ9.MIZitpf_X2qHTfKYGGVBnTYeDe7v_fI-tOUxR2jwNnCdUZVFbQMtsGhxFUiWoKN6pBQ1mQFI6J8Lm38PdduHqory0ZfcXgORyhBu9cfVY7zcJyH9bOm8xxUoR5jXnlZSwpT_z8LMnD8d1cu496zPMwcvvg3sB9jIE592fqYNh2SeaV-ERsyra8E9C-QfRjejuiOm6qe78cojATlYMYdI2viKxFoPdX4VTI1Zzb16ZzXrBwzEgwKI-HTNzLDokXE-AkDIZRF8ucoRGOW4iq2G4tHqksFWAEHAlGzw_8JZITg.CbybUUlzntWneRpWcFn_mj42vRVjmO8ab2w5l2lWkiM&amp;dib_tag=se&amp;keywords=NIVEA%2B150&amp;qid=1768116986&amp;s=beauty&amp;sprefix=nivea%2B150%2Cbeauty%2C124&amp;sr=1-1&amp;th=1</t>
        </is>
      </c>
      <c r="L1058" s="14" t="inlineStr">
        <is>
          <t>B07YQG4M32</t>
        </is>
      </c>
      <c r="M1058" s="15" t="n"/>
      <c r="N1058" s="15" t="n"/>
      <c r="O1058" s="15" t="n">
        <v>9.470000000000001</v>
      </c>
      <c r="P1058" s="15">
        <f>O1058/1.19</f>
        <v/>
      </c>
      <c r="Q1058" s="15">
        <f>O1058-P1058</f>
        <v/>
      </c>
      <c r="R1058" s="15">
        <f>O1058*0.15</f>
        <v/>
      </c>
      <c r="S1058" s="15" t="n">
        <v>3.41</v>
      </c>
      <c r="T1058" s="15">
        <f>S1058*0.2</f>
        <v/>
      </c>
      <c r="U1058" s="15" t="n">
        <v>0.400000000000002</v>
      </c>
      <c r="V1058" s="15" t="n">
        <v>2.9</v>
      </c>
      <c r="W1058" s="15">
        <f>V1058*0.2</f>
        <v/>
      </c>
      <c r="X1058" s="16">
        <f>O1058-Q1058-R1058-S1058-U1058-V1058+T1058+W1058</f>
        <v/>
      </c>
      <c r="Y1058" s="14" t="n"/>
      <c r="Z1058" s="15">
        <f>O1058+1.5</f>
        <v/>
      </c>
      <c r="AA1058" s="15" t="n"/>
      <c r="AB1058" s="15" t="n"/>
      <c r="AC1058" s="14" t="n"/>
      <c r="AD1058" s="14" t="n"/>
      <c r="AE1058" s="13" t="inlineStr">
        <is>
          <t>NOT_UPLOADED</t>
        </is>
      </c>
    </row>
    <row r="1059" ht="16" customHeight="1">
      <c r="A1059" s="17" t="n">
        <v>4005900917171</v>
      </c>
      <c r="B1059" s="17" t="n">
        <v>4005808158041</v>
      </c>
      <c r="C1059" s="20" t="inlineStr">
        <is>
          <t>PRICE ERROR</t>
        </is>
      </c>
      <c r="D1059" s="18" t="inlineStr">
        <is>
          <t>Cream 250gr</t>
        </is>
      </c>
      <c r="E1059" s="18" t="inlineStr">
        <is>
          <t>AMP-4005900917171</t>
        </is>
      </c>
      <c r="F1059" s="17" t="n">
        <v>490180105</v>
      </c>
      <c r="G1059" s="18" t="inlineStr">
        <is>
          <t>AMPEREL</t>
        </is>
      </c>
      <c r="H1059" s="18" t="inlineStr">
        <is>
          <t>NIVEA</t>
        </is>
      </c>
      <c r="I1059" s="18" t="inlineStr">
        <is>
          <t>NIVEA Creme Dose Universalpflege, klassische Feuchtigkeitscreme für alle Hauttypen, reichhaltige Hautpflege mit hautverwandtem Eucerit (250 ml)</t>
        </is>
      </c>
      <c r="J1059" s="18" t="inlineStr">
        <is>
          <t>No</t>
        </is>
      </c>
      <c r="K1059" s="18" t="inlineStr">
        <is>
          <t>https://www.amazon.de/NIVEA-Universalpflege-Feuchtigkeitscreme-reichhaltige-hautverwandtem/dp/B0D6X69F9J/ref=sr_1_2?__mk_de_DE=%C3%85M%C3%85%C5%BD%C3%95%C3%91&amp;crid=3FWZ546R25MVM&amp;dib=eyJ2IjoiMSJ9.DBrcQwZ1tUep09YtFCSpNtuHzYOEbpgqFYblU9-Yf4vO8FcyazVjpFxhq6Pmafj3KEBBY_bVxKLAIfacc--KdEuuTNCL0ke-g-cCvA8rclISOCOyTbddVYS0Op6UvxfDXo6mjlcVvxcfwKL6Lh4fYYAQh4AVBy-YEJYDpEariD5heIx4Ecp7qgFSKJXkJAlQtA3xuZaAC2RLQr2xjKXCr9eXSHV0eJKHoV7uO7T6JTDVBx7GJpftABZPCnvxW9RFuNa2KxRI5QUeGkud16DW7C8wL_n-57dKnPgIyvGu0x8.wXxmTrz51UuZQiWk4uJfF3QvHye5sVf-SbS8zn7IskA&amp;dib_tag=se&amp;keywords=nivea+CREAM+150GR&amp;qid=1760466565&amp;s=beauty&amp;sprefix=nivea+cream+150gr%2Cbeauty%2C124&amp;sr=1-2</t>
        </is>
      </c>
      <c r="L1059" s="18" t="inlineStr">
        <is>
          <t>B0D6X69F9J</t>
        </is>
      </c>
      <c r="M1059" s="19" t="n"/>
      <c r="N1059" s="19" t="n"/>
      <c r="O1059" s="19" t="n">
        <v>11.99</v>
      </c>
      <c r="P1059" s="19">
        <f>O1059/1.19</f>
        <v/>
      </c>
      <c r="Q1059" s="19">
        <f>O1059-P1059</f>
        <v/>
      </c>
      <c r="R1059" s="19">
        <f>O1059*0.15</f>
        <v/>
      </c>
      <c r="S1059" s="19" t="n">
        <v>4.44</v>
      </c>
      <c r="T1059" s="19">
        <f>S1059*0.2</f>
        <v/>
      </c>
      <c r="U1059" s="19" t="n">
        <v>0.400000000000002</v>
      </c>
      <c r="V1059" s="19" t="n">
        <v>3.74</v>
      </c>
      <c r="W1059" s="19">
        <f>V1059*0.2</f>
        <v/>
      </c>
      <c r="X1059" s="16">
        <f>O1059-Q1059-R1059-S1059-U1059-V1059+T1059+W1059</f>
        <v/>
      </c>
      <c r="Y1059" s="18" t="n"/>
      <c r="Z1059" s="19">
        <f>O1059+1.5</f>
        <v/>
      </c>
      <c r="AA1059" s="19" t="n"/>
      <c r="AB1059" s="19" t="n"/>
      <c r="AC1059" s="18" t="n"/>
      <c r="AD1059" s="18" t="n"/>
      <c r="AE1059" s="13" t="inlineStr">
        <is>
          <t>NOT_UPLOADED</t>
        </is>
      </c>
    </row>
    <row r="1060" ht="16" customHeight="1">
      <c r="A1060" s="12" t="n">
        <v>4005900917218</v>
      </c>
      <c r="B1060" s="12" t="n">
        <v>4005808158096</v>
      </c>
      <c r="C1060" s="13" t="n"/>
      <c r="D1060" s="14" t="inlineStr">
        <is>
          <t>Cream 400gr</t>
        </is>
      </c>
      <c r="E1060" s="14" t="inlineStr">
        <is>
          <t>AMP-4005900917218</t>
        </is>
      </c>
      <c r="F1060" s="12" t="n">
        <v>490180107</v>
      </c>
      <c r="G1060" s="14" t="inlineStr">
        <is>
          <t>AMPEREL</t>
        </is>
      </c>
      <c r="H1060" s="14" t="inlineStr">
        <is>
          <t>NIVEA</t>
        </is>
      </c>
      <c r="I1060" s="14" t="inlineStr">
        <is>
          <t>NIVEA Creme Dose Universalpflege, klassische Feuchtigkeitscreme für alle Hauttypen, reichhaltige Hautpflege mit hautverwandtem Eucerit (400 ml)</t>
        </is>
      </c>
      <c r="J1060" s="14" t="inlineStr">
        <is>
          <t>No</t>
        </is>
      </c>
      <c r="K1060" s="14" t="inlineStr">
        <is>
          <t>https://www.amazon.de/NIVEA-Universalpflege-Feuchtigkeitscreme-reichhaltige-hautverwandtem/dp/B0CT3WRFD9/ref=sr_1_12?__mk_de_DE=%C3%85M%C3%85%C5%BD%C3%95%C3%91&amp;crid=3FWZ546R25MVM&amp;dib=eyJ2IjoiMSJ9.DBrcQwZ1tUep09YtFCSpNtuHzYOEbpgqFYblU9-Yf4vO8FcyazVjpFxhq6Pmafj3KEBBY_bVxKLAIfacc--KdEuuTNCL0ke-g-cCvA8rclISOCOyTbddVYS0Op6UvxfDXo6mjlcVvxcfwKL6Lh4fYYAQh4AVBy-YEJYDpEariD5heIx4Ecp7qgFSKJXkJAlQtA3xuZaAC2RLQr2xjKXCr9eXSHV0eJKHoV7uO7T6JTDVBx7GJpftABZPCnvxW9RFuNa2KxRI5QUeGkud16DW7C8wL_n-57dKnPgIyvGu0x8.wXxmTrz51UuZQiWk4uJfF3QvHye5sVf-SbS8zn7IskA&amp;dib_tag=se&amp;keywords=nivea%2BCREAM%2B150GR&amp;qid=1760466565&amp;rdc=1&amp;s=beauty&amp;sprefix=nivea%2Bcream%2B150gr%2Cbeauty%2C124&amp;sr=1-12&amp;th=1</t>
        </is>
      </c>
      <c r="L1060" s="14" t="inlineStr">
        <is>
          <t>B0CT3WRFD9</t>
        </is>
      </c>
      <c r="M1060" s="15" t="n"/>
      <c r="N1060" s="15" t="n"/>
      <c r="O1060" s="15" t="n">
        <v>13</v>
      </c>
      <c r="P1060" s="15">
        <f>O1060/1.19</f>
        <v/>
      </c>
      <c r="Q1060" s="15">
        <f>O1060-P1060</f>
        <v/>
      </c>
      <c r="R1060" s="15">
        <f>O1060*0.15</f>
        <v/>
      </c>
      <c r="S1060" s="15" t="n">
        <v>6.21</v>
      </c>
      <c r="T1060" s="15">
        <f>S1060*0.2</f>
        <v/>
      </c>
      <c r="U1060" s="15" t="n">
        <v>0.400000000000002</v>
      </c>
      <c r="V1060" s="15" t="n">
        <v>3</v>
      </c>
      <c r="W1060" s="15">
        <f>V1060*0.2</f>
        <v/>
      </c>
      <c r="X1060" s="16">
        <f>O1060-Q1060-R1060-S1060-U1060-V1060+T1060+W1060</f>
        <v/>
      </c>
      <c r="Y1060" s="14" t="n"/>
      <c r="Z1060" s="15">
        <f>O1060+1.5</f>
        <v/>
      </c>
      <c r="AA1060" s="15" t="n"/>
      <c r="AB1060" s="15" t="n"/>
      <c r="AC1060" s="14" t="n"/>
      <c r="AD1060" s="14" t="n"/>
      <c r="AE1060" s="13" t="inlineStr">
        <is>
          <t>NOT_UPLOADED</t>
        </is>
      </c>
    </row>
    <row r="1061" ht="16" customHeight="1">
      <c r="A1061" s="17" t="n">
        <v>5900017098227</v>
      </c>
      <c r="B1061" s="17" t="n">
        <v>4006000111926</v>
      </c>
      <c r="C1061" s="13" t="n"/>
      <c r="D1061" s="18" t="n"/>
      <c r="E1061" s="18" t="inlineStr">
        <is>
          <t>AMP-5900017098227</t>
        </is>
      </c>
      <c r="F1061" s="17" t="n">
        <v>491287097</v>
      </c>
      <c r="G1061" s="18" t="inlineStr">
        <is>
          <t>AMPEREL</t>
        </is>
      </c>
      <c r="H1061" s="18" t="inlineStr">
        <is>
          <t>NIVEA</t>
        </is>
      </c>
      <c r="I1061" s="18" t="inlineStr">
        <is>
          <t>NIVEA Cellular Expert Filler Aufpolsterndes Hyaluron-Serum, leichtes und schnell einziehendes Serum mit purem Hyaluron, Gesichtspflege für geglättete Falten (30 ml)</t>
        </is>
      </c>
      <c r="J1061" s="18" t="inlineStr">
        <is>
          <t>No</t>
        </is>
      </c>
      <c r="K1061" s="18" t="inlineStr">
        <is>
          <t>https://www.amazon.de/NIVEA-Aufpolsterndes-Hyaluron-Serum-einziehendes-klebendes/dp/B0C3RLV1C2/ref=sr_1_3?__mk_de_DE=%C3%85M%C3%85%C5%BD%C3%95%C3%91&amp;crid=23GW0NA7OKJ5W&amp;dib=eyJ2IjoiMSJ9.z41wkkD34_uCYe9uO76zDiGxsQ0BmQ8dxjAnTT7eFrBNZU4wFp3vLJHKo3XzepmqG6isxRpdnCUZ4h0luFNNk8-SiW3WJlRVBHrrdIA4zaxf39MOqgNi2PLYpPZOwuc7IyD2SXtx_z6L_TskMPMlaIbk-DGhvk3HIUc5sIolsfAJ9WAgyZMLPSRLmdVLC08xRrAIQDt70Rtd5lnlwO-FGyaliIzxKZFN7xV3meaW0g6Qzd7kT-Q-eoAEu7tlwILzhbz90sNbBgpRt-T9mOAur6ivroMvd-kDDtMTePPseXY.aEJE5p677V6M5SxicSKZ4__ZZNQKcREdH5sm-gA0uxY&amp;dib_tag=se&amp;keywords=nivea+cellular&amp;qid=1760468003&amp;s=beauty&amp;sprefix=nivea+cellular%2Cbeauty%2C79&amp;sr=1-3</t>
        </is>
      </c>
      <c r="L1061" s="18" t="inlineStr">
        <is>
          <t>B0C3RLV1C2</t>
        </is>
      </c>
      <c r="M1061" s="19" t="n"/>
      <c r="N1061" s="19" t="n"/>
      <c r="O1061" s="19" t="n">
        <v>24.45</v>
      </c>
      <c r="P1061" s="19">
        <f>O1061/1.19</f>
        <v/>
      </c>
      <c r="Q1061" s="19">
        <f>O1061-P1061</f>
        <v/>
      </c>
      <c r="R1061" s="19">
        <f>O1061*0.15</f>
        <v/>
      </c>
      <c r="S1061" s="19" t="n">
        <v>13.79</v>
      </c>
      <c r="T1061" s="19">
        <f>S1061*0.2</f>
        <v/>
      </c>
      <c r="U1061" s="19" t="n">
        <v>0.400000000000002</v>
      </c>
      <c r="V1061" s="19" t="n">
        <v>4.9</v>
      </c>
      <c r="W1061" s="19">
        <f>V1061*0.2</f>
        <v/>
      </c>
      <c r="X1061" s="16">
        <f>O1061-Q1061-R1061-S1061-U1061-V1061+T1061+W1061</f>
        <v/>
      </c>
      <c r="Y1061" s="18" t="n"/>
      <c r="Z1061" s="19">
        <f>O1061+1.5</f>
        <v/>
      </c>
      <c r="AA1061" s="19" t="n"/>
      <c r="AB1061" s="19" t="n"/>
      <c r="AC1061" s="18" t="n"/>
      <c r="AD1061" s="18" t="n"/>
      <c r="AE1061" s="13" t="inlineStr">
        <is>
          <t>NOT_UPLOADED</t>
        </is>
      </c>
    </row>
    <row r="1062" ht="16" customHeight="1">
      <c r="A1062" s="12" t="n">
        <v>4005900737663</v>
      </c>
      <c r="B1062" s="12" t="n">
        <v>4006000111926</v>
      </c>
      <c r="C1062" s="13" t="n"/>
      <c r="D1062" s="14" t="n"/>
      <c r="E1062" s="14" t="inlineStr">
        <is>
          <t>AMP-4005900737663</t>
        </is>
      </c>
      <c r="F1062" s="12" t="n">
        <v>491287097</v>
      </c>
      <c r="G1062" s="14" t="inlineStr">
        <is>
          <t>AMPEREL</t>
        </is>
      </c>
      <c r="H1062" s="14" t="inlineStr">
        <is>
          <t>NIVEA</t>
        </is>
      </c>
      <c r="I1062" s="14" t="inlineStr">
        <is>
          <t>NIVEA Cellular Expert Filler Aufpolsterndes Hyaluron-Serum (30 ml), leichtes und schnell einziehendes Serum, nicht klebendes Anti Falten Serum mit 20% Hydra Elixir</t>
        </is>
      </c>
      <c r="J1062" s="14" t="inlineStr">
        <is>
          <t>No</t>
        </is>
      </c>
      <c r="K1062" s="14" t="inlineStr">
        <is>
          <t>https://www.amazon.de/NIVEA-Serum-Essence-vorbereitendes-Gesichtsserum-feuchtigkeitsspendendes/dp/B085SCQTDG/ref=sr_1_4?__mk_de_DE=%C3%85M%C3%85%C5%BD%C3%95%C3%91&amp;crid=39668AQ8XOKYN&amp;dib=eyJ2IjoiMSJ9.JDcpu_SOg2jX3-pvKOWB3iyYaqZaxxsXVfHSwYAeynjAUSqOjFqu8lKqINOzrMyPf_qRzsYQOubxtmxVwBAhW6oTjjDZ7zccQ6A5-blYZ1ftb8UiaoWmzLIoB5MDmIQJtldacFYhBsGGBM25phKMQGTeLsi3K_Qte8CQ-xnrT_yBSZHTVbskDa8aysSzzOufiDisQCcHPhEEUuZzMX65Eh0GIbGiAh-xQUSNn_7scZMT37bYBIjhEP75-jZpfrkNrrM0NbBwjVWUjweEqrFEo7G6IAwbrb4u2cUYOTxX1Yo.6O9y427eE0nailnwfmI24Wz5kUKhVx3q02d38LN675A&amp;dib_tag=se&amp;keywords=nivea+cellular+EXPERT+FILLER+SERUM&amp;qid=1760468926&amp;s=beauty&amp;sprefix=nivea+cellular+expert+filler+serum%2Cbeauty%2C82&amp;sr=1-4</t>
        </is>
      </c>
      <c r="L1062" s="14" t="inlineStr">
        <is>
          <t>B085SCQTDG</t>
        </is>
      </c>
      <c r="M1062" s="15" t="n"/>
      <c r="N1062" s="15" t="n"/>
      <c r="O1062" s="15" t="n">
        <v>25.9</v>
      </c>
      <c r="P1062" s="15">
        <f>O1062/1.19</f>
        <v/>
      </c>
      <c r="Q1062" s="15">
        <f>O1062-P1062</f>
        <v/>
      </c>
      <c r="R1062" s="15">
        <f>O1062*0.15</f>
        <v/>
      </c>
      <c r="S1062" s="15" t="n">
        <v>13.79</v>
      </c>
      <c r="T1062" s="15">
        <f>S1062*0.2</f>
        <v/>
      </c>
      <c r="U1062" s="15" t="n">
        <v>0.400000000000002</v>
      </c>
      <c r="V1062" s="15" t="n">
        <v>4.9</v>
      </c>
      <c r="W1062" s="15">
        <f>V1062*0.2</f>
        <v/>
      </c>
      <c r="X1062" s="21">
        <f>O1062-Q1062-R1062-S1062-U1062-V1062+T1062+W1062</f>
        <v/>
      </c>
      <c r="Y1062" s="14" t="n"/>
      <c r="Z1062" s="15">
        <f>O1062+1.5</f>
        <v/>
      </c>
      <c r="AA1062" s="15" t="n"/>
      <c r="AB1062" s="15" t="n"/>
      <c r="AC1062" s="14" t="n"/>
      <c r="AD1062" s="14" t="n"/>
      <c r="AE1062" s="13" t="inlineStr">
        <is>
          <t>NOT_UPLOADED</t>
        </is>
      </c>
    </row>
    <row r="1063" ht="16" customHeight="1">
      <c r="A1063" s="17" t="n">
        <v>4006000093222</v>
      </c>
      <c r="B1063" s="17" t="n">
        <v>4005808179824</v>
      </c>
      <c r="C1063" s="13" t="n"/>
      <c r="D1063" s="18" t="n"/>
      <c r="E1063" s="18" t="inlineStr">
        <is>
          <t>AMP-4006000093222</t>
        </is>
      </c>
      <c r="F1063" s="17" t="n">
        <v>491281288</v>
      </c>
      <c r="G1063" s="18" t="inlineStr">
        <is>
          <t>AMPEREL</t>
        </is>
      </c>
      <c r="H1063" s="18" t="inlineStr">
        <is>
          <t>NIVEA</t>
        </is>
      </c>
      <c r="I1063" s="18" t="inlineStr">
        <is>
          <t>NIVEA Q10 Anti-Falten POWER Extra Straffende Augenpflege, Augencreme mildert Falten &amp; Schwellungen, straffende Feuchtigkeitscreme mit Q10, Kreatin &amp; Hyaluronsäure (15 ml)</t>
        </is>
      </c>
      <c r="J1063" s="18" t="inlineStr">
        <is>
          <t>No</t>
        </is>
      </c>
      <c r="K1063" s="18" t="inlineStr">
        <is>
          <t>https://www.amazon.de/NIVEA-Anti-Falten-Schwellungen-Feuchtigkeitscreme-Hyalurons%C3%A4ure/dp/B0DTT4KKX3/ref=sr_1_14?__mk_de_DE=%C3%85M%C3%85%C5%BD%C3%95%C3%91&amp;crid=BUBEL6Z7NJ2X&amp;dib=eyJ2IjoiMSJ9.OFXHceH-KxXA7GkFqYPiEcweIAbEHRBds2iVjO4fNIXyBkP5U2Y0DmOkKcPoW02fzOB6wuzKiwZXy-xR7HVqlpUVYdSvMC93qmZ74v_RlkmG2Ecc_BOP-kxudvOQP3JtqyuFKHiS5pWzIYfc5k3xiuBiQq-Y6oUmk08QfJNhiNpSrf62lJ73kr-fw6SCah2mPxqZDU_2VhyBtKSMGWQ7SxXJIUGdl255TynlKB1Q5HzF7ZCLGrYSsDb8PC3RxzoTcLkvvu9IxRQte7w8hx-Kq4rD27KhcFA0-nWbkSCyMcE.t9YsrDeE55lX_fm8dDyGaGreRfb_9memJrhGMd14xdY&amp;dib_tag=se&amp;keywords=nivea+q10&amp;qid=1760470361&amp;rdc=1&amp;s=beauty&amp;sprefix=nivea+q10%2Cbeauty%2C128&amp;sr=1-14</t>
        </is>
      </c>
      <c r="L1063" s="18" t="inlineStr">
        <is>
          <t>B0DTT4KKX3</t>
        </is>
      </c>
      <c r="M1063" s="19" t="n"/>
      <c r="N1063" s="19" t="n"/>
      <c r="O1063" s="19" t="n">
        <v>15.95</v>
      </c>
      <c r="P1063" s="19">
        <f>O1063/1.19</f>
        <v/>
      </c>
      <c r="Q1063" s="19">
        <f>O1063-P1063</f>
        <v/>
      </c>
      <c r="R1063" s="19">
        <f>O1063*0.15</f>
        <v/>
      </c>
      <c r="S1063" s="19" t="n">
        <v>8.6</v>
      </c>
      <c r="T1063" s="19">
        <f>S1063*0.2</f>
        <v/>
      </c>
      <c r="U1063" s="19" t="n">
        <v>0.400000000000002</v>
      </c>
      <c r="V1063" s="19" t="n">
        <v>2</v>
      </c>
      <c r="W1063" s="19">
        <f>V1063*0.2</f>
        <v/>
      </c>
      <c r="X1063" s="21">
        <f>O1063-Q1063-R1063-S1063-U1063-V1063+T1063+W1063</f>
        <v/>
      </c>
      <c r="Y1063" s="18" t="n"/>
      <c r="Z1063" s="19">
        <f>O1063+1.5</f>
        <v/>
      </c>
      <c r="AA1063" s="19" t="n"/>
      <c r="AB1063" s="19" t="n"/>
      <c r="AC1063" s="18" t="n"/>
      <c r="AD1063" s="18" t="n"/>
      <c r="AE1063" s="13" t="inlineStr">
        <is>
          <t>NOT_UPLOADED</t>
        </is>
      </c>
    </row>
    <row r="1064" ht="16" customHeight="1">
      <c r="A1064" s="12" t="n">
        <v>4006000020068</v>
      </c>
      <c r="B1064" s="12" t="n">
        <v>4006000026855</v>
      </c>
      <c r="C1064" s="13" t="n"/>
      <c r="D1064" s="14" t="n"/>
      <c r="E1064" s="14" t="inlineStr">
        <is>
          <t>AMP-400600002006811</t>
        </is>
      </c>
      <c r="F1064" s="12" t="n">
        <v>492198783</v>
      </c>
      <c r="G1064" s="14" t="inlineStr">
        <is>
          <t>AMPEREL</t>
        </is>
      </c>
      <c r="H1064" s="14" t="inlineStr">
        <is>
          <t>NIVEA</t>
        </is>
      </c>
      <c r="I1064" s="14" t="inlineStr">
        <is>
          <t>NIVEA MEN Anti-Age 2in1 Power Serum, Gesichtspflege für Männer mit Hyaluron für Anti-Aging-Effekt, Hautpflege mit LUMINOUS630® gegen Alters- und Pigmentflecken (30 ml)</t>
        </is>
      </c>
      <c r="J1064" s="14" t="inlineStr">
        <is>
          <t>No</t>
        </is>
      </c>
      <c r="K1064" s="14" t="inlineStr">
        <is>
          <t>https://www.amazon.de/Gesichtspflege-Anti-Aging-Effekt-Hautpflege-LUMINOUS630%C2%AE-Pigmentflecken/dp/B0CF5DV1MM/ref=sr_1_5?__mk_de_DE=%C3%85M%C3%85%C5%BD%C3%95%C3%91&amp;crid=31OGUGQF0ZFS2&amp;dib=eyJ2IjoiMSJ9.YNpV82AVH6ufl8S4UnGhgymttcFJi53KDD_w6N0lS-op_hi-RC8vva_Tfj2CVkA63BshHvZQ1MT5j4olW8aCLWvyzlHhZhG9i8Z2DhR19Jm95t6f9NbVsQdE22YJpCBHVw3jRKQ85pyHV22dw2bj5rHoS8Ts-X-MpgZuKKH3may0MsM0ZzB5KtJ4EPnH0viGPD0MVraj5EcgmojB4SSBatwcMAlOy1w-guIJooXl7pgHYuQ_BzMgdSfRR7TE0rk8vaxfRo-kYBKO1K-tqPagPW-5GuVK_NOrdo5wTDgRVd4.BpBzx4Rp3m9AJrGExcinXK_rtlUpUEJbiVKfEUJSYSY&amp;dib_tag=se&amp;keywords=nivea&amp;qid=1760471187&amp;rdc=1&amp;s=beauty&amp;sprefix=nivea%2Cbeauty%2C88&amp;sr=1-5&amp;th=1</t>
        </is>
      </c>
      <c r="L1064" s="14" t="inlineStr">
        <is>
          <t>B0CF5DV1MM</t>
        </is>
      </c>
      <c r="M1064" s="15" t="n"/>
      <c r="N1064" s="15" t="n"/>
      <c r="O1064" s="15" t="n">
        <v>32.9</v>
      </c>
      <c r="P1064" s="15">
        <f>O1064/1.19</f>
        <v/>
      </c>
      <c r="Q1064" s="15">
        <f>O1064-P1064</f>
        <v/>
      </c>
      <c r="R1064" s="15">
        <f>O1064*0.15</f>
        <v/>
      </c>
      <c r="S1064" s="15" t="n">
        <v>17.8</v>
      </c>
      <c r="T1064" s="15">
        <f>S1064*0.2</f>
        <v/>
      </c>
      <c r="U1064" s="15" t="n">
        <v>0.400000000000002</v>
      </c>
      <c r="V1064" s="15" t="n">
        <v>4.68</v>
      </c>
      <c r="W1064" s="15">
        <f>V1064*0.2</f>
        <v/>
      </c>
      <c r="X1064" s="21">
        <f>O1064-Q1064-R1064-S1064-U1064-V1064+T1064+W1064</f>
        <v/>
      </c>
      <c r="Y1064" s="14" t="n"/>
      <c r="Z1064" s="15">
        <f>O1064+1.5</f>
        <v/>
      </c>
      <c r="AA1064" s="15" t="n"/>
      <c r="AB1064" s="15" t="n"/>
      <c r="AC1064" s="14" t="n"/>
      <c r="AD1064" s="14" t="n"/>
      <c r="AE1064" s="13" t="inlineStr">
        <is>
          <t>NOT_UPLOADED</t>
        </is>
      </c>
    </row>
    <row r="1065" ht="16" customHeight="1">
      <c r="A1065" s="17" t="n">
        <v>4006000002217</v>
      </c>
      <c r="B1065" s="17" t="n">
        <v>9005800340883</v>
      </c>
      <c r="C1065" s="13" t="n"/>
      <c r="D1065" s="18" t="n"/>
      <c r="E1065" s="18" t="inlineStr">
        <is>
          <t>AMP-4006000002217</t>
        </is>
      </c>
      <c r="F1065" s="17" t="n">
        <v>492183969</v>
      </c>
      <c r="G1065" s="18" t="inlineStr">
        <is>
          <t>AMPEREL</t>
        </is>
      </c>
      <c r="H1065" s="18" t="inlineStr">
        <is>
          <t>NIVEA</t>
        </is>
      </c>
      <c r="I1065" s="18" t="inlineStr">
        <is>
          <t>NIVEA MEN Anti-Age Hyaluronic Moisturising Cream, Face Care for Men with Hyaluron, Pro-Retinol and SPF 15, Face Cream for 24-Hour Moisture and Visible Wrinkle Relief (50 ml)</t>
        </is>
      </c>
      <c r="J1065" s="18" t="inlineStr">
        <is>
          <t>No</t>
        </is>
      </c>
      <c r="K1065" s="18" t="inlineStr">
        <is>
          <t>https://www.amazon.de/Anti-Age-Hyaluronic-Moisturising-Hyaluron-Pro-Retinol/dp/B0CK899Q67/ref=sr_1_1_sspa?crid=2L2YC9NKHGTY7&amp;dib=eyJ2IjoiMSJ9.-vGpx3eMim_HMzfr2G42NCEgkDhNoe7zoWluqlgTzeS5Rr_SkCVlsLhc1QxOYEUEAwB8Rzac1FVs2D2e29zOXfrbwW_wZ-3a3BUw1DH7wIXn8FcsMRkv1CO6DKJ5wW836qrDirX1J_6TceGYoxpoyeqEc7WwaRUall2Q9bmbOMEjDIOVnhrrJHnjaNBYQoUMpHUJvVntKRqDiK8zWzjxIgp2fyV_pG9YmNNKhG36GD9kSU-SHz65btrOoJrHNiOs43E3hvdCycOGCkAr5oNDYHn4lzQ_4tKzrwykj29dWtc.wNuc7clOJezJmJ8TnDB3uFhKxmxhQPGZl4QfiB6__U8&amp;dib_tag=se&amp;keywords=nivea%2BMEN&amp;qid=1763042723&amp;s=beauty&amp;sprefix=nivea%2Bmen%2Cbeauty%2C164&amp;sr=1-1-spons&amp;aref=bGDqYdGDaY&amp;sp_csd=d2lkZ2V0TmFtZT1zcF9hdGY&amp;th=1</t>
        </is>
      </c>
      <c r="L1065" s="18" t="inlineStr">
        <is>
          <t>B0CK899Q67</t>
        </is>
      </c>
      <c r="M1065" s="19" t="n"/>
      <c r="N1065" s="19" t="n"/>
      <c r="O1065" s="19" t="n">
        <v>22.55</v>
      </c>
      <c r="P1065" s="19">
        <f>O1065/1.19</f>
        <v/>
      </c>
      <c r="Q1065" s="19">
        <f>O1065-P1065</f>
        <v/>
      </c>
      <c r="R1065" s="19">
        <f>O1065*0.15</f>
        <v/>
      </c>
      <c r="S1065" s="19" t="n">
        <v>11.58</v>
      </c>
      <c r="T1065" s="19">
        <f>S1065*0.2</f>
        <v/>
      </c>
      <c r="U1065" s="19" t="n">
        <v>0.400000000000002</v>
      </c>
      <c r="V1065" s="19" t="n">
        <v>2.5</v>
      </c>
      <c r="W1065" s="19">
        <f>V1065*0.2</f>
        <v/>
      </c>
      <c r="X1065" s="21">
        <f>O1065-Q1065-R1065-S1065-U1065-V1065+T1065+W1065</f>
        <v/>
      </c>
      <c r="Y1065" s="18" t="n"/>
      <c r="Z1065" s="19">
        <f>O1065+1.5</f>
        <v/>
      </c>
      <c r="AA1065" s="19" t="n"/>
      <c r="AB1065" s="19" t="n"/>
      <c r="AC1065" s="18" t="n"/>
      <c r="AD1065" s="18" t="n"/>
      <c r="AE1065" s="13" t="inlineStr">
        <is>
          <t>NOT_UPLOADED</t>
        </is>
      </c>
    </row>
    <row r="1066" ht="16" customHeight="1">
      <c r="A1066" s="12" t="n"/>
      <c r="B1066" s="12" t="n">
        <v>9005800239958</v>
      </c>
      <c r="C1066" s="13" t="n"/>
      <c r="D1066" s="14" t="n"/>
      <c r="E1066" s="14" t="inlineStr">
        <is>
          <t>AMP-9005800239958</t>
        </is>
      </c>
      <c r="F1066" s="12" t="n">
        <v>492183921</v>
      </c>
      <c r="G1066" s="14" t="inlineStr">
        <is>
          <t>AMPEREL</t>
        </is>
      </c>
      <c r="H1066" s="14" t="inlineStr">
        <is>
          <t>NIVEA</t>
        </is>
      </c>
      <c r="I1066" s="14" t="inlineStr">
        <is>
          <t>Nivea Men, Moisturiser, Face / Body / Hand Cream</t>
        </is>
      </c>
      <c r="J1066" s="14" t="inlineStr">
        <is>
          <t>No</t>
        </is>
      </c>
      <c r="K1066" s="14" t="inlineStr">
        <is>
          <t>https://www.amazon.de/-/en/Nivea-Moisturiser-Face-Body-Cream/dp/B075MNHYP7/ref=sr_1_1?crid=2L2YC9NKHGTY7&amp;dib=eyJ2IjoiMSJ9.-vGpx3eMim_HMzfr2G42NCEgkDhNoe7zoWluqlgTzeS5Rr_SkCVlsLhc1QxOYEUEAwB8Rzac1FVs2D2e29zOXQmUAFmA6arbQIGgDJkHscKAAxAgAeNiXIuYajlpEw-v6qrDirX1J_6TceGYoxpoyeqEc7WwaRUall2Q9bmbOMEjDIOVnhrrJHnjaNBYQoUMpHUJvVntKRqDiK8zWzjxIjD_JEWRMX8Z2-UzIP1qBnkIsI1UQ5Qqmbjot4Fuicf343E3hvdCycOGCkAr5oNDYHn4lzQ_4tKzrwykj29dWtc.7OGMoKaPKd9E9zwa6jwLcOV-yph2uf9TRPTABPyQtEE&amp;dib_tag=se&amp;keywords=nivea%2BMEN&amp;qid=1763043102&amp;s=beauty&amp;sprefix=nivea%2Bmen%2Cbeauty%2C164&amp;sr=1-1&amp;th=1</t>
        </is>
      </c>
      <c r="L1066" s="14" t="inlineStr">
        <is>
          <t>B075MNHYP7</t>
        </is>
      </c>
      <c r="M1066" s="15" t="n"/>
      <c r="N1066" s="15" t="n"/>
      <c r="O1066" s="15" t="n">
        <v>9.9</v>
      </c>
      <c r="P1066" s="15">
        <f>O1066/1.19</f>
        <v/>
      </c>
      <c r="Q1066" s="15">
        <f>O1066-P1066</f>
        <v/>
      </c>
      <c r="R1066" s="15">
        <f>O1066*0.15</f>
        <v/>
      </c>
      <c r="S1066" s="15" t="n">
        <v>4.08</v>
      </c>
      <c r="T1066" s="15">
        <f>S1066*0.2</f>
        <v/>
      </c>
      <c r="U1066" s="15" t="n">
        <v>0.400000000000002</v>
      </c>
      <c r="V1066" s="15" t="n">
        <v>2.5</v>
      </c>
      <c r="W1066" s="15">
        <f>V1066*0.2</f>
        <v/>
      </c>
      <c r="X1066" s="16">
        <f>O1066-Q1066-R1066-S1066-U1066-V1066+T1066+W1066</f>
        <v/>
      </c>
      <c r="Y1066" s="14" t="n"/>
      <c r="Z1066" s="15">
        <f>O1066+1.5</f>
        <v/>
      </c>
      <c r="AA1066" s="15" t="n"/>
      <c r="AB1066" s="15" t="n"/>
      <c r="AC1066" s="14" t="n"/>
      <c r="AD1066" s="14" t="n"/>
      <c r="AE1066" s="13" t="inlineStr">
        <is>
          <t>NOT_UPLOADED</t>
        </is>
      </c>
    </row>
    <row r="1067" ht="16" customHeight="1">
      <c r="A1067" s="17" t="n">
        <v>4006000085203</v>
      </c>
      <c r="B1067" s="17" t="n">
        <v>9005800302997</v>
      </c>
      <c r="C1067" s="13" t="n"/>
      <c r="D1067" s="18" t="n"/>
      <c r="E1067" s="18" t="inlineStr">
        <is>
          <t>AMP-4006000085203</t>
        </is>
      </c>
      <c r="F1067" s="17" t="n">
        <v>86466</v>
      </c>
      <c r="G1067" s="18" t="inlineStr">
        <is>
          <t>AMPEREL</t>
        </is>
      </c>
      <c r="H1067" s="18" t="inlineStr">
        <is>
          <t>NIVEA</t>
        </is>
      </c>
      <c r="I1067" s="18" t="inlineStr">
        <is>
          <t>NIVEA Anti-Wrinkle Power Q10 Extra Firming Day Cream SPF 30, Face Care Reduces &amp; Prevents Wrinkles, Firming Day Cream with Pure Q10, Creatine &amp; Hyaluronic Acid (50 ml)</t>
        </is>
      </c>
      <c r="J1067" s="18" t="inlineStr">
        <is>
          <t>No</t>
        </is>
      </c>
      <c r="K1067" s="18" t="inlineStr">
        <is>
          <t>https://www.amazon.de/-/en/Anti-Wrinkle-Power-Q10-Prevents-Hyaluronic/dp/B0DG2RNVWN/ref=sr_1_1?crid=E7UEEO2GDF04&amp;dib=eyJ2IjoiMSJ9.vARr8L8k5_PzgbpTvwSrKg.5bydAzaq8z8bixiVW_2_hh-7V1mzghxLSOVbnsiYYz4&amp;dib_tag=se&amp;keywords=B0DG2RNVWN&amp;qid=1768047719&amp;s=beauty&amp;sprefix=b0dg2rnvwn%2Cbeauty%2C197&amp;sr=1-1&amp;th=1</t>
        </is>
      </c>
      <c r="L1067" s="18" t="inlineStr">
        <is>
          <t>B0DG2RNVWN</t>
        </is>
      </c>
      <c r="M1067" s="19" t="n"/>
      <c r="N1067" s="19" t="n"/>
      <c r="O1067" s="19" t="n">
        <v>18.75</v>
      </c>
      <c r="P1067" s="19">
        <f>O1067/1.19</f>
        <v/>
      </c>
      <c r="Q1067" s="19">
        <f>O1067-P1067</f>
        <v/>
      </c>
      <c r="R1067" s="19">
        <f>O1067*0.15</f>
        <v/>
      </c>
      <c r="S1067" s="19" t="n">
        <v>9.81</v>
      </c>
      <c r="T1067" s="19">
        <f>S1067*0.2</f>
        <v/>
      </c>
      <c r="U1067" s="19" t="n">
        <v>0.400000000000002</v>
      </c>
      <c r="V1067" s="19" t="n">
        <v>2.5</v>
      </c>
      <c r="W1067" s="19">
        <f>V1067*0.2</f>
        <v/>
      </c>
      <c r="X1067" s="21">
        <f>O1067-Q1067-R1067-S1067-U1067-V1067+T1067+W1067</f>
        <v/>
      </c>
      <c r="Y1067" s="18" t="n"/>
      <c r="Z1067" s="19">
        <f>O1067+1.5</f>
        <v/>
      </c>
      <c r="AA1067" s="19" t="n"/>
      <c r="AB1067" s="19" t="n"/>
      <c r="AC1067" s="18" t="n"/>
      <c r="AD1067" s="18" t="n"/>
      <c r="AE1067" s="13" t="inlineStr">
        <is>
          <t>NOT_UPLOADED</t>
        </is>
      </c>
    </row>
    <row r="1068" ht="16" customHeight="1">
      <c r="A1068" s="12" t="n">
        <v>4006000111650</v>
      </c>
      <c r="B1068" s="12" t="n">
        <v>9005800244167</v>
      </c>
      <c r="C1068" s="13" t="n"/>
      <c r="D1068" s="14" t="n"/>
      <c r="E1068" s="14" t="inlineStr">
        <is>
          <t>AMP-4006000111650</t>
        </is>
      </c>
      <c r="F1068" s="12" t="n">
        <v>82386</v>
      </c>
      <c r="G1068" s="14" t="inlineStr">
        <is>
          <t>AMPEREL</t>
        </is>
      </c>
      <c r="H1068" s="14" t="inlineStr">
        <is>
          <t>NIVEA</t>
        </is>
      </c>
      <c r="I1068" s="14" t="inlineStr">
        <is>
          <t>NIVEA Cellular Expert Filler Highly Effective Anti-Age Night Cream, Extra Firming Night Cream with Plumping Effect, Plumping Face Care with Hyaluronic Acid for the Night (50 ml)</t>
        </is>
      </c>
      <c r="J1068" s="14" t="inlineStr">
        <is>
          <t>No</t>
        </is>
      </c>
      <c r="K1068" s="14" t="inlineStr">
        <is>
          <t>https://www.amazon.de/-/en/Cellular-Effective-Anti-Age-Plumping-Hyaluronic/dp/B0DH3VNWVP/ref=sr_1_1?crid=29786ZTW40CZA&amp;dib=eyJ2IjoiMSJ9.X8DqnF43-Y_1-qP904AxCA.KVyFul4pZZwK9MEgCNXIBKSbuEOeHXHkIrwGu63uxRc&amp;dib_tag=se&amp;keywords=B0DH3VNWVP&amp;qid=1768055973&amp;s=beauty&amp;sprefix=b0dh3vnwvp%2Cbeauty%2C193&amp;sr=1-1&amp;th=1</t>
        </is>
      </c>
      <c r="L1068" s="14" t="inlineStr">
        <is>
          <t>B0DH3VNWVP</t>
        </is>
      </c>
      <c r="M1068" s="15" t="n"/>
      <c r="N1068" s="15" t="n"/>
      <c r="O1068" s="15" t="n">
        <v>21.9</v>
      </c>
      <c r="P1068" s="15">
        <f>O1068/1.19</f>
        <v/>
      </c>
      <c r="Q1068" s="15">
        <f>O1068-P1068</f>
        <v/>
      </c>
      <c r="R1068" s="15">
        <f>O1068*0.15</f>
        <v/>
      </c>
      <c r="S1068" s="15" t="n">
        <v>12.2</v>
      </c>
      <c r="T1068" s="15">
        <f>S1068*0.2</f>
        <v/>
      </c>
      <c r="U1068" s="15" t="n">
        <v>0.400000000000002</v>
      </c>
      <c r="V1068" s="15" t="n">
        <v>2.5</v>
      </c>
      <c r="W1068" s="15">
        <f>V1068*0.2</f>
        <v/>
      </c>
      <c r="X1068" s="21">
        <f>O1068-Q1068-R1068-S1068-U1068-V1068+T1068+W1068</f>
        <v/>
      </c>
      <c r="Y1068" s="14" t="n"/>
      <c r="Z1068" s="15">
        <f>O1068+1.5</f>
        <v/>
      </c>
      <c r="AA1068" s="15" t="n"/>
      <c r="AB1068" s="15" t="n"/>
      <c r="AC1068" s="14" t="n"/>
      <c r="AD1068" s="14" t="n"/>
      <c r="AE1068" s="13" t="inlineStr">
        <is>
          <t>NOT_UPLOADED</t>
        </is>
      </c>
    </row>
    <row r="1069" ht="16" customHeight="1">
      <c r="A1069" s="17" t="n">
        <v>4006000111926</v>
      </c>
      <c r="B1069" s="17" t="n">
        <v>4006000111926</v>
      </c>
      <c r="C1069" s="13" t="n"/>
      <c r="D1069" s="18" t="n"/>
      <c r="E1069" s="18" t="inlineStr">
        <is>
          <t>AMP-4006000111926</t>
        </is>
      </c>
      <c r="F1069" s="17" t="n">
        <v>87097</v>
      </c>
      <c r="G1069" s="18" t="inlineStr">
        <is>
          <t>AMPEREL</t>
        </is>
      </c>
      <c r="H1069" s="18" t="inlineStr">
        <is>
          <t>NIVEA</t>
        </is>
      </c>
      <c r="I1069" s="18" t="inlineStr">
        <is>
          <t>NIVEA Cellular Expert Filler Hyaluronic Replumping Serum, Lightweight and Fast Absorbing Hyaluronic Serum with Hydra Elixir, Anti-Age Face Care for Smoothed Wrinkles (30 ml)</t>
        </is>
      </c>
      <c r="J1069" s="18" t="inlineStr">
        <is>
          <t>No</t>
        </is>
      </c>
      <c r="K1069" s="18" t="inlineStr">
        <is>
          <t>https://www.amazon.de/-/en/Cellular-Hyaluronic-Replumping-Lightweight-Absorbing/dp/B0DV9NQV46/ref=sr_1_1?crid=JFDHIR7Y2NHP&amp;dib=eyJ2IjoiMSJ9.YhoRIMhOTxCfa9rXvcVarg.584icy6i0Di8aZ45sfzkXlsQc2Q0iCFmw0K3L95naug&amp;dib_tag=se&amp;keywords=B0DV9NQV46&amp;qid=1768056559&amp;s=beauty&amp;sprefix=b0dv9nqv46%2Cbeauty%2C218&amp;sr=1-1&amp;th=1</t>
        </is>
      </c>
      <c r="L1069" s="18" t="inlineStr">
        <is>
          <t>B0DV9NQV46</t>
        </is>
      </c>
      <c r="M1069" s="19" t="n"/>
      <c r="N1069" s="19" t="n"/>
      <c r="O1069" s="19" t="n">
        <v>24.7</v>
      </c>
      <c r="P1069" s="19">
        <f>O1069/1.19</f>
        <v/>
      </c>
      <c r="Q1069" s="19">
        <f>O1069-P1069</f>
        <v/>
      </c>
      <c r="R1069" s="19">
        <f>O1069*0.15</f>
        <v/>
      </c>
      <c r="S1069" s="19" t="n">
        <v>13.65</v>
      </c>
      <c r="T1069" s="19">
        <f>S1069*0.2</f>
        <v/>
      </c>
      <c r="U1069" s="19" t="n">
        <v>0.400000000000002</v>
      </c>
      <c r="V1069" s="19" t="n">
        <v>2.5</v>
      </c>
      <c r="W1069" s="19">
        <f>V1069*0.2</f>
        <v/>
      </c>
      <c r="X1069" s="21">
        <f>O1069-Q1069-R1069-S1069-U1069-V1069+T1069+W1069</f>
        <v/>
      </c>
      <c r="Y1069" s="18" t="n"/>
      <c r="Z1069" s="19">
        <f>O1069+1.5</f>
        <v/>
      </c>
      <c r="AA1069" s="19" t="n"/>
      <c r="AB1069" s="19" t="n"/>
      <c r="AC1069" s="18" t="n"/>
      <c r="AD1069" s="18" t="n"/>
      <c r="AE1069" s="13" t="inlineStr">
        <is>
          <t>NOT_UPLOADED</t>
        </is>
      </c>
    </row>
    <row r="1070" ht="16" customHeight="1">
      <c r="A1070" s="12" t="n">
        <v>4006000111575</v>
      </c>
      <c r="B1070" s="12" t="n">
        <v>9005800244143</v>
      </c>
      <c r="C1070" s="13" t="n"/>
      <c r="D1070" s="14" t="n"/>
      <c r="E1070" s="14" t="inlineStr">
        <is>
          <t>AMP-4006000111575</t>
        </is>
      </c>
      <c r="F1070" s="12" t="n">
        <v>82384</v>
      </c>
      <c r="G1070" s="14" t="inlineStr">
        <is>
          <t>AMPEREL</t>
        </is>
      </c>
      <c r="H1070" s="14" t="inlineStr">
        <is>
          <t>NIVEA</t>
        </is>
      </c>
      <c r="I1070" s="14" t="inlineStr">
        <is>
          <t>NIVEA Cellular Expert Filler Highly Effective Anti-Age Day Cream SPF 15, Extra Firming Face Care with Plumping Effect, Plumping Day Cream with Hyaluronic Acid &amp; Sun Protection (50 ml)</t>
        </is>
      </c>
      <c r="J1070" s="14" t="inlineStr">
        <is>
          <t>No</t>
        </is>
      </c>
      <c r="K1070" s="14" t="inlineStr">
        <is>
          <t>https://www.amazon.de/-/en/Cellular-Hyaluronic-Replumping-Lightweight-Absorbing/dp/B0DH3X7XGD/ref=sr_1_1?crid=JFDHIR7Y2NHP&amp;dib=eyJ2IjoiMSJ9.YhoRIMhOTxCfa9rXvcVarg.584icy6i0Di8aZ45sfzkXlsQc2Q0iCFmw0K3L95naug&amp;dib_tag=se&amp;keywords=B0DV9NQV46&amp;qid=1768056559&amp;s=beauty&amp;sprefix=b0dv9nqv46%2Cbeauty%2C218&amp;sr=1-1&amp;th=1</t>
        </is>
      </c>
      <c r="L1070" s="14" t="inlineStr">
        <is>
          <t>B0DH3X7XGD</t>
        </is>
      </c>
      <c r="M1070" s="15" t="n"/>
      <c r="N1070" s="15" t="n"/>
      <c r="O1070" s="15" t="n">
        <v>21.95</v>
      </c>
      <c r="P1070" s="15">
        <f>O1070/1.19</f>
        <v/>
      </c>
      <c r="Q1070" s="15">
        <f>O1070-P1070</f>
        <v/>
      </c>
      <c r="R1070" s="15">
        <f>O1070*0.15</f>
        <v/>
      </c>
      <c r="S1070" s="15" t="n">
        <v>11.65</v>
      </c>
      <c r="T1070" s="15">
        <f>S1070*0.2</f>
        <v/>
      </c>
      <c r="U1070" s="15" t="n">
        <v>0.400000000000002</v>
      </c>
      <c r="V1070" s="15" t="n">
        <v>3.3</v>
      </c>
      <c r="W1070" s="15">
        <f>V1070*0.2</f>
        <v/>
      </c>
      <c r="X1070" s="21">
        <f>O1070-Q1070-R1070-S1070-U1070-V1070+T1070+W1070</f>
        <v/>
      </c>
      <c r="Y1070" s="14" t="n"/>
      <c r="Z1070" s="15">
        <f>O1070+1.5</f>
        <v/>
      </c>
      <c r="AA1070" s="15" t="n"/>
      <c r="AB1070" s="15" t="n"/>
      <c r="AC1070" s="14" t="n"/>
      <c r="AD1070" s="14" t="n"/>
      <c r="AE1070" s="13" t="inlineStr">
        <is>
          <t>NOT_UPLOADED</t>
        </is>
      </c>
    </row>
    <row r="1071" ht="16" customHeight="1">
      <c r="A1071" s="17" t="n">
        <v>4005900935380</v>
      </c>
      <c r="B1071" s="17" t="n">
        <v>4005808745425</v>
      </c>
      <c r="C1071" s="13" t="n"/>
      <c r="D1071" s="18" t="n"/>
      <c r="E1071" s="18" t="inlineStr">
        <is>
          <t>AMP-4005900935380</t>
        </is>
      </c>
      <c r="F1071" s="17" t="n">
        <v>82333</v>
      </c>
      <c r="G1071" s="18" t="inlineStr">
        <is>
          <t>AMPEREL</t>
        </is>
      </c>
      <c r="H1071" s="18" t="inlineStr">
        <is>
          <t>NIVEA</t>
        </is>
      </c>
      <c r="I1071" s="18" t="inlineStr">
        <is>
          <t>NIVEA 5-in-1 Day Cream BB 24h Moisture SPF 15, Tinted Day Cream for Light Skin Types, Face Cream with Organic Jojoba Oil and Make-Up Pigments</t>
        </is>
      </c>
      <c r="J1071" s="18" t="inlineStr">
        <is>
          <t>No</t>
        </is>
      </c>
      <c r="K1071" s="18" t="inlineStr">
        <is>
          <t>https://www.amazon.de/-/en/Moisture-Tinted-Organic-Make-Up-Pigments/dp/B0BGY6VK4G/ref=sr_1_1?crid=8KPDY29XT7LG&amp;dib=eyJ2IjoiMSJ9.XBYy85-hV_ALRtNGnowCpA.6f2WB5JCXgrmfOL_TV0_YtXVGzaBgUiQkDuoHuzY7_E&amp;dib_tag=se&amp;keywords=B0BGY6VK4G&amp;qid=1768059590&amp;s=beauty&amp;sprefix=b0bgy6vk4g%2Cbeauty%2C204&amp;sr=1-1</t>
        </is>
      </c>
      <c r="L1071" s="18" t="inlineStr">
        <is>
          <t>B0BGY6VK4G</t>
        </is>
      </c>
      <c r="M1071" s="19" t="n"/>
      <c r="N1071" s="19" t="n"/>
      <c r="O1071" s="19" t="n">
        <v>12.45</v>
      </c>
      <c r="P1071" s="19">
        <f>O1071/1.19</f>
        <v/>
      </c>
      <c r="Q1071" s="19">
        <f>O1071-P1071</f>
        <v/>
      </c>
      <c r="R1071" s="19">
        <f>O1071*0.15</f>
        <v/>
      </c>
      <c r="S1071" s="19" t="n">
        <v>5.07</v>
      </c>
      <c r="T1071" s="19">
        <f>S1071*0.2</f>
        <v/>
      </c>
      <c r="U1071" s="19" t="n">
        <v>0.400000000000002</v>
      </c>
      <c r="V1071" s="19" t="n">
        <v>2.5</v>
      </c>
      <c r="W1071" s="19">
        <f>V1071*0.2</f>
        <v/>
      </c>
      <c r="X1071" s="21">
        <f>O1071-Q1071-R1071-S1071-U1071-V1071+T1071+W1071</f>
        <v/>
      </c>
      <c r="Y1071" s="18" t="n"/>
      <c r="Z1071" s="19">
        <f>O1071+1.5</f>
        <v/>
      </c>
      <c r="AA1071" s="19" t="n"/>
      <c r="AB1071" s="19" t="n"/>
      <c r="AC1071" s="18" t="n"/>
      <c r="AD1071" s="18" t="n"/>
      <c r="AE1071" s="13" t="inlineStr">
        <is>
          <t>NOT_UPLOADED</t>
        </is>
      </c>
    </row>
    <row r="1072" ht="16" customHeight="1">
      <c r="A1072" s="12" t="n">
        <v>4006000088198</v>
      </c>
      <c r="B1072" s="12" t="n">
        <v>4005900884152</v>
      </c>
      <c r="C1072" s="13" t="n"/>
      <c r="D1072" s="14" t="inlineStr">
        <is>
          <t>89609 ?????</t>
        </is>
      </c>
      <c r="E1072" s="14" t="inlineStr">
        <is>
          <t>AMP-4006000088198</t>
        </is>
      </c>
      <c r="F1072" s="12" t="n">
        <v>94139</v>
      </c>
      <c r="G1072" s="14" t="inlineStr">
        <is>
          <t>AMPEREL</t>
        </is>
      </c>
      <c r="H1072" s="14" t="inlineStr">
        <is>
          <t>NIVEA</t>
        </is>
      </c>
      <c r="I1072" s="14" t="inlineStr">
        <is>
          <t>Nivea Luminous 630 Anti-Pigment Spot CC Fluid SPF 30 for Medium Skin Tones, CC Cream with Hyaluronic and Micro-Encapsulated Colour Pigments, Day Cream with SPF 30 for an Even Complexion – 40 ml</t>
        </is>
      </c>
      <c r="J1072" s="14" t="inlineStr">
        <is>
          <t>No</t>
        </is>
      </c>
      <c r="K1072" s="14" t="inlineStr">
        <is>
          <t>https://www.amazon.de/-/en/Luminous-630-Anti-Pigment-Hyaluronic-Micro-Encapsulated/dp/B0CYXS3H7Z/ref=sr_1_1?crid=2789P5Y574R12&amp;dib=eyJ2IjoiMSJ9.iak0BH1TUf3LJ3QS-doDkg.uF0Vcq0m5MVPwa2glHBZkzIg0D9wOS2Y9LCRPi5-8Lo&amp;dib_tag=se&amp;keywords=B0CYXS3H7Z&amp;qid=1768060286&amp;s=beauty&amp;sprefix=b0cyxs3h7z%2Cbeauty%2C158&amp;sr=1-1&amp;th=1</t>
        </is>
      </c>
      <c r="L1072" s="14" t="inlineStr">
        <is>
          <t>B0CYXS3H7Z</t>
        </is>
      </c>
      <c r="M1072" s="15" t="n"/>
      <c r="N1072" s="15" t="n"/>
      <c r="O1072" s="15" t="n">
        <v>27.45</v>
      </c>
      <c r="P1072" s="15">
        <f>O1072/1.19</f>
        <v/>
      </c>
      <c r="Q1072" s="15">
        <f>O1072-P1072</f>
        <v/>
      </c>
      <c r="R1072" s="15">
        <f>O1072*0.15</f>
        <v/>
      </c>
      <c r="S1072" s="15" t="n">
        <v>16.68</v>
      </c>
      <c r="T1072" s="15">
        <f>S1072*0.2</f>
        <v/>
      </c>
      <c r="U1072" s="15" t="n">
        <v>0.400000000000002</v>
      </c>
      <c r="V1072" s="15" t="n">
        <v>2.5</v>
      </c>
      <c r="W1072" s="15">
        <f>V1072*0.2</f>
        <v/>
      </c>
      <c r="X1072" s="21">
        <f>O1072-Q1072-R1072-S1072-U1072-V1072+T1072+W1072</f>
        <v/>
      </c>
      <c r="Y1072" s="14" t="n"/>
      <c r="Z1072" s="15">
        <f>O1072+1.5</f>
        <v/>
      </c>
      <c r="AA1072" s="15" t="n"/>
      <c r="AB1072" s="15" t="n"/>
      <c r="AC1072" s="14" t="n"/>
      <c r="AD1072" s="14" t="n"/>
      <c r="AE1072" s="13" t="inlineStr">
        <is>
          <t>NOT_UPLOADED</t>
        </is>
      </c>
    </row>
    <row r="1073" ht="16" customHeight="1">
      <c r="A1073" s="17" t="n">
        <v>4006000088150</v>
      </c>
      <c r="B1073" s="17" t="n">
        <v>9005800379654</v>
      </c>
      <c r="C1073" s="13" t="n"/>
      <c r="D1073" s="18" t="n"/>
      <c r="E1073" s="18" t="inlineStr">
        <is>
          <t>AMP-4006000088150</t>
        </is>
      </c>
      <c r="F1073" s="17" t="n">
        <v>82649</v>
      </c>
      <c r="G1073" s="18" t="inlineStr">
        <is>
          <t>AMPEREL</t>
        </is>
      </c>
      <c r="H1073" s="18" t="inlineStr">
        <is>
          <t>NIVEA</t>
        </is>
      </c>
      <c r="I1073" s="18" t="inlineStr">
        <is>
          <t>Nivea Luminous 630 Anti-Pigment Spot CC Fluid SPF 30 for Light Skin Tones, CC Cream with Hyaluronic and Micro-Encapsulated Colour Pigments, Day Cream with SPF 30 for an Even Complexion – 40 ml</t>
        </is>
      </c>
      <c r="J1073" s="18" t="inlineStr">
        <is>
          <t>No</t>
        </is>
      </c>
      <c r="K1073" s="18" t="inlineStr">
        <is>
          <t>https://www.amazon.de/-/en/Luminous-630-Anti-Pigment-Hyaluronic-Micro-Encapsulated/dp/B0CYXS9GCJ/ref=sr_1_1?crid=2789P5Y574R12&amp;dib=eyJ2IjoiMSJ9.iak0BH1TUf3LJ3QS-doDkg.uF0Vcq0m5MVPwa2glHBZkzIg0D9wOS2Y9LCRPi5-8Lo&amp;dib_tag=se&amp;keywords=B0CYXS3H7Z&amp;qid=1768060286&amp;s=beauty&amp;sprefix=b0cyxs3h7z%2Cbeauty%2C158&amp;sr=1-1&amp;th=1</t>
        </is>
      </c>
      <c r="L1073" s="18" t="inlineStr">
        <is>
          <t>B0CYXS9GCJ</t>
        </is>
      </c>
      <c r="M1073" s="19" t="n"/>
      <c r="N1073" s="19" t="n"/>
      <c r="O1073" s="19" t="n">
        <v>27.45</v>
      </c>
      <c r="P1073" s="19">
        <f>O1073/1.19</f>
        <v/>
      </c>
      <c r="Q1073" s="19">
        <f>O1073-P1073</f>
        <v/>
      </c>
      <c r="R1073" s="19">
        <f>O1073*0.15</f>
        <v/>
      </c>
      <c r="S1073" s="19" t="n">
        <v>16.68</v>
      </c>
      <c r="T1073" s="19">
        <f>S1073*0.2</f>
        <v/>
      </c>
      <c r="U1073" s="19" t="n">
        <v>0.400000000000002</v>
      </c>
      <c r="V1073" s="19" t="n">
        <v>2.5</v>
      </c>
      <c r="W1073" s="19">
        <f>V1073*0.2</f>
        <v/>
      </c>
      <c r="X1073" s="21">
        <f>O1073-Q1073-R1073-S1073-U1073-V1073+T1073+W1073</f>
        <v/>
      </c>
      <c r="Y1073" s="18" t="n"/>
      <c r="Z1073" s="19">
        <f>O1073+1.5</f>
        <v/>
      </c>
      <c r="AA1073" s="19" t="n"/>
      <c r="AB1073" s="19" t="n"/>
      <c r="AC1073" s="18" t="n"/>
      <c r="AD1073" s="18" t="n"/>
      <c r="AE1073" s="13" t="inlineStr">
        <is>
          <t>NOT_UPLOADED</t>
        </is>
      </c>
    </row>
    <row r="1074" ht="16" customHeight="1">
      <c r="A1074" s="12" t="n">
        <v>4005900933560</v>
      </c>
      <c r="B1074" s="12" t="n">
        <v>9005800311302</v>
      </c>
      <c r="C1074" s="13" t="n"/>
      <c r="D1074" s="14" t="n"/>
      <c r="E1074" s="14" t="inlineStr">
        <is>
          <t>AMP-4005900933560</t>
        </is>
      </c>
      <c r="F1074" s="12" t="n">
        <v>82613</v>
      </c>
      <c r="G1074" s="14" t="inlineStr">
        <is>
          <t>AMPEREL</t>
        </is>
      </c>
      <c r="H1074" s="14" t="inlineStr">
        <is>
          <t>NIVEA</t>
        </is>
      </c>
      <c r="I1074" s="14" t="inlineStr">
        <is>
          <t>NIVEA Expert Lift Cellular Multi-Effect Anti-Ageing Night Care 50 ml</t>
        </is>
      </c>
      <c r="J1074" s="14" t="inlineStr">
        <is>
          <t>No</t>
        </is>
      </c>
      <c r="K1074" s="14" t="inlineStr">
        <is>
          <t>https://www.amazon.de/NIVEA-Expert-Cellular-Multi-Effect-Anti-Ageing/dp/B09RMYJT8W/ref=sr_1_11_sspa?crid=6QES8FF8KJO6&amp;dib=eyJ2IjoiMSJ9.CeXXYfK6duHesfap3jm6FTPQnW3pvyBoPvbufb9bslYfeIGw95GNlCZlGvxTmyLs2bn9aCU--NivWBqKpYz350TBNLC0x14B7Iz8vd5OwIeF4PDhqClt6Um1h80h4YkeXAE3gBazBZXEHdpHOVL8fZs6cmFmeFZaVTv-FeuMJ4ZiJl2EfXu6gi5GZNKqCIl651mBDu6W4y8OkeyIrNZJo0U6NhL1JKeU33k-bhj4IlaHUteI7f2Vi4ddtAsk2JHmpqVAd5bTc1S08VHG0d2xPt1HU4mVlp6gg4JKSPLI3QI.N2whZU7mArXODlxX3dLPSC_7xhFjwbGH15_kUMYgPiM&amp;dib_tag=se&amp;keywords=nivea&amp;qid=1769432569&amp;sprefix=nivea%2B%2Caps%2C369&amp;sr=8-11-spons&amp;aref=TL06qzbafc&amp;sp_csd=d2lkZ2V0TmFtZT1zcF9tdGY&amp;th=1</t>
        </is>
      </c>
      <c r="L1074" s="14" t="inlineStr">
        <is>
          <t>B09RMYJT8W</t>
        </is>
      </c>
      <c r="M1074" s="15" t="n"/>
      <c r="N1074" s="15" t="n"/>
      <c r="O1074" s="15" t="n">
        <v>24.99</v>
      </c>
      <c r="P1074" s="15">
        <f>O1074/1.19</f>
        <v/>
      </c>
      <c r="Q1074" s="15">
        <f>O1074-P1074</f>
        <v/>
      </c>
      <c r="R1074" s="15">
        <f>O1074*0.15</f>
        <v/>
      </c>
      <c r="S1074" s="15" t="n">
        <v>14.36</v>
      </c>
      <c r="T1074" s="15">
        <f>S1074*0.2</f>
        <v/>
      </c>
      <c r="U1074" s="15" t="n">
        <v>0.400000000000002</v>
      </c>
      <c r="V1074" s="15" t="n">
        <v>2.7</v>
      </c>
      <c r="W1074" s="15">
        <f>V1074*0.2</f>
        <v/>
      </c>
      <c r="X1074" s="21">
        <f>O1074-Q1074-R1074-S1074-U1074-V1074+T1074+W1074</f>
        <v/>
      </c>
      <c r="Y1074" s="14" t="n"/>
      <c r="Z1074" s="15">
        <f>O1074+1.5</f>
        <v/>
      </c>
      <c r="AA1074" s="15" t="n"/>
      <c r="AB1074" s="15" t="n"/>
      <c r="AC1074" s="14" t="n"/>
      <c r="AD1074" s="14" t="n"/>
      <c r="AE1074" s="13" t="inlineStr">
        <is>
          <t>NOT_UPLOADED</t>
        </is>
      </c>
    </row>
    <row r="1075" ht="16" customHeight="1">
      <c r="A1075" s="17" t="n">
        <v>4005900964403</v>
      </c>
      <c r="B1075" s="17" t="n">
        <v>4005900964403</v>
      </c>
      <c r="C1075" s="13" t="n"/>
      <c r="D1075" s="18" t="n"/>
      <c r="E1075" s="18" t="inlineStr">
        <is>
          <t>AMP-4005900964403</t>
        </is>
      </c>
      <c r="F1075" s="17" t="n">
        <v>84329</v>
      </c>
      <c r="G1075" s="18" t="inlineStr">
        <is>
          <t>AMPEREL</t>
        </is>
      </c>
      <c r="H1075" s="18" t="inlineStr">
        <is>
          <t>NIVEA</t>
        </is>
      </c>
      <c r="I1075" s="18" t="inlineStr">
        <is>
          <t>Nivea soft Creme 375 ml Erfrischende Feuchtigktscreme</t>
        </is>
      </c>
      <c r="J1075" s="18" t="inlineStr">
        <is>
          <t>No</t>
        </is>
      </c>
      <c r="K1075" s="18" t="inlineStr">
        <is>
          <t>https://www.amazon.de/-/en/Nivea-soft-Creme-Erfrischende-Feuchtigktscreme/dp/B0CH18CXKT/ref=sr_1_1_de_f3_0o_knspr?crid=2DAJ66SGJ27VC&amp;dib=eyJ2IjoiMSJ9.nJDZmuV7ZC2G9VGXeGChiXm35MTR6hNKiWIOV1zx_Es.9DO9OjfDeknx9TC8oHc5DC7AB-qhL2j0eDrJjBHEvqY&amp;dib_tag=se&amp;keywords=4005900964403&amp;qid=1769433655&amp;sprefix=4005900964403%2Caps%2C893&amp;sr=8-1&amp;th=1</t>
        </is>
      </c>
      <c r="L1075" s="18" t="inlineStr">
        <is>
          <t>B0CH18CXKT</t>
        </is>
      </c>
      <c r="M1075" s="19" t="n"/>
      <c r="N1075" s="19" t="n"/>
      <c r="O1075" s="19" t="n">
        <v>15.65</v>
      </c>
      <c r="P1075" s="19">
        <f>O1075/1.19</f>
        <v/>
      </c>
      <c r="Q1075" s="19">
        <f>O1075-P1075</f>
        <v/>
      </c>
      <c r="R1075" s="19">
        <f>O1075*0.15</f>
        <v/>
      </c>
      <c r="S1075" s="19" t="n">
        <v>6.28</v>
      </c>
      <c r="T1075" s="19">
        <f>S1075*0.2</f>
        <v/>
      </c>
      <c r="U1075" s="19" t="n">
        <v>0.400000000000002</v>
      </c>
      <c r="V1075" s="19" t="n">
        <v>4</v>
      </c>
      <c r="W1075" s="19">
        <f>V1075*0.2</f>
        <v/>
      </c>
      <c r="X1075" s="21">
        <f>O1075-Q1075-R1075-S1075-U1075-V1075+T1075+W1075</f>
        <v/>
      </c>
      <c r="Y1075" s="18" t="n"/>
      <c r="Z1075" s="19">
        <f>O1075+1.5</f>
        <v/>
      </c>
      <c r="AA1075" s="19" t="n"/>
      <c r="AB1075" s="19" t="n"/>
      <c r="AC1075" s="18" t="n"/>
      <c r="AD1075" s="18" t="n"/>
      <c r="AE1075" s="13" t="inlineStr">
        <is>
          <t>NOT_UPLOADED</t>
        </is>
      </c>
    </row>
    <row r="1076" ht="16" customHeight="1">
      <c r="A1076" s="12" t="n">
        <v>4005900964441</v>
      </c>
      <c r="B1076" s="12" t="n">
        <v>4005808758968</v>
      </c>
      <c r="C1076" s="13" t="n"/>
      <c r="D1076" s="14" t="n"/>
      <c r="E1076" s="14" t="inlineStr">
        <is>
          <t>AMP-4005900964441</t>
        </is>
      </c>
      <c r="F1076" s="12" t="n">
        <v>89050</v>
      </c>
      <c r="G1076" s="14" t="inlineStr">
        <is>
          <t>AMPEREL</t>
        </is>
      </c>
      <c r="H1076" s="14" t="inlineStr">
        <is>
          <t>NIVEA</t>
        </is>
      </c>
      <c r="I1076" s="14" t="inlineStr">
        <is>
          <t>Nivea soft Creme 200mlErfrischende Feuchtigkeitscreme</t>
        </is>
      </c>
      <c r="J1076" s="14" t="inlineStr">
        <is>
          <t>No</t>
        </is>
      </c>
      <c r="K1076" s="14" t="inlineStr">
        <is>
          <t>https://www.amazon.de/-/en/Nivea-soft-Creme-Erfrischende-Feuchtigktscreme/dp/B0C7W3VYRP/ref=sr_1_1_de_f3_0o_knspr?crid=2DAJ66SGJ27VC&amp;dib=eyJ2IjoiMSJ9.nJDZmuV7ZC2G9VGXeGChiXm35MTR6hNKiWIOV1zx_Es.9DO9OjfDeknx9TC8oHc5DC7AB-qhL2j0eDrJjBHEvqY&amp;dib_tag=se&amp;keywords=4005900964403&amp;qid=1769433655&amp;sprefix=4005900964403%2Caps%2C893&amp;sr=8-1&amp;th=1</t>
        </is>
      </c>
      <c r="L1076" s="14" t="inlineStr">
        <is>
          <t>B0C7W3VYRP</t>
        </is>
      </c>
      <c r="M1076" s="15" t="n"/>
      <c r="N1076" s="15" t="n"/>
      <c r="O1076" s="15" t="n">
        <v>10.95</v>
      </c>
      <c r="P1076" s="15">
        <f>O1076/1.19</f>
        <v/>
      </c>
      <c r="Q1076" s="15">
        <f>O1076-P1076</f>
        <v/>
      </c>
      <c r="R1076" s="15">
        <f>O1076*0.15</f>
        <v/>
      </c>
      <c r="S1076" s="15" t="n">
        <v>4.4</v>
      </c>
      <c r="T1076" s="15">
        <f>S1076*0.2</f>
        <v/>
      </c>
      <c r="U1076" s="15" t="n">
        <v>0.400000000000002</v>
      </c>
      <c r="V1076" s="15" t="n">
        <v>3</v>
      </c>
      <c r="W1076" s="15">
        <f>V1076*0.2</f>
        <v/>
      </c>
      <c r="X1076" s="16">
        <f>O1076-Q1076-R1076-S1076-U1076-V1076+T1076+W1076</f>
        <v/>
      </c>
      <c r="Y1076" s="14" t="n"/>
      <c r="Z1076" s="15">
        <f>O1076+1.5</f>
        <v/>
      </c>
      <c r="AA1076" s="15" t="n"/>
      <c r="AB1076" s="15" t="n"/>
      <c r="AC1076" s="14" t="n"/>
      <c r="AD1076" s="14" t="n"/>
      <c r="AE1076" s="13" t="inlineStr">
        <is>
          <t>NOT_UPLOADED</t>
        </is>
      </c>
    </row>
    <row r="1077" ht="16" customHeight="1">
      <c r="A1077" s="17" t="n">
        <v>42429784</v>
      </c>
      <c r="B1077" s="17" t="n">
        <v>42397588</v>
      </c>
      <c r="C1077" s="13" t="n"/>
      <c r="D1077" s="18" t="n"/>
      <c r="E1077" s="18" t="inlineStr">
        <is>
          <t>AMP-0000042429784</t>
        </is>
      </c>
      <c r="F1077" s="17" t="n">
        <v>89054</v>
      </c>
      <c r="G1077" s="18" t="inlineStr">
        <is>
          <t>AMPEREL</t>
        </is>
      </c>
      <c r="H1077" s="18" t="inlineStr">
        <is>
          <t>NIVEA</t>
        </is>
      </c>
      <c r="I1077" s="18" t="inlineStr">
        <is>
          <t>NIVEA Soft erfrischende Feuchtigkeitscreme (50 ml), leichte Creme mit Vitamin E und 100% natürlichem Jojoba-Öl, schnell einziehende Hautcreme für fühlbar entspannte Haut</t>
        </is>
      </c>
      <c r="J1077" s="18" t="inlineStr">
        <is>
          <t>No</t>
        </is>
      </c>
      <c r="K1077" s="18" t="inlineStr">
        <is>
          <t>https://www.amazon.de/-/en/Nivea-soft-Creme-Erfrischende-Feuchtigktscreme/dp/B06Y4PR3W2/ref=sr_1_1_de_f3_0o_knspr?crid=2DAJ66SGJ27VC&amp;dib=eyJ2IjoiMSJ9.nJDZmuV7ZC2G9VGXeGChiXm35MTR6hNKiWIOV1zx_Es.9DO9OjfDeknx9TC8oHc5DC7AB-qhL2j0eDrJjBHEvqY&amp;dib_tag=se&amp;keywords=4005900964403&amp;qid=1769433655&amp;sprefix=4005900964403%2Caps%2C893&amp;sr=8-1&amp;th=1</t>
        </is>
      </c>
      <c r="L1077" s="18" t="inlineStr">
        <is>
          <t>B06Y4PR3W2</t>
        </is>
      </c>
      <c r="M1077" s="19" t="n"/>
      <c r="N1077" s="19" t="n"/>
      <c r="O1077" s="19" t="n">
        <v>8</v>
      </c>
      <c r="P1077" s="19">
        <f>O1077/1.19</f>
        <v/>
      </c>
      <c r="Q1077" s="19">
        <f>O1077-P1077</f>
        <v/>
      </c>
      <c r="R1077" s="19">
        <f>O1077*0.15</f>
        <v/>
      </c>
      <c r="S1077" s="19" t="n">
        <v>2.02</v>
      </c>
      <c r="T1077" s="19">
        <f>S1077*0.2</f>
        <v/>
      </c>
      <c r="U1077" s="19" t="n">
        <v>0.400000000000002</v>
      </c>
      <c r="V1077" s="19" t="n">
        <v>2.8</v>
      </c>
      <c r="W1077" s="19">
        <f>V1077*0.2</f>
        <v/>
      </c>
      <c r="X1077" s="16">
        <f>O1077-Q1077-R1077-S1077-U1077-V1077+T1077+W1077</f>
        <v/>
      </c>
      <c r="Y1077" s="18" t="n"/>
      <c r="Z1077" s="19">
        <f>O1077+1.5</f>
        <v/>
      </c>
      <c r="AA1077" s="19" t="n"/>
      <c r="AB1077" s="19" t="n"/>
      <c r="AC1077" s="18" t="n"/>
      <c r="AD1077" s="18" t="n"/>
      <c r="AE1077" s="13" t="inlineStr">
        <is>
          <t>NOT_UPLOADED</t>
        </is>
      </c>
    </row>
    <row r="1078" ht="16" customHeight="1">
      <c r="A1078" s="12" t="n">
        <v>4005900964526</v>
      </c>
      <c r="B1078" s="12" t="n">
        <v>4005808751457</v>
      </c>
      <c r="C1078" s="13" t="n"/>
      <c r="D1078" s="14" t="n"/>
      <c r="E1078" s="14" t="inlineStr">
        <is>
          <t>AMP-4005900964526</t>
        </is>
      </c>
      <c r="F1078" s="12" t="n">
        <v>89057</v>
      </c>
      <c r="G1078" s="14" t="inlineStr">
        <is>
          <t>AMPEREL</t>
        </is>
      </c>
      <c r="H1078" s="14" t="inlineStr">
        <is>
          <t>NIVEA</t>
        </is>
      </c>
      <c r="I1078" s="14" t="inlineStr">
        <is>
          <t>Nivea soft Creme 75mlErfrischende Feuchtigkeitscreme</t>
        </is>
      </c>
      <c r="J1078" s="14" t="inlineStr">
        <is>
          <t>No</t>
        </is>
      </c>
      <c r="K1078" s="14" t="inlineStr">
        <is>
          <t>https://www.amazon.de/-/en/Nivea-soft-Creme-Erfrischende-Feuchtigktscreme/dp/B0C3RPLGSW/ref=sr_1_1_de_f3_0o_knspr?crid=2DAJ66SGJ27VC&amp;dib=eyJ2IjoiMSJ9.nJDZmuV7ZC2G9VGXeGChiXm35MTR6hNKiWIOV1zx_Es.9DO9OjfDeknx9TC8oHc5DC7AB-qhL2j0eDrJjBHEvqY&amp;dib_tag=se&amp;keywords=4005900964403&amp;qid=1769433655&amp;sprefix=4005900964403%2Caps%2C893&amp;sr=8-1&amp;th=1</t>
        </is>
      </c>
      <c r="L1078" s="14" t="inlineStr">
        <is>
          <t>B0C3RPLGSW</t>
        </is>
      </c>
      <c r="M1078" s="15" t="n"/>
      <c r="N1078" s="15" t="n"/>
      <c r="O1078" s="15" t="n">
        <v>6.95</v>
      </c>
      <c r="P1078" s="15">
        <f>O1078/1.19</f>
        <v/>
      </c>
      <c r="Q1078" s="15">
        <f>O1078-P1078</f>
        <v/>
      </c>
      <c r="R1078" s="15">
        <f>O1078*0.15</f>
        <v/>
      </c>
      <c r="S1078" s="15" t="n">
        <v>1.1</v>
      </c>
      <c r="T1078" s="15">
        <f>S1078*0.2</f>
        <v/>
      </c>
      <c r="U1078" s="15" t="n">
        <v>0.400000000000002</v>
      </c>
      <c r="V1078" s="15" t="n">
        <v>2.5</v>
      </c>
      <c r="W1078" s="15">
        <f>V1078*0.2</f>
        <v/>
      </c>
      <c r="X1078" s="16">
        <f>O1078-Q1078-R1078-S1078-U1078-V1078+T1078+W1078</f>
        <v/>
      </c>
      <c r="Y1078" s="14" t="n"/>
      <c r="Z1078" s="15">
        <f>O1078+1.5</f>
        <v/>
      </c>
      <c r="AA1078" s="15" t="n"/>
      <c r="AB1078" s="15" t="n"/>
      <c r="AC1078" s="14" t="n"/>
      <c r="AD1078" s="14" t="n"/>
      <c r="AE1078" s="13" t="inlineStr">
        <is>
          <t>NOT_UPLOADED</t>
        </is>
      </c>
    </row>
    <row r="1079" ht="16" customHeight="1">
      <c r="A1079" s="17" t="n">
        <v>4005808158041</v>
      </c>
      <c r="B1079" s="17" t="n">
        <v>4005808158041</v>
      </c>
      <c r="C1079" s="13" t="n"/>
      <c r="D1079" s="18" t="n"/>
      <c r="E1079" s="18" t="inlineStr">
        <is>
          <t>AMP-4005808158041</t>
        </is>
      </c>
      <c r="F1079" s="17" t="n">
        <v>80105</v>
      </c>
      <c r="G1079" s="18" t="inlineStr">
        <is>
          <t>AMPEREL</t>
        </is>
      </c>
      <c r="H1079" s="18" t="inlineStr">
        <is>
          <t>NIVEA</t>
        </is>
      </c>
      <c r="I1079" s="18" t="inlineStr">
        <is>
          <t>Genuine Authentic German Nivea Creme Cream available in 5.1 oz. / 150ml - 8.45 oz. / 250ml or 13.54 oz. / 400ml metal tin - Made in Germany &amp; imported from Germany! NOT Thailand, Mexico or anywhere else! (250ml - 8.45 oz) by Nivea</t>
        </is>
      </c>
      <c r="J1079" s="18" t="inlineStr">
        <is>
          <t>No</t>
        </is>
      </c>
      <c r="K1079" s="18" t="inlineStr">
        <is>
          <t>https://www.amazon.de/-/en/Genuine-Authentic-German-Nivea-available/dp/B00S31M3T4/ref=sr_1_1?crid=3O6XRDRRU5NFK&amp;dib=eyJ2IjoiMSJ9.C1RMA1LsHrQqJdui_lRGjA.1iBFA7cVttK7DDFwb2HU4KGQlRkyL75RMNg2PnI5x14&amp;dib_tag=se&amp;keywords=4005808158041&amp;qid=1769435042&amp;sprefix=4005808158041%2Caps%2C168&amp;sr=8-1</t>
        </is>
      </c>
      <c r="L1079" s="18" t="inlineStr">
        <is>
          <t>B00S31M3T4</t>
        </is>
      </c>
      <c r="M1079" s="19" t="n"/>
      <c r="N1079" s="19" t="n"/>
      <c r="O1079" s="19" t="n">
        <v>18</v>
      </c>
      <c r="P1079" s="19">
        <f>O1079/1.19</f>
        <v/>
      </c>
      <c r="Q1079" s="19">
        <f>O1079-P1079</f>
        <v/>
      </c>
      <c r="R1079" s="19">
        <f>O1079*0.15</f>
        <v/>
      </c>
      <c r="S1079" s="19" t="n">
        <v>6.6</v>
      </c>
      <c r="T1079" s="19">
        <f>S1079*0.2</f>
        <v/>
      </c>
      <c r="U1079" s="19" t="n">
        <v>0.400000000000002</v>
      </c>
      <c r="V1079" s="19" t="n">
        <v>5.7</v>
      </c>
      <c r="W1079" s="19">
        <f>V1079*0.2</f>
        <v/>
      </c>
      <c r="X1079" s="21">
        <f>O1079-Q1079-R1079-S1079-U1079-V1079+T1079+W1079</f>
        <v/>
      </c>
      <c r="Y1079" s="18" t="n"/>
      <c r="Z1079" s="19">
        <f>O1079+1.5</f>
        <v/>
      </c>
      <c r="AA1079" s="19" t="n"/>
      <c r="AB1079" s="19" t="n"/>
      <c r="AC1079" s="18" t="n"/>
      <c r="AD1079" s="18" t="n"/>
      <c r="AE1079" s="13" t="inlineStr">
        <is>
          <t>NOT_UPLOADED</t>
        </is>
      </c>
    </row>
    <row r="1080" ht="16" customHeight="1">
      <c r="A1080" s="12" t="n">
        <v>4005808158096</v>
      </c>
      <c r="B1080" s="12" t="n">
        <v>4005808158096</v>
      </c>
      <c r="C1080" s="20" t="inlineStr">
        <is>
          <t>PACK X 2</t>
        </is>
      </c>
      <c r="D1080" s="14" t="n"/>
      <c r="E1080" s="14" t="inlineStr">
        <is>
          <t>AMP-4005808158096</t>
        </is>
      </c>
      <c r="F1080" s="12" t="n">
        <v>80107</v>
      </c>
      <c r="G1080" s="14" t="inlineStr">
        <is>
          <t>AMPEREL</t>
        </is>
      </c>
      <c r="H1080" s="14" t="inlineStr">
        <is>
          <t>NIVEA</t>
        </is>
      </c>
      <c r="I1080" s="14" t="inlineStr">
        <is>
          <t>NIVEA Cream 400 ml Universal Dry Skin Cream That Intensively Moisturises and Soothes the Skin, Enriched with Eucerit, for Normal Skin for Daily Use (Pack of 2)</t>
        </is>
      </c>
      <c r="J1080" s="14" t="inlineStr">
        <is>
          <t>No</t>
        </is>
      </c>
      <c r="K1080" s="14" t="inlineStr">
        <is>
          <t>https://www.amazon.de/-/en/NIVEA-Universal-Intensively-Moisturises-Enriched/dp/B0BT7W9WYK/ref=sr_1_1?crid=1L8181RYEDCMK&amp;dib=eyJ2IjoiMSJ9.Cwr1sBeUw9FMV2FF-SRVEQ.0ownGIPJ7rLrzULC0JtVVRleL2_7MI9fJJttSFHQsrg&amp;dib_tag=se&amp;keywords=4005808158096&amp;qid=1769435277&amp;sprefix=4005808158096%2Caps%2C214&amp;sr=8-1</t>
        </is>
      </c>
      <c r="L1080" s="14" t="inlineStr">
        <is>
          <t>B0BT7W9WYK</t>
        </is>
      </c>
      <c r="M1080" s="15" t="n"/>
      <c r="N1080" s="15" t="n"/>
      <c r="O1080" s="15" t="n">
        <v>27</v>
      </c>
      <c r="P1080" s="15">
        <f>O1080/1.19</f>
        <v/>
      </c>
      <c r="Q1080" s="15">
        <f>O1080-P1080</f>
        <v/>
      </c>
      <c r="R1080" s="15">
        <f>O1080*0.15</f>
        <v/>
      </c>
      <c r="S1080" s="15" t="n">
        <v>12.57</v>
      </c>
      <c r="T1080" s="15">
        <f>S1080*0.2</f>
        <v/>
      </c>
      <c r="U1080" s="15" t="n">
        <v>0.400000000000002</v>
      </c>
      <c r="V1080" s="15" t="n">
        <v>7</v>
      </c>
      <c r="W1080" s="15">
        <f>V1080*0.2</f>
        <v/>
      </c>
      <c r="X1080" s="21">
        <f>O1080-Q1080-R1080-S1080-U1080-V1080+T1080+W1080</f>
        <v/>
      </c>
      <c r="Y1080" s="14" t="n"/>
      <c r="Z1080" s="15">
        <f>O1080+1.5</f>
        <v/>
      </c>
      <c r="AA1080" s="15" t="n"/>
      <c r="AB1080" s="15" t="n"/>
      <c r="AC1080" s="14" t="n"/>
      <c r="AD1080" s="14" t="n"/>
      <c r="AE1080" s="13" t="inlineStr">
        <is>
          <t>NOT_UPLOADED</t>
        </is>
      </c>
    </row>
    <row r="1081" ht="16" customHeight="1">
      <c r="A1081" s="17" t="n">
        <v>4005808751457</v>
      </c>
      <c r="B1081" s="17" t="n">
        <v>4005808751457</v>
      </c>
      <c r="C1081" s="13" t="n"/>
      <c r="D1081" s="18" t="n"/>
      <c r="E1081" s="18" t="inlineStr">
        <is>
          <t>AMP-4005808751457</t>
        </is>
      </c>
      <c r="F1081" s="17" t="n">
        <v>89057</v>
      </c>
      <c r="G1081" s="18" t="inlineStr">
        <is>
          <t>AMPEREL</t>
        </is>
      </c>
      <c r="H1081" s="18" t="inlineStr">
        <is>
          <t>NIVEA</t>
        </is>
      </c>
      <c r="I1081" s="18" t="inlineStr">
        <is>
          <t>Fresh Moisturiser Soft Tuba</t>
        </is>
      </c>
      <c r="J1081" s="18" t="inlineStr">
        <is>
          <t>No</t>
        </is>
      </c>
      <c r="K1081" s="18" t="inlineStr">
        <is>
          <t>https://www.amazon.de/-/en/NIVEA-Fresh-Moisturiser-Soft-Tuba/dp/B0CTCRGRJN/ref=sr_1_1?crid=3VKZ7G2162T2I&amp;dib=eyJ2IjoiMSJ9.SYW2_MWPuFbqRlH_LeWylA.mQA0C1axbET3lHgOuvcaGsBXJD-6Ve2ELLMzv0NSJko&amp;dib_tag=se&amp;keywords=4005808751457&amp;qid=1769435451&amp;sprefix=4005808751457%2Caps%2C167&amp;sr=8-1</t>
        </is>
      </c>
      <c r="L1081" s="18" t="inlineStr">
        <is>
          <t>B0CTCRGRJN</t>
        </is>
      </c>
      <c r="M1081" s="19" t="n"/>
      <c r="N1081" s="19" t="n"/>
      <c r="O1081" s="19" t="n">
        <v>8.9</v>
      </c>
      <c r="P1081" s="19">
        <f>O1081/1.19</f>
        <v/>
      </c>
      <c r="Q1081" s="19">
        <f>O1081-P1081</f>
        <v/>
      </c>
      <c r="R1081" s="19">
        <f>O1081*0.15</f>
        <v/>
      </c>
      <c r="S1081" s="19" t="n">
        <v>2.72</v>
      </c>
      <c r="T1081" s="19">
        <f>S1081*0.2</f>
        <v/>
      </c>
      <c r="U1081" s="19" t="n">
        <v>0.400000000000002</v>
      </c>
      <c r="V1081" s="19" t="n">
        <v>2.7</v>
      </c>
      <c r="W1081" s="19">
        <f>V1081*0.2</f>
        <v/>
      </c>
      <c r="X1081" s="16">
        <f>O1081-Q1081-R1081-S1081-U1081-V1081+T1081+W1081</f>
        <v/>
      </c>
      <c r="Y1081" s="18" t="n"/>
      <c r="Z1081" s="19">
        <f>O1081+1.5</f>
        <v/>
      </c>
      <c r="AA1081" s="19" t="n"/>
      <c r="AB1081" s="19" t="n"/>
      <c r="AC1081" s="18" t="n"/>
      <c r="AD1081" s="18" t="n"/>
      <c r="AE1081" s="13" t="inlineStr">
        <is>
          <t>NOT_UPLOADED</t>
        </is>
      </c>
    </row>
    <row r="1082" ht="16" customHeight="1">
      <c r="A1082" s="12" t="n">
        <v>4005808760435</v>
      </c>
      <c r="B1082" s="12" t="n">
        <v>4005808760435</v>
      </c>
      <c r="C1082" s="20" t="inlineStr">
        <is>
          <t>PACK X 3</t>
        </is>
      </c>
      <c r="D1082" s="14" t="n"/>
      <c r="E1082" s="14" t="inlineStr">
        <is>
          <t>AMP-4005808760435</t>
        </is>
      </c>
      <c r="F1082" s="12" t="n">
        <v>89059</v>
      </c>
      <c r="G1082" s="14" t="inlineStr">
        <is>
          <t>AMPEREL</t>
        </is>
      </c>
      <c r="H1082" s="14" t="inlineStr">
        <is>
          <t>NIVEA</t>
        </is>
      </c>
      <c r="I1082" s="14" t="inlineStr">
        <is>
          <t>NIVEA Cream Soft A Refreshing Moisturising Cream for Face Hands Body Moisturises, Refreshes, and Fast Absorbs with Vitamin E and Jojoba Oil, Suitable for All Skin Types 3 x 100 ml (Pack of 3)</t>
        </is>
      </c>
      <c r="J1082" s="14" t="inlineStr">
        <is>
          <t>No</t>
        </is>
      </c>
      <c r="K1082" s="14" t="inlineStr">
        <is>
          <t>https://www.amazon.de/-/en/Refreshing-Moisturising-Moisturises-Refreshes-Suitable/dp/B0BT86MGLG/ref=sr_1_1?crid=29WNDI9M68YNA&amp;dib=eyJ2IjoiMSJ9.dI8a2uV1hMIU2sF9H8zivg.kIVPbHO2E5m6lVFLID2r1IJhbQD3vhJWknQ7o9i29aA&amp;dib_tag=se&amp;keywords=4005808760435&amp;qid=1769435618&amp;sprefix=4005808760435%2Caps%2C139&amp;sr=8-1</t>
        </is>
      </c>
      <c r="L1082" s="14" t="inlineStr">
        <is>
          <t>B0FH57G4K1</t>
        </is>
      </c>
      <c r="M1082" s="15" t="n"/>
      <c r="N1082" s="15" t="n"/>
      <c r="O1082" s="15" t="n">
        <v>21.95</v>
      </c>
      <c r="P1082" s="15">
        <f>O1082/1.19</f>
        <v/>
      </c>
      <c r="Q1082" s="15">
        <f>O1082-P1082</f>
        <v/>
      </c>
      <c r="R1082" s="15">
        <f>O1082*0.15</f>
        <v/>
      </c>
      <c r="S1082" s="15" t="n">
        <v>9.09</v>
      </c>
      <c r="T1082" s="15">
        <f>S1082*0.2</f>
        <v/>
      </c>
      <c r="U1082" s="15" t="n">
        <v>0.400000000000002</v>
      </c>
      <c r="V1082" s="15" t="n">
        <v>4.6</v>
      </c>
      <c r="W1082" s="15">
        <f>V1082*0.2</f>
        <v/>
      </c>
      <c r="X1082" s="21">
        <f>O1082-Q1082-R1082-S1082-U1082-V1082+T1082+W1082</f>
        <v/>
      </c>
      <c r="Y1082" s="14" t="n"/>
      <c r="Z1082" s="15">
        <f>O1082+1.5</f>
        <v/>
      </c>
      <c r="AA1082" s="15" t="n"/>
      <c r="AB1082" s="15" t="n"/>
      <c r="AC1082" s="14" t="n"/>
      <c r="AD1082" s="14" t="n"/>
      <c r="AE1082" s="13" t="inlineStr">
        <is>
          <t>NOT_UPLOADED</t>
        </is>
      </c>
    </row>
    <row r="1083" ht="16" customHeight="1">
      <c r="A1083" s="17" t="n">
        <v>9005800358840</v>
      </c>
      <c r="B1083" s="17" t="n">
        <v>9005800358840</v>
      </c>
      <c r="C1083" s="13" t="n"/>
      <c r="D1083" s="18" t="n"/>
      <c r="E1083" s="18" t="inlineStr">
        <is>
          <t>AMP-9005800358840</t>
        </is>
      </c>
      <c r="F1083" s="17" t="n">
        <v>85886</v>
      </c>
      <c r="G1083" s="18" t="inlineStr">
        <is>
          <t>AMPEREL</t>
        </is>
      </c>
      <c r="H1083" s="18" t="inlineStr">
        <is>
          <t>NIVEA</t>
        </is>
      </c>
      <c r="I1083" s="18" t="inlineStr">
        <is>
          <t>NIVEA Family Care Lightweight Moisturiser for Body, Face and Hands, 450 ml</t>
        </is>
      </c>
      <c r="J1083" s="18" t="inlineStr">
        <is>
          <t>No</t>
        </is>
      </c>
      <c r="K1083" s="18" t="inlineStr">
        <is>
          <t>https://www.amazon.de/-/en/NIVEA-Family-Lightweight-Moisturiser-Hands/dp/B0BJ7JQ1TT/ref=sr_1_1?crid=1WBUOMRGUJN95&amp;dib=eyJ2IjoiMSJ9.pa7A9LJVP56uGPnlLqn5Mohkt1k3SGcHYJeniEMGShU.k9mrPTS5I-NiGeOPgatdPx4J-u1sxeWL5HJPdcVB33w&amp;dib_tag=se&amp;keywords=9005800358840&amp;qid=1769435817&amp;sprefix=9005800358840%2Caps%2C114&amp;sr=8-1&amp;th=1</t>
        </is>
      </c>
      <c r="L1083" s="18" t="inlineStr">
        <is>
          <t>B0BJ7JQ1TT</t>
        </is>
      </c>
      <c r="M1083" s="19" t="n"/>
      <c r="N1083" s="19" t="n"/>
      <c r="O1083" s="19" t="n">
        <v>16.2</v>
      </c>
      <c r="P1083" s="19">
        <f>O1083/1.19</f>
        <v/>
      </c>
      <c r="Q1083" s="19">
        <f>O1083-P1083</f>
        <v/>
      </c>
      <c r="R1083" s="19">
        <f>O1083*0.15</f>
        <v/>
      </c>
      <c r="S1083" s="19" t="n">
        <v>6.28</v>
      </c>
      <c r="T1083" s="19">
        <f>S1083*0.2</f>
        <v/>
      </c>
      <c r="U1083" s="19" t="n">
        <v>0.400000000000002</v>
      </c>
      <c r="V1083" s="19" t="n">
        <v>5.7</v>
      </c>
      <c r="W1083" s="19">
        <f>V1083*0.2</f>
        <v/>
      </c>
      <c r="X1083" s="16">
        <f>O1083-Q1083-R1083-S1083-U1083-V1083+T1083+W1083</f>
        <v/>
      </c>
      <c r="Y1083" s="18" t="n"/>
      <c r="Z1083" s="19">
        <f>O1083+1.5</f>
        <v/>
      </c>
      <c r="AA1083" s="19" t="n"/>
      <c r="AB1083" s="19" t="n"/>
      <c r="AC1083" s="18" t="n"/>
      <c r="AD1083" s="18" t="n"/>
      <c r="AE1083" s="13" t="inlineStr">
        <is>
          <t>NOT_UPLOADED</t>
        </is>
      </c>
    </row>
    <row r="1084" ht="16" customHeight="1">
      <c r="A1084" s="12" t="n">
        <v>9005800380544</v>
      </c>
      <c r="B1084" s="12" t="n">
        <v>9005800380544</v>
      </c>
      <c r="C1084" s="13" t="n"/>
      <c r="D1084" s="14" t="n"/>
      <c r="E1084" s="14" t="inlineStr">
        <is>
          <t>AMP-9005800380544</t>
        </is>
      </c>
      <c r="F1084" s="12" t="n">
        <v>84545</v>
      </c>
      <c r="G1084" s="14" t="inlineStr">
        <is>
          <t>AMPEREL</t>
        </is>
      </c>
      <c r="H1084" s="14" t="inlineStr">
        <is>
          <t>NIVEA</t>
        </is>
      </c>
      <c r="I1084" s="14" t="inlineStr">
        <is>
          <t>NIVEA Repair &amp; Care Multifunctional Moisturising and Regenerating Cream 400 ml</t>
        </is>
      </c>
      <c r="J1084" s="14" t="inlineStr">
        <is>
          <t>No</t>
        </is>
      </c>
      <c r="K1084" s="14" t="inlineStr">
        <is>
          <t>https://www.amazon.de/-/en/NIVEA-Repair-Multifunctional-Moisturising-Regenerating/dp/B0D6Z17RDV/ref=sr_1_1?crid=1X2YO9I8A72DH&amp;dib=eyJ2IjoiMSJ9.-BiCZc34jBWQm73ztRpnDw.H5iUop5kOaGhOQoro29W8lrJ6UH2MdVi27AfNiLo9vc&amp;dib_tag=se&amp;keywords=9005800380544&amp;qid=1769435982&amp;sprefix=9005800380544%2Caps%2C236&amp;sr=8-1</t>
        </is>
      </c>
      <c r="L1084" s="14" t="inlineStr">
        <is>
          <t>B0D6Z17RDV</t>
        </is>
      </c>
      <c r="M1084" s="15" t="n"/>
      <c r="N1084" s="15" t="n"/>
      <c r="O1084" s="15" t="n">
        <v>15.95</v>
      </c>
      <c r="P1084" s="15">
        <f>O1084/1.19</f>
        <v/>
      </c>
      <c r="Q1084" s="15">
        <f>O1084-P1084</f>
        <v/>
      </c>
      <c r="R1084" s="15">
        <f>O1084*0.15</f>
        <v/>
      </c>
      <c r="S1084" s="15" t="n">
        <v>6.42</v>
      </c>
      <c r="T1084" s="15">
        <f>S1084*0.2</f>
        <v/>
      </c>
      <c r="U1084" s="15" t="n">
        <v>0.400000000000002</v>
      </c>
      <c r="V1084" s="15" t="n">
        <v>5.4</v>
      </c>
      <c r="W1084" s="15">
        <f>V1084*0.2</f>
        <v/>
      </c>
      <c r="X1084" s="16">
        <f>O1084-Q1084-R1084-S1084-U1084-V1084+T1084+W1084</f>
        <v/>
      </c>
      <c r="Y1084" s="14" t="n"/>
      <c r="Z1084" s="15">
        <f>O1084+1.5</f>
        <v/>
      </c>
      <c r="AA1084" s="15" t="n"/>
      <c r="AB1084" s="15" t="n"/>
      <c r="AC1084" s="14" t="n"/>
      <c r="AD1084" s="14" t="n"/>
      <c r="AE1084" s="13" t="inlineStr">
        <is>
          <t>NOT_UPLOADED</t>
        </is>
      </c>
    </row>
    <row r="1085" ht="16" customHeight="1">
      <c r="A1085" s="17" t="n">
        <v>9005800380551</v>
      </c>
      <c r="B1085" s="17" t="n">
        <v>9005800380551</v>
      </c>
      <c r="C1085" s="13" t="n"/>
      <c r="D1085" s="18" t="n"/>
      <c r="E1085" s="18" t="inlineStr">
        <is>
          <t>AMP-9005800380551</t>
        </is>
      </c>
      <c r="F1085" s="17" t="n">
        <v>85835</v>
      </c>
      <c r="G1085" s="18" t="inlineStr">
        <is>
          <t>AMPEREL</t>
        </is>
      </c>
      <c r="H1085" s="18" t="inlineStr">
        <is>
          <t>NIVEA</t>
        </is>
      </c>
      <c r="I1085" s="18" t="inlineStr">
        <is>
          <t>NIVEA Body Cream Repair &amp; Care 400 ml, All-Purpose Cream Unscented for Sensitive and Irritated Skin, Fast Absorbing Body Cream, Face and Hands, Enriched with Panthenol and Glycerine</t>
        </is>
      </c>
      <c r="J1085" s="18" t="inlineStr">
        <is>
          <t>No</t>
        </is>
      </c>
      <c r="K1085" s="18" t="inlineStr">
        <is>
          <t>https://www.amazon.de/-/en/NIVEA-All-Purpose-Unscented-Sensitive-Irritated/dp/B0D1VH1G5W/ref=sr_1_2?crid=10IUHF7WRE9EB&amp;dib=eyJ2IjoiMSJ9.9lzFqTstLpQUfC6RCdkqVwAvvrzk8tjTTn0Ht66NoYs.5yJcU9RNSkTZ54L5c3cGcB8X5qffqi6KWaTO_UfOgOk&amp;dib_tag=se&amp;keywords=9005800380551&amp;qid=1769436108&amp;sprefix=9005800380551%2Caps%2C208&amp;sr=8-2&amp;th=1</t>
        </is>
      </c>
      <c r="L1085" s="18" t="inlineStr">
        <is>
          <t>B0D1VH1G5W</t>
        </is>
      </c>
      <c r="M1085" s="19" t="n"/>
      <c r="N1085" s="19" t="n"/>
      <c r="O1085" s="19" t="n">
        <v>15.95</v>
      </c>
      <c r="P1085" s="19">
        <f>O1085/1.19</f>
        <v/>
      </c>
      <c r="Q1085" s="19">
        <f>O1085-P1085</f>
        <v/>
      </c>
      <c r="R1085" s="19">
        <f>O1085*0.15</f>
        <v/>
      </c>
      <c r="S1085" s="19" t="n">
        <v>6.42</v>
      </c>
      <c r="T1085" s="19">
        <f>S1085*0.2</f>
        <v/>
      </c>
      <c r="U1085" s="19" t="n">
        <v>0.400000000000002</v>
      </c>
      <c r="V1085" s="19" t="n">
        <v>5.4</v>
      </c>
      <c r="W1085" s="19">
        <f>V1085*0.2</f>
        <v/>
      </c>
      <c r="X1085" s="16">
        <f>O1085-Q1085-R1085-S1085-U1085-V1085+T1085+W1085</f>
        <v/>
      </c>
      <c r="Y1085" s="18" t="n"/>
      <c r="Z1085" s="19">
        <f>O1085+1.5</f>
        <v/>
      </c>
      <c r="AA1085" s="19" t="n"/>
      <c r="AB1085" s="19" t="n"/>
      <c r="AC1085" s="18" t="n"/>
      <c r="AD1085" s="18" t="n"/>
      <c r="AE1085" s="13" t="inlineStr">
        <is>
          <t>NOT_UPLOADED</t>
        </is>
      </c>
    </row>
    <row r="1086" ht="16" customHeight="1">
      <c r="A1086" s="12" t="n">
        <v>9005800385587</v>
      </c>
      <c r="B1086" s="12" t="n">
        <v>9005800385587</v>
      </c>
      <c r="C1086" s="13" t="n"/>
      <c r="D1086" s="14" t="n"/>
      <c r="E1086" s="14" t="inlineStr">
        <is>
          <t>AMP-9005800385587</t>
        </is>
      </c>
      <c r="F1086" s="12" t="n">
        <v>99227</v>
      </c>
      <c r="G1086" s="14" t="inlineStr">
        <is>
          <t>AMPEREL</t>
        </is>
      </c>
      <c r="H1086" s="14" t="inlineStr">
        <is>
          <t>NIVEA</t>
        </is>
      </c>
      <c r="I1086" s="14" t="inlineStr">
        <is>
          <t>NIVEA Body Cream Repair &amp; Care Urea 400 ml, All-Purpose Cream for Very Dry and Rough Skin, 72h Moisturising Cream, Enriched with 15% Glycerine and Urea</t>
        </is>
      </c>
      <c r="J1086" s="14" t="inlineStr">
        <is>
          <t>No</t>
        </is>
      </c>
      <c r="K1086" s="14" t="inlineStr">
        <is>
          <t>https://www.amazon.de/-/en/NIVEA-All-Purpose-Moisturising-Enriched-Glycerine/dp/B0D81KML5N/ref=sr_1_2?crid=S26W6EU8R3P2&amp;dib=eyJ2IjoiMSJ9.I5LBXzNgtV4aqhGm8SRqIPe4jZyUxdIlgvH54qPhpwA.yq13ptGaGL58hEcluphQyo_bNgdXRXLzMiLrGtvqZQ4&amp;dib_tag=se&amp;keywords=9005800385587&amp;qid=1769436211&amp;sprefix=9005800385587%2Caps%2C108&amp;sr=8-2&amp;th=1</t>
        </is>
      </c>
      <c r="L1086" s="14" t="inlineStr">
        <is>
          <t>B0D81KML5N</t>
        </is>
      </c>
      <c r="M1086" s="15" t="n"/>
      <c r="N1086" s="15" t="n"/>
      <c r="O1086" s="15" t="n">
        <v>16.7</v>
      </c>
      <c r="P1086" s="15">
        <f>O1086/1.19</f>
        <v/>
      </c>
      <c r="Q1086" s="15">
        <f>O1086-P1086</f>
        <v/>
      </c>
      <c r="R1086" s="15">
        <f>O1086*0.15</f>
        <v/>
      </c>
      <c r="S1086" s="15" t="n">
        <v>6.42</v>
      </c>
      <c r="T1086" s="15">
        <f>S1086*0.2</f>
        <v/>
      </c>
      <c r="U1086" s="15" t="n">
        <v>0.400000000000002</v>
      </c>
      <c r="V1086" s="15" t="n">
        <v>5.4</v>
      </c>
      <c r="W1086" s="15">
        <f>V1086*0.2</f>
        <v/>
      </c>
      <c r="X1086" s="16">
        <f>O1086-Q1086-R1086-S1086-U1086-V1086+T1086+W1086</f>
        <v/>
      </c>
      <c r="Y1086" s="14" t="n"/>
      <c r="Z1086" s="15">
        <f>O1086+1.5</f>
        <v/>
      </c>
      <c r="AA1086" s="15" t="n"/>
      <c r="AB1086" s="15" t="n"/>
      <c r="AC1086" s="14" t="n"/>
      <c r="AD1086" s="14" t="n"/>
      <c r="AE1086" s="13" t="inlineStr">
        <is>
          <t>NOT_UPLOADED</t>
        </is>
      </c>
    </row>
    <row r="1087" ht="16" customHeight="1">
      <c r="A1087" s="17" t="n">
        <v>4005808246205</v>
      </c>
      <c r="B1087" s="17" t="n">
        <v>4005808246205</v>
      </c>
      <c r="C1087" s="20" t="inlineStr">
        <is>
          <t>PACK X 2</t>
        </is>
      </c>
      <c r="D1087" s="18" t="n"/>
      <c r="E1087" s="18" t="inlineStr">
        <is>
          <t>AMP-4005808246205</t>
        </is>
      </c>
      <c r="F1087" s="17" t="n">
        <v>80201</v>
      </c>
      <c r="G1087" s="18" t="inlineStr">
        <is>
          <t>AMPEREL</t>
        </is>
      </c>
      <c r="H1087" s="18" t="inlineStr">
        <is>
          <t>NIVEA</t>
        </is>
      </c>
      <c r="I1087" s="18" t="inlineStr">
        <is>
          <t>NIVEA Rich Nourishing Body Lotion, Dry To Very Dry Skin 250 ml (Pack of 2) Deep Nourishment Formula for Dry and Very Dry Skin, Enriched with Shea Butter and Serum, Provides Comfort and Softness</t>
        </is>
      </c>
      <c r="J1087" s="18" t="inlineStr">
        <is>
          <t>No</t>
        </is>
      </c>
      <c r="K1087" s="18" t="inlineStr">
        <is>
          <t>https://www.amazon.de/-/en/NIVEA-Nourishing-Nourishment-Enriched-Provides/dp/B0BT88QH34/ref=sr_1_1?crid=314AQCYR6BTX2&amp;dib=eyJ2IjoiMSJ9.S6k5nLzfX3-aZ3veK-OUDQ.ay_Bn3j9ZtPtKDec2wGnEbt2EYVlGaRdOJw2fhlzH3k&amp;dib_tag=se&amp;keywords=4005808246205&amp;qid=1769436389&amp;sprefix=4005808246205%2Caps%2C191&amp;sr=8-1&amp;th=1</t>
        </is>
      </c>
      <c r="L1087" s="18" t="inlineStr">
        <is>
          <t>B0BT88QH34</t>
        </is>
      </c>
      <c r="M1087" s="19" t="n"/>
      <c r="N1087" s="19" t="n"/>
      <c r="O1087" s="19" t="n">
        <v>21.99</v>
      </c>
      <c r="P1087" s="19">
        <f>O1087/1.19</f>
        <v/>
      </c>
      <c r="Q1087" s="19">
        <f>O1087-P1087</f>
        <v/>
      </c>
      <c r="R1087" s="19">
        <f>O1087*0.15</f>
        <v/>
      </c>
      <c r="S1087" s="19" t="n">
        <v>8.880000000000001</v>
      </c>
      <c r="T1087" s="19">
        <f>S1087*0.2</f>
        <v/>
      </c>
      <c r="U1087" s="19" t="n">
        <v>0.400000000000002</v>
      </c>
      <c r="V1087" s="19" t="n">
        <v>6.6</v>
      </c>
      <c r="W1087" s="19">
        <f>V1087*0.2</f>
        <v/>
      </c>
      <c r="X1087" s="21">
        <f>O1087-Q1087-R1087-S1087-U1087-V1087+T1087+W1087</f>
        <v/>
      </c>
      <c r="Y1087" s="18" t="n"/>
      <c r="Z1087" s="19">
        <f>O1087+1.5</f>
        <v/>
      </c>
      <c r="AA1087" s="19" t="n"/>
      <c r="AB1087" s="19" t="n"/>
      <c r="AC1087" s="18" t="n"/>
      <c r="AD1087" s="18" t="n"/>
      <c r="AE1087" s="13" t="inlineStr">
        <is>
          <t>NOT_UPLOADED</t>
        </is>
      </c>
    </row>
    <row r="1088" ht="16" customHeight="1">
      <c r="A1088" s="12" t="n"/>
      <c r="B1088" s="12" t="n">
        <v>4005808407507</v>
      </c>
      <c r="C1088" s="13" t="n"/>
      <c r="D1088" s="14" t="n"/>
      <c r="E1088" s="14" t="n"/>
      <c r="F1088" s="12" t="n">
        <v>80422</v>
      </c>
      <c r="G1088" s="14" t="inlineStr">
        <is>
          <t>AMPEREL</t>
        </is>
      </c>
      <c r="H1088" s="14" t="inlineStr">
        <is>
          <t>NIVEA</t>
        </is>
      </c>
      <c r="I1088" s="14" t="inlineStr">
        <is>
          <t>PROTEGE</t>
        </is>
      </c>
      <c r="J1088" s="14" t="inlineStr">
        <is>
          <t>No</t>
        </is>
      </c>
      <c r="K1088" s="14" t="inlineStr">
        <is>
          <t>https://www.amazon.de/-/en/NIVEA-100670386-PROTEGE/dp/B01GHTUDCM/ref=sr_1_1?crid=1HY5H6ZP8H8A9&amp;dib=eyJ2IjoiMSJ9.SK3J6DUReB5YvHNdofRpPw.JgrLrakJekWSM-ulNy7Yb1QwqGexNcBP146A1E5C0yY&amp;dib_tag=se&amp;keywords=4005808407507&amp;qid=1770818583&amp;sprefix=4005808407507%2Caps%2C171&amp;sr=8-1</t>
        </is>
      </c>
      <c r="L1088" s="14" t="inlineStr">
        <is>
          <t>B01GHTUDCM</t>
        </is>
      </c>
      <c r="M1088" s="15" t="n"/>
      <c r="N1088" s="15" t="n"/>
      <c r="O1088" s="15" t="n"/>
      <c r="P1088" s="15" t="n"/>
      <c r="Q1088" s="15" t="n"/>
      <c r="R1088" s="15" t="n"/>
      <c r="S1088" s="15" t="n">
        <v>7.44</v>
      </c>
      <c r="T1088" s="15">
        <f>S1088*0.2</f>
        <v/>
      </c>
      <c r="U1088" s="15" t="n">
        <v>0.400000000000002</v>
      </c>
      <c r="V1088" s="15" t="n"/>
      <c r="W1088" s="15" t="n"/>
      <c r="X1088" s="22" t="n"/>
      <c r="Y1088" s="14" t="n"/>
      <c r="Z1088" s="15" t="n"/>
      <c r="AA1088" s="15" t="n"/>
      <c r="AB1088" s="15" t="n"/>
      <c r="AC1088" s="14" t="n"/>
      <c r="AD1088" s="14" t="n"/>
      <c r="AE1088" s="13" t="inlineStr">
        <is>
          <t>NOT_UPLOADED</t>
        </is>
      </c>
    </row>
    <row r="1089" ht="16" customHeight="1">
      <c r="A1089" s="17" t="n"/>
      <c r="B1089" s="17" t="n">
        <v>4005808407507</v>
      </c>
      <c r="C1089" s="13" t="n"/>
      <c r="D1089" s="18" t="n"/>
      <c r="E1089" s="18" t="n"/>
      <c r="F1089" s="17" t="n">
        <v>80422</v>
      </c>
      <c r="G1089" s="18" t="inlineStr">
        <is>
          <t>AMPEREL</t>
        </is>
      </c>
      <c r="H1089" s="18" t="inlineStr">
        <is>
          <t>NIVEA</t>
        </is>
      </c>
      <c r="I1089" s="18" t="inlineStr">
        <is>
          <t>NIVEA SUN Protection &amp; Care Sun Lotion SPF 50+, Waterproof Sun Protection with Vitamin C &amp; Hyaluron, Quick-Absorbing Sun Cream for 48 Hours of Moisture without White Residue (200 ml)</t>
        </is>
      </c>
      <c r="J1089" s="18" t="inlineStr">
        <is>
          <t>No</t>
        </is>
      </c>
      <c r="K1089" s="18" t="inlineStr">
        <is>
          <t>https://www.amazon.de/-/en/Protection-Sun-Waterproof-Hyaluron-Quick-Absorbing/dp/B0DRPN82VW/ref=sr_1_1?crid=NF56N8R6YOZ0&amp;dib=eyJ2IjoiMSJ9.c0c-Fw-DjR4SQ3ekkkcTPl3VEmt_MaU3H-4HVTvuOSFhcSDJK8s0IMmslo9b7Uh04XtGlgn7cLZBouj2dduq2LvrBvHFd9jUgOBOoqdTsTe_ILwcpQBjIXOAw22I1VKgI1jHaA4rVJ77rmc8uZ6GUiFs5sF28tJyBEcx-Jw9d4Xr5hBI5GIBK05kErsbvrFLuVD4NyuRf9_J2CeX-wCIrdOaskD6G3WINAGNKKSf8RX1ZDSlNKeT1fNQaezGlQEcNZFIrWtVTD4CwXshINtCMMEmzaOVS9eMBKv3p_jKvb4.gW2s6q4FxjU59VgS9XDXQoYvmrPSc4-uXkOPy5a1jTU&amp;dib_tag=se&amp;keywords=NIVEA%2BSUN%2BLOTION&amp;qid=1770818811&amp;sprefix=nivea%2Bsun%2Blotion%2Caps%2C409&amp;sr=8-1&amp;th=1</t>
        </is>
      </c>
      <c r="L1089" s="18" t="inlineStr">
        <is>
          <t>B0DRPN82VW</t>
        </is>
      </c>
      <c r="M1089" s="19" t="n"/>
      <c r="N1089" s="19" t="n"/>
      <c r="O1089" s="19" t="n"/>
      <c r="P1089" s="19" t="n"/>
      <c r="Q1089" s="19" t="n"/>
      <c r="R1089" s="19" t="n"/>
      <c r="S1089" s="19" t="n">
        <v>7.44</v>
      </c>
      <c r="T1089" s="19">
        <f>S1089*0.2</f>
        <v/>
      </c>
      <c r="U1089" s="19" t="n">
        <v>0.400000000000002</v>
      </c>
      <c r="V1089" s="19" t="n"/>
      <c r="W1089" s="19" t="n"/>
      <c r="X1089" s="22" t="n"/>
      <c r="Y1089" s="18" t="n"/>
      <c r="Z1089" s="19" t="n"/>
      <c r="AA1089" s="19" t="n"/>
      <c r="AB1089" s="19" t="n"/>
      <c r="AC1089" s="18" t="n"/>
      <c r="AD1089" s="18" t="n"/>
      <c r="AE1089" s="13" t="inlineStr">
        <is>
          <t>NOT_UPLOADED</t>
        </is>
      </c>
    </row>
    <row r="1090" ht="16" customHeight="1">
      <c r="A1090" s="12" t="n"/>
      <c r="B1090" s="12" t="n"/>
      <c r="C1090" s="13" t="n"/>
      <c r="D1090" s="14" t="n"/>
      <c r="E1090" s="14" t="n"/>
      <c r="F1090" s="12" t="n"/>
      <c r="G1090" s="14" t="inlineStr">
        <is>
          <t>AMPEREL</t>
        </is>
      </c>
      <c r="H1090" s="14" t="inlineStr">
        <is>
          <t>NIVEA</t>
        </is>
      </c>
      <c r="I1090" s="14" t="inlineStr">
        <is>
          <t>NIVEA SUN Protection &amp; Tan Sun Spray SPF 30, Sun Cream with Pro Melanin Extract for an Even Tan, Instant Sun Protection with UVA/UVB Filter System (200 ml)</t>
        </is>
      </c>
      <c r="J1090" s="14" t="inlineStr">
        <is>
          <t>No</t>
        </is>
      </c>
      <c r="K1090" s="14" t="inlineStr">
        <is>
          <t>https://www.amazon.de/Protection-Melanin-Extract-Instant-Filter/dp/B0DV8Z3CFK/ref=sr_1_3_sspa?crid=NF56N8R6YOZ0&amp;dib=eyJ2IjoiMSJ9.c0c-Fw-DjR4SQ3ekkkcTPl3VEmt_MaU3H-4HVTvuOSFhcSDJK8s0IMmslo9b7Uh04XtGlgn7cLZBouj2dduq2LvrBvHFd9jUgOBOoqdTsTf83aItM8ZS6CIsec_Uczre3FRiMHFt8YAgArOjTWInbiFs5sF28tJyBEcx-Jw9d4Xr5hBI5GIBK05kErsbvrFLuVD4NyuRf9_J2CeX-wCIrdOaskD6G3WINAGNKKSf8RW6ctS9lb9cOkxSlOzQKrCAuJwu8CuVzc920Aoi4f6S29tlqfc2de6xg7NQngc21pM.4wp0n8SKkKIKNOTIQC1YuDFoRWnt17u0nNVSSa4FLP8&amp;dib_tag=se&amp;keywords=NIVEA+SUN+LOTION&amp;qid=1770819125&amp;sprefix=nivea+sun+lotion%2Caps%2C409&amp;sr=8-3-spons&amp;aref=DsRVmlTK0b&amp;sp_csd=d2lkZ2V0TmFtZT1zcF9hdGY&amp;psc=1</t>
        </is>
      </c>
      <c r="L1090" s="14" t="inlineStr">
        <is>
          <t>B0DV8Z3CFK</t>
        </is>
      </c>
      <c r="M1090" s="15" t="n"/>
      <c r="N1090" s="15" t="n"/>
      <c r="O1090" s="15" t="n"/>
      <c r="P1090" s="15" t="n"/>
      <c r="Q1090" s="15" t="n"/>
      <c r="R1090" s="15" t="n"/>
      <c r="S1090" s="15" t="n"/>
      <c r="T1090" s="15" t="n"/>
      <c r="U1090" s="15" t="n">
        <v>0.400000000000002</v>
      </c>
      <c r="V1090" s="15" t="n"/>
      <c r="W1090" s="15" t="n"/>
      <c r="X1090" s="22" t="n"/>
      <c r="Y1090" s="14" t="n"/>
      <c r="Z1090" s="15" t="n"/>
      <c r="AA1090" s="15" t="n"/>
      <c r="AB1090" s="15" t="n"/>
      <c r="AC1090" s="14" t="n"/>
      <c r="AD1090" s="14" t="n"/>
      <c r="AE1090" s="13" t="inlineStr">
        <is>
          <t>NOT_UPLOADED</t>
        </is>
      </c>
    </row>
    <row r="1091" ht="16" customHeight="1">
      <c r="A1091" s="17" t="n">
        <v>4006000087719</v>
      </c>
      <c r="B1091" s="17" t="n">
        <v>4005900915900</v>
      </c>
      <c r="C1091" s="13" t="n"/>
      <c r="D1091" s="18" t="n"/>
      <c r="E1091" s="18" t="inlineStr">
        <is>
          <t>AMP-4006000087719</t>
        </is>
      </c>
      <c r="F1091" s="17" t="n">
        <v>84234</v>
      </c>
      <c r="G1091" s="18" t="inlineStr">
        <is>
          <t>AMPEREL</t>
        </is>
      </c>
      <c r="H1091" s="18" t="inlineStr">
        <is>
          <t>NIVEA</t>
        </is>
      </c>
      <c r="I1091" s="18" t="inlineStr">
        <is>
          <t>NIVEA Q10 Anti-Falten ENERGY Vitamin C Augenpflege, Augencreme mit purem Q10, Vitamin C und E, straffende Feuchtigkeitscreme für die empfindliche Augenpartie (15 ml)</t>
        </is>
      </c>
      <c r="J1091" s="18" t="inlineStr">
        <is>
          <t>No</t>
        </is>
      </c>
      <c r="K1091" s="18" t="inlineStr">
        <is>
          <t>https://www.amazon.de/NIVEA-Anti-Falten-Augenpflege-Feuchtigkeitscreme-empfindliche/dp/B0D8C2C1LN/ref=sr_1_1?__mk_de_DE=%C3%85M%C3%85%C5%BD%C3%95%C3%91&amp;crid=X8M5PUTZB4MC&amp;dib=eyJ2IjoiMSJ9.v4WASIKUCGTIluuzWFvRiQ.WraA9526nyG6rQn3SbgV-cW2Ma2M8s1_jpWW-kbD4xA&amp;dib_tag=se&amp;keywords=B0D8C2C1LN&amp;qid=1771685281&amp;s=beauty&amp;sprefix=b0d8c2c1ln%2Cbeauty%2C422&amp;sr=1-1&amp;th=1</t>
        </is>
      </c>
      <c r="L1091" s="18" t="inlineStr">
        <is>
          <t>B0D8C2C1LN</t>
        </is>
      </c>
      <c r="M1091" s="19" t="n"/>
      <c r="N1091" s="19" t="n"/>
      <c r="O1091" s="19" t="n">
        <v>16.75</v>
      </c>
      <c r="P1091" s="19">
        <f>O1091/1.19</f>
        <v/>
      </c>
      <c r="Q1091" s="19">
        <f>O1091-P1091</f>
        <v/>
      </c>
      <c r="R1091" s="19">
        <f>O1091*0.15</f>
        <v/>
      </c>
      <c r="S1091" s="19" t="n">
        <v>8.6</v>
      </c>
      <c r="T1091" s="19">
        <f>S1091*0.2</f>
        <v/>
      </c>
      <c r="U1091" s="19" t="n">
        <v>0.400000000000002</v>
      </c>
      <c r="V1091" s="19" t="n">
        <v>2</v>
      </c>
      <c r="W1091" s="19">
        <f>V1091*0.2</f>
        <v/>
      </c>
      <c r="X1091" s="21">
        <f>O1091-Q1091-R1091-S1091-U1091-V1091+T1091+W1091</f>
        <v/>
      </c>
      <c r="Y1091" s="18" t="n"/>
      <c r="Z1091" s="19">
        <f>O1091+1.5</f>
        <v/>
      </c>
      <c r="AA1091" s="19" t="n"/>
      <c r="AB1091" s="19" t="n"/>
      <c r="AC1091" s="18" t="n"/>
      <c r="AD1091" s="18" t="n"/>
      <c r="AE1091" s="13" t="inlineStr">
        <is>
          <t>NOT_UPLOADED</t>
        </is>
      </c>
    </row>
    <row r="1092" ht="16" customHeight="1">
      <c r="A1092" s="12" t="n">
        <v>4006000066226</v>
      </c>
      <c r="B1092" s="12" t="n">
        <v>9005800290805</v>
      </c>
      <c r="C1092" s="13" t="n"/>
      <c r="D1092" s="14" t="n"/>
      <c r="E1092" s="14" t="inlineStr">
        <is>
          <t>AMP-4006000066226</t>
        </is>
      </c>
      <c r="F1092" s="12" t="n">
        <v>98716</v>
      </c>
      <c r="G1092" s="14" t="inlineStr">
        <is>
          <t>AMPEREL</t>
        </is>
      </c>
      <c r="H1092" s="14" t="inlineStr">
        <is>
          <t>NIVEA</t>
        </is>
      </c>
      <c r="I1092" s="14" t="inlineStr">
        <is>
          <t>NIVEA Anti-Age Serum, Anti-Falten Serum mit Q10 mildert Falten und beugt ihrer Neuentstehung vor, straffendes Gesichtsserum mit Glycostop, Q10 Anti-Falten Experte Dual Action Serum (30 ml)</t>
        </is>
      </c>
      <c r="J1092" s="14" t="inlineStr">
        <is>
          <t>No</t>
        </is>
      </c>
      <c r="K1092" s="14" t="inlineStr">
        <is>
          <t>https://www.amazon.de/NIVEA-Anti-Falten-Neuentstehung-straffendes-Gesichtsserum/dp/B0D7HW4T8V/ref=sr_1_1?__mk_de_DE=%C3%85M%C3%85%C5%BD%C3%95%C3%91&amp;crid=2Z0QBY43FGIT6&amp;dib=eyJ2IjoiMSJ9.IBgJsNEh62xJUiGwfR6leA.-47lHKrEcgBeenCwy1sNmMudliTjzVHzrjJxiuiDpGI&amp;dib_tag=se&amp;keywords=B0D7HW4T8V&amp;qid=1771688818&amp;s=beauty&amp;sprefix=b0d7hw4t8v%2Cbeauty%2C221&amp;sr=1-1</t>
        </is>
      </c>
      <c r="L1092" s="14" t="inlineStr">
        <is>
          <t>B0D7HW4T8V</t>
        </is>
      </c>
      <c r="M1092" s="15" t="n"/>
      <c r="N1092" s="15" t="n"/>
      <c r="O1092" s="15" t="n">
        <v>19.95</v>
      </c>
      <c r="P1092" s="15">
        <f>O1092/1.19</f>
        <v/>
      </c>
      <c r="Q1092" s="15">
        <f>O1092-P1092</f>
        <v/>
      </c>
      <c r="R1092" s="15">
        <f>O1092*0.15</f>
        <v/>
      </c>
      <c r="S1092" s="15" t="n">
        <v>10.95</v>
      </c>
      <c r="T1092" s="15">
        <f>S1092*0.2</f>
        <v/>
      </c>
      <c r="U1092" s="15" t="n">
        <v>0.400000000000002</v>
      </c>
      <c r="V1092" s="15" t="n">
        <v>2.45</v>
      </c>
      <c r="W1092" s="15">
        <f>V1092*0.2</f>
        <v/>
      </c>
      <c r="X1092" s="21">
        <f>O1092-Q1092-R1092-S1092-U1092-V1092+T1092+W1092</f>
        <v/>
      </c>
      <c r="Y1092" s="14" t="n"/>
      <c r="Z1092" s="15">
        <f>O1092+1.5</f>
        <v/>
      </c>
      <c r="AA1092" s="15" t="n"/>
      <c r="AB1092" s="15" t="n"/>
      <c r="AC1092" s="14" t="n"/>
      <c r="AD1092" s="14" t="n"/>
      <c r="AE1092" s="13" t="inlineStr">
        <is>
          <t>NOT_UPLOADED</t>
        </is>
      </c>
    </row>
    <row r="1093" ht="16" customHeight="1">
      <c r="A1093" s="17" t="n">
        <v>4005808159802</v>
      </c>
      <c r="B1093" s="17" t="n">
        <v>9005800243597</v>
      </c>
      <c r="C1093" s="20" t="inlineStr">
        <is>
          <t>UK</t>
        </is>
      </c>
      <c r="D1093" s="18" t="n"/>
      <c r="E1093" s="18" t="n"/>
      <c r="F1093" s="17" t="n">
        <v>80103</v>
      </c>
      <c r="G1093" s="18" t="inlineStr">
        <is>
          <t>AMPEREL</t>
        </is>
      </c>
      <c r="H1093" s="18" t="inlineStr">
        <is>
          <t>NIVEA</t>
        </is>
      </c>
      <c r="I1093" s="18" t="inlineStr">
        <is>
          <t>NIVEA Creme Tin (75ml), Moisturising Cream Provides Intensive Protective Care for Soft and Supple Skin, Ideal for Daily Use as a Face, Hand, or Body Cream</t>
        </is>
      </c>
      <c r="J1093" s="18" t="inlineStr">
        <is>
          <t>No</t>
        </is>
      </c>
      <c r="K1093" s="18" t="inlineStr">
        <is>
          <t>https://www.amazon.co.uk/dp/B0182N7HU2?th=1</t>
        </is>
      </c>
      <c r="L1093" s="18" t="inlineStr">
        <is>
          <t>B0182N7HU2</t>
        </is>
      </c>
      <c r="M1093" s="19" t="n"/>
      <c r="N1093" s="19" t="n"/>
      <c r="O1093" s="19" t="n">
        <v>6.16</v>
      </c>
      <c r="P1093" s="19">
        <f>O1093/1.19</f>
        <v/>
      </c>
      <c r="Q1093" s="19">
        <f>O1093-P1093</f>
        <v/>
      </c>
      <c r="R1093" s="19">
        <f>O1093*0.15</f>
        <v/>
      </c>
      <c r="S1093" s="19" t="n">
        <v>1.09</v>
      </c>
      <c r="T1093" s="19">
        <f>S1093*0.2</f>
        <v/>
      </c>
      <c r="U1093" s="19" t="n">
        <v>0.400000000000002</v>
      </c>
      <c r="V1093" s="19" t="n">
        <v>2.4</v>
      </c>
      <c r="W1093" s="19">
        <f>V1093*0.2</f>
        <v/>
      </c>
      <c r="X1093" s="16">
        <f>O1093-Q1093-R1093-S1093-U1093-V1093+T1093+W1093</f>
        <v/>
      </c>
      <c r="Y1093" s="18" t="n"/>
      <c r="Z1093" s="19">
        <f>O1093+1.5</f>
        <v/>
      </c>
      <c r="AA1093" s="19" t="n"/>
      <c r="AB1093" s="19" t="n"/>
      <c r="AC1093" s="18" t="n"/>
      <c r="AD1093" s="18" t="n"/>
      <c r="AE1093" s="13" t="inlineStr">
        <is>
          <t>NOT_UPLOADED</t>
        </is>
      </c>
    </row>
    <row r="1094" ht="16" customHeight="1">
      <c r="A1094" s="12" t="n"/>
      <c r="B1094" s="12" t="n"/>
      <c r="C1094" s="13" t="n"/>
      <c r="D1094" s="14" t="n"/>
      <c r="E1094" s="14" t="n"/>
      <c r="F1094" s="12" t="n"/>
      <c r="G1094" s="14" t="inlineStr">
        <is>
          <t>AMPEREL</t>
        </is>
      </c>
      <c r="H1094" s="14" t="inlineStr">
        <is>
          <t>NIVEA</t>
        </is>
      </c>
      <c r="I1094" s="14" t="n"/>
      <c r="J1094" s="14" t="inlineStr">
        <is>
          <t>No</t>
        </is>
      </c>
      <c r="K1094" s="14" t="n"/>
      <c r="L1094" s="14" t="inlineStr">
        <is>
          <t>B0BGYDK9PL</t>
        </is>
      </c>
      <c r="M1094" s="15" t="n"/>
      <c r="N1094" s="15" t="n"/>
      <c r="O1094" s="15" t="n"/>
      <c r="P1094" s="15" t="n"/>
      <c r="Q1094" s="15" t="n"/>
      <c r="R1094" s="15" t="n"/>
      <c r="S1094" s="15" t="n"/>
      <c r="T1094" s="15" t="n"/>
      <c r="U1094" s="15" t="n">
        <v>0.400000000000002</v>
      </c>
      <c r="V1094" s="15" t="n"/>
      <c r="W1094" s="15" t="n"/>
      <c r="X1094" s="22" t="n"/>
      <c r="Y1094" s="14" t="n"/>
      <c r="Z1094" s="15" t="n"/>
      <c r="AA1094" s="15" t="n"/>
      <c r="AB1094" s="15" t="n"/>
      <c r="AC1094" s="14" t="n"/>
      <c r="AD1094" s="14" t="n"/>
      <c r="AE1094" s="13" t="inlineStr">
        <is>
          <t>NOT_UPLOADED</t>
        </is>
      </c>
    </row>
    <row r="1095" ht="16" customHeight="1">
      <c r="A1095" s="17" t="n">
        <v>42397748</v>
      </c>
      <c r="B1095" s="17" t="n">
        <v>9005800243597</v>
      </c>
      <c r="C1095" s="13" t="n"/>
      <c r="D1095" s="18" t="n"/>
      <c r="E1095" s="18" t="inlineStr">
        <is>
          <t>AMP-0000042397748</t>
        </is>
      </c>
      <c r="F1095" s="17" t="n">
        <v>80103</v>
      </c>
      <c r="G1095" s="18" t="inlineStr">
        <is>
          <t>AMPEREL</t>
        </is>
      </c>
      <c r="H1095" s="18" t="inlineStr">
        <is>
          <t>NIVEA</t>
        </is>
      </c>
      <c r="I1095" s="18" t="inlineStr">
        <is>
          <t>NIVEA Cream Tin Universal Care (75 ml), Classic Moisturising Cream for All Skin Types, Rich Skin Cream with Nourishing Eucerit</t>
        </is>
      </c>
      <c r="J1095" s="18" t="inlineStr">
        <is>
          <t>No</t>
        </is>
      </c>
      <c r="K1095" s="18" t="inlineStr">
        <is>
          <t>https://www.amazon.co.uk/dp/B086W6HMNJ?th=1</t>
        </is>
      </c>
      <c r="L1095" s="18" t="inlineStr">
        <is>
          <t>B086W6HMNJ</t>
        </is>
      </c>
      <c r="M1095" s="19" t="n"/>
      <c r="N1095" s="19" t="n"/>
      <c r="O1095" s="19" t="n">
        <v>6.4</v>
      </c>
      <c r="P1095" s="19">
        <f>O1095/1.19</f>
        <v/>
      </c>
      <c r="Q1095" s="19">
        <f>O1095-P1095</f>
        <v/>
      </c>
      <c r="R1095" s="19">
        <f>O1095*0.15</f>
        <v/>
      </c>
      <c r="S1095" s="19" t="n">
        <v>1.09</v>
      </c>
      <c r="T1095" s="19">
        <f>S1095*0.2</f>
        <v/>
      </c>
      <c r="U1095" s="19" t="n">
        <v>0.400000000000002</v>
      </c>
      <c r="V1095" s="19" t="n">
        <v>2.4</v>
      </c>
      <c r="W1095" s="19">
        <f>V1095*0.2</f>
        <v/>
      </c>
      <c r="X1095" s="16">
        <f>O1095-Q1095-R1095-S1095-U1095-V1095+T1095+W1095</f>
        <v/>
      </c>
      <c r="Y1095" s="18" t="n"/>
      <c r="Z1095" s="19">
        <f>O1095+1.5</f>
        <v/>
      </c>
      <c r="AA1095" s="19" t="n"/>
      <c r="AB1095" s="19" t="n"/>
      <c r="AC1095" s="18" t="n"/>
      <c r="AD1095" s="18" t="n"/>
      <c r="AE1095" s="13" t="inlineStr">
        <is>
          <t>NOT_UPLOADED</t>
        </is>
      </c>
    </row>
    <row r="1096" ht="16" customHeight="1">
      <c r="A1096" s="12" t="n"/>
      <c r="B1096" s="12" t="n"/>
      <c r="C1096" s="13" t="n"/>
      <c r="D1096" s="14" t="inlineStr">
        <is>
          <t>NOT AVAILLABLE</t>
        </is>
      </c>
      <c r="E1096" s="14" t="n"/>
      <c r="F1096" s="12" t="n"/>
      <c r="G1096" s="14" t="inlineStr">
        <is>
          <t>AMPEREL</t>
        </is>
      </c>
      <c r="H1096" s="14" t="inlineStr">
        <is>
          <t>NIVEA</t>
        </is>
      </c>
      <c r="I1096" s="14" t="inlineStr">
        <is>
          <t>Cellular Luminous 630® Anti-age Serum 2in1 für Verfärbungen und Falten, 30 ml</t>
        </is>
      </c>
      <c r="J1096" s="14" t="inlineStr">
        <is>
          <t>No</t>
        </is>
      </c>
      <c r="K1096" s="14" t="inlineStr">
        <is>
          <t>https://www.amazon.de/-/en/Cellular-Luminous-Anti-age-Verf%C3%A4rbungen-Falten/dp/B0CF5B7MG8/ref=sr_1_1?crid=2G8XU0T1TSZFZ&amp;dib=eyJ2IjoiMSJ9.dRoek9v59u7HnRNiczVJag.MfekzHrRj7S4r9yvEgo08rD6YytXWny6ObivDo-2ObU&amp;dib_tag=se&amp;keywords=B0CF5B7MG8&amp;qid=1768076169&amp;s=beauty&amp;sprefix=b0cf5b7mg8%2Cbeauty%2C226&amp;sr=1-1</t>
        </is>
      </c>
      <c r="L1096" s="14" t="inlineStr">
        <is>
          <t>B0CF5B7MG8</t>
        </is>
      </c>
      <c r="M1096" s="15" t="n"/>
      <c r="N1096" s="15" t="n"/>
      <c r="O1096" s="15" t="n"/>
      <c r="P1096" s="15" t="n"/>
      <c r="Q1096" s="15" t="n"/>
      <c r="R1096" s="15" t="n"/>
      <c r="S1096" s="15" t="n"/>
      <c r="T1096" s="15" t="n"/>
      <c r="U1096" s="15" t="n">
        <v>0.400000000000002</v>
      </c>
      <c r="V1096" s="15" t="n"/>
      <c r="W1096" s="15" t="n"/>
      <c r="X1096" s="22" t="n"/>
      <c r="Y1096" s="14" t="n"/>
      <c r="Z1096" s="15" t="n"/>
      <c r="AA1096" s="15" t="n"/>
      <c r="AB1096" s="15" t="n"/>
      <c r="AC1096" s="14" t="n"/>
      <c r="AD1096" s="14" t="n"/>
      <c r="AE1096" s="13" t="inlineStr">
        <is>
          <t>NOT_UPLOADED</t>
        </is>
      </c>
    </row>
    <row r="1097" ht="16" customHeight="1">
      <c r="A1097" s="17" t="n">
        <v>4005808019588</v>
      </c>
      <c r="B1097" s="17" t="n">
        <v>9005800354545</v>
      </c>
      <c r="C1097" s="13" t="n"/>
      <c r="D1097" s="18" t="n"/>
      <c r="E1097" s="18" t="inlineStr">
        <is>
          <t>AMP-4005808019588</t>
        </is>
      </c>
      <c r="F1097" s="17" t="n">
        <v>80730</v>
      </c>
      <c r="G1097" s="18" t="inlineStr">
        <is>
          <t>AMPEREL</t>
        </is>
      </c>
      <c r="H1097" s="18" t="inlineStr">
        <is>
          <t>NIVEA</t>
        </is>
      </c>
      <c r="I1097" s="18" t="inlineStr">
        <is>
          <t>NIVEA Intimo Mild Fresh Intimate Wash Lotion, 1 x 250 ml</t>
        </is>
      </c>
      <c r="J1097" s="18" t="inlineStr">
        <is>
          <t>No</t>
        </is>
      </c>
      <c r="K1097" s="18" t="inlineStr">
        <is>
          <t>https://www.amazon.de/-/en/NIVEA-Intimo-Fresh-Intimate-Lotion/dp/B001M0Z958/ref=sr_1_1?crid=2CXWN1OE0IR7B&amp;dib=eyJ2IjoiMSJ9.UOrYsOmDE_IbUMFd190_2Q.qGe6kTDKALgA0dn6aLaKhpvKEJTZXButCjZJfGF3ahw&amp;dib_tag=se&amp;keywords=B001M0Z958&amp;qid=1768076516&amp;s=beauty&amp;sprefix=b001m0z958%2Cbeauty%2C182&amp;sr=1-1&amp;th=1</t>
        </is>
      </c>
      <c r="L1097" s="18" t="inlineStr">
        <is>
          <t>B001M0Z958</t>
        </is>
      </c>
      <c r="M1097" s="19" t="n"/>
      <c r="N1097" s="19" t="n"/>
      <c r="O1097" s="19" t="n">
        <v>11.45</v>
      </c>
      <c r="P1097" s="19">
        <f>O1097/1.19</f>
        <v/>
      </c>
      <c r="Q1097" s="19">
        <f>O1097-P1097</f>
        <v/>
      </c>
      <c r="R1097" s="19">
        <f>O1097*0.15</f>
        <v/>
      </c>
      <c r="S1097" s="19" t="n">
        <v>4.04</v>
      </c>
      <c r="T1097" s="19">
        <f>S1097*0.2</f>
        <v/>
      </c>
      <c r="U1097" s="19" t="n">
        <v>0.400000000000002</v>
      </c>
      <c r="V1097" s="19" t="n">
        <v>3.5</v>
      </c>
      <c r="W1097" s="19">
        <f>V1097*0.2</f>
        <v/>
      </c>
      <c r="X1097" s="16">
        <f>O1097-Q1097-R1097-S1097-U1097-V1097+T1097+W1097</f>
        <v/>
      </c>
      <c r="Y1097" s="18" t="n"/>
      <c r="Z1097" s="19">
        <f>O1097+1.5</f>
        <v/>
      </c>
      <c r="AA1097" s="19" t="n"/>
      <c r="AB1097" s="19" t="n"/>
      <c r="AC1097" s="18" t="n"/>
      <c r="AD1097" s="18" t="n"/>
      <c r="AE1097" s="13" t="inlineStr">
        <is>
          <t>NOT_UPLOADED</t>
        </is>
      </c>
    </row>
    <row r="1098" ht="16" customHeight="1">
      <c r="A1098" s="12" t="n">
        <v>5900017087528</v>
      </c>
      <c r="B1098" s="12" t="n">
        <v>9005800358185</v>
      </c>
      <c r="C1098" s="13" t="n"/>
      <c r="D1098" s="14" t="n"/>
      <c r="E1098" s="14" t="inlineStr">
        <is>
          <t>AMP-5900017087528</t>
        </is>
      </c>
      <c r="F1098" s="12" t="n">
        <v>801780</v>
      </c>
      <c r="G1098" s="14" t="inlineStr">
        <is>
          <t>AMPEREL</t>
        </is>
      </c>
      <c r="H1098" s="14" t="inlineStr">
        <is>
          <t>NIVEA</t>
        </is>
      </c>
      <c r="I1098" s="14" t="inlineStr">
        <is>
          <t>NIVEA Cellular Expert Lift Anti Folding Cream Set for Day and Night SPF 30, 2 x 50 ml, Pack of 2</t>
        </is>
      </c>
      <c r="J1098" s="14" t="inlineStr">
        <is>
          <t>No</t>
        </is>
      </c>
      <c r="K1098" s="14" t="inlineStr">
        <is>
          <t>https://www.amazon.de/-/en/NIVEA-Cellular-Expert-Folding-Cream/dp/B0B2RZ88HF/ref=sr_1_1?crid=2ZBPI6RNBUVXB&amp;dib=eyJ2IjoiMSJ9.zwisuPEb30uK8Dz-8lJV_Q.cJ9De_hFPiXB8Qdt7N11T-i3wxTFKqU6w4MvNpzoP_o&amp;dib_tag=se&amp;keywords=B0B2RZ88HF&amp;qid=1768077277&amp;s=beauty&amp;sprefix=b0b2rz88hf%2Cbeauty%2C100&amp;sr=1-1</t>
        </is>
      </c>
      <c r="L1098" s="14" t="inlineStr">
        <is>
          <t>B0B2RZ88HF</t>
        </is>
      </c>
      <c r="M1098" s="15" t="n"/>
      <c r="N1098" s="15" t="n"/>
      <c r="O1098" s="15" t="n">
        <v>38.99</v>
      </c>
      <c r="P1098" s="15">
        <f>O1098/1.19</f>
        <v/>
      </c>
      <c r="Q1098" s="15">
        <f>O1098-P1098</f>
        <v/>
      </c>
      <c r="R1098" s="15">
        <f>O1098*0.15</f>
        <v/>
      </c>
      <c r="S1098" s="15" t="n">
        <v>19.35</v>
      </c>
      <c r="T1098" s="15">
        <f>S1098*0.2</f>
        <v/>
      </c>
      <c r="U1098" s="15" t="n">
        <v>0.400000000000002</v>
      </c>
      <c r="V1098" s="15" t="n">
        <v>5</v>
      </c>
      <c r="W1098" s="15">
        <f>V1098*0.2</f>
        <v/>
      </c>
      <c r="X1098" s="21">
        <f>O1098-Q1098-R1098-S1098-U1098-V1098+T1098+W1098</f>
        <v/>
      </c>
      <c r="Y1098" s="14" t="n"/>
      <c r="Z1098" s="15">
        <f>O1098+1.5</f>
        <v/>
      </c>
      <c r="AA1098" s="15" t="n"/>
      <c r="AB1098" s="15" t="n"/>
      <c r="AC1098" s="14" t="n"/>
      <c r="AD1098" s="14" t="n"/>
      <c r="AE1098" s="13" t="inlineStr">
        <is>
          <t>NOT_UPLOADED</t>
        </is>
      </c>
    </row>
    <row r="1099" ht="16" customHeight="1">
      <c r="A1099" s="17" t="n">
        <v>4005900853578</v>
      </c>
      <c r="B1099" s="17" t="n">
        <v>4005900853578</v>
      </c>
      <c r="C1099" s="13" t="n"/>
      <c r="D1099" s="18" t="n"/>
      <c r="E1099" s="18" t="inlineStr">
        <is>
          <t>AMP-4005900853578</t>
        </is>
      </c>
      <c r="F1099" s="17" t="n">
        <v>89549</v>
      </c>
      <c r="G1099" s="18" t="inlineStr">
        <is>
          <t>AMPEREL</t>
        </is>
      </c>
      <c r="H1099" s="18" t="inlineStr">
        <is>
          <t>NIVEA</t>
        </is>
      </c>
      <c r="I1099" s="18" t="inlineStr">
        <is>
          <t>Nivea Cellular 3-in-1 Eye Care Concealer</t>
        </is>
      </c>
      <c r="J1099" s="18" t="inlineStr">
        <is>
          <t>No</t>
        </is>
      </c>
      <c r="K1099" s="18" t="inlineStr">
        <is>
          <t>https://www.amazon.de/-/en/Nivea-Cellular-Eye-Care-Concealer/dp/B08WDBQCYQ/ref=sr_1_1?crid=11ZJQ26ZVJGYP&amp;dib=eyJ2IjoiMSJ9.UkNcT7i2t0mtM-wSga2bNw.3GxNHUFkfHvve6791UFVf_1hFF1WOYWmcPgcsCMUDD8&amp;dib_tag=se&amp;keywords=B08WDBQCYQ&amp;qid=1768077869&amp;s=beauty&amp;sprefix=b08wdbqcyq%2Cbeauty%2C206&amp;sr=1-1&amp;th=1</t>
        </is>
      </c>
      <c r="L1099" s="18" t="inlineStr">
        <is>
          <t>B08WDBQCYQ</t>
        </is>
      </c>
      <c r="M1099" s="19" t="n"/>
      <c r="N1099" s="19" t="n"/>
      <c r="O1099" s="19" t="n">
        <v>22.95</v>
      </c>
      <c r="P1099" s="19">
        <f>O1099/1.19</f>
        <v/>
      </c>
      <c r="Q1099" s="19">
        <f>O1099-P1099</f>
        <v/>
      </c>
      <c r="R1099" s="19">
        <f>O1099*0.15</f>
        <v/>
      </c>
      <c r="S1099" s="19" t="n">
        <v>12.77</v>
      </c>
      <c r="T1099" s="19">
        <f>S1099*0.2</f>
        <v/>
      </c>
      <c r="U1099" s="19" t="n">
        <v>0.400000000000002</v>
      </c>
      <c r="V1099" s="19" t="n">
        <v>2</v>
      </c>
      <c r="W1099" s="19">
        <f>V1099*0.2</f>
        <v/>
      </c>
      <c r="X1099" s="21">
        <f>O1099-Q1099-R1099-S1099-U1099-V1099+T1099+W1099</f>
        <v/>
      </c>
      <c r="Y1099" s="18" t="n"/>
      <c r="Z1099" s="19">
        <f>O1099+1.5</f>
        <v/>
      </c>
      <c r="AA1099" s="19" t="n"/>
      <c r="AB1099" s="19" t="n"/>
      <c r="AC1099" s="18" t="n"/>
      <c r="AD1099" s="18" t="n"/>
      <c r="AE1099" s="13" t="inlineStr">
        <is>
          <t>NOT_UPLOADED</t>
        </is>
      </c>
    </row>
    <row r="1100" ht="16" customHeight="1">
      <c r="A1100" s="12" t="n">
        <v>4005900853615</v>
      </c>
      <c r="B1100" s="12" t="n">
        <v>4005900853615</v>
      </c>
      <c r="C1100" s="13" t="n"/>
      <c r="D1100" s="14" t="n"/>
      <c r="E1100" s="14" t="inlineStr">
        <is>
          <t>AMP-4005900853615</t>
        </is>
      </c>
      <c r="F1100" s="12" t="n">
        <v>89551</v>
      </c>
      <c r="G1100" s="14" t="inlineStr">
        <is>
          <t>AMPEREL</t>
        </is>
      </c>
      <c r="H1100" s="14" t="inlineStr">
        <is>
          <t>NIVEA</t>
        </is>
      </c>
      <c r="I1100" s="14" t="inlineStr">
        <is>
          <t>Nivea Cellular 3-in-1 Eye Care Concealer</t>
        </is>
      </c>
      <c r="J1100" s="14" t="inlineStr">
        <is>
          <t>No</t>
        </is>
      </c>
      <c r="K1100" s="14" t="inlineStr">
        <is>
          <t>https://www.amazon.de/-/en/Nivea-Cellular-Eye-Care-Concealer/dp/B08WD5FCR9/ref=sr_1_1?crid=11ZJQ26ZVJGYP&amp;dib=eyJ2IjoiMSJ9.UkNcT7i2t0mtM-wSga2bNw.3GxNHUFkfHvve6791UFVf_1hFF1WOYWmcPgcsCMUDD8&amp;dib_tag=se&amp;keywords=B08WDBQCYQ&amp;qid=1768077869&amp;s=beauty&amp;sprefix=b08wdbqcyq%2Cbeauty%2C206&amp;sr=1-1&amp;th=1</t>
        </is>
      </c>
      <c r="L1100" s="14" t="inlineStr">
        <is>
          <t>B08WD5FCR9</t>
        </is>
      </c>
      <c r="M1100" s="15" t="n"/>
      <c r="N1100" s="15" t="n"/>
      <c r="O1100" s="15" t="n">
        <v>22.9</v>
      </c>
      <c r="P1100" s="15">
        <f>O1100/1.19</f>
        <v/>
      </c>
      <c r="Q1100" s="15">
        <f>O1100-P1100</f>
        <v/>
      </c>
      <c r="R1100" s="15">
        <f>O1100*0.15</f>
        <v/>
      </c>
      <c r="S1100" s="15" t="n">
        <v>12.77</v>
      </c>
      <c r="T1100" s="15">
        <f>S1100*0.2</f>
        <v/>
      </c>
      <c r="U1100" s="15" t="n">
        <v>0.400000000000002</v>
      </c>
      <c r="V1100" s="15" t="n">
        <v>2</v>
      </c>
      <c r="W1100" s="15">
        <f>V1100*0.2</f>
        <v/>
      </c>
      <c r="X1100" s="21">
        <f>O1100-Q1100-R1100-S1100-U1100-V1100+T1100+W1100</f>
        <v/>
      </c>
      <c r="Y1100" s="14" t="n"/>
      <c r="Z1100" s="15">
        <f>O1100+1.5</f>
        <v/>
      </c>
      <c r="AA1100" s="15" t="n"/>
      <c r="AB1100" s="15" t="n"/>
      <c r="AC1100" s="14" t="n"/>
      <c r="AD1100" s="14" t="n"/>
      <c r="AE1100" s="13" t="inlineStr">
        <is>
          <t>NOT_UPLOADED</t>
        </is>
      </c>
    </row>
    <row r="1101" ht="16" customHeight="1">
      <c r="A1101" s="17" t="n">
        <v>3154143241053</v>
      </c>
      <c r="B1101" s="17" t="n">
        <v>3154143241053</v>
      </c>
      <c r="C1101" s="13" t="n"/>
      <c r="D1101" s="18" t="n"/>
      <c r="E1101" s="18" t="inlineStr">
        <is>
          <t>AR-3154143241053</t>
        </is>
      </c>
      <c r="F1101" s="17" t="n">
        <v>9324105</v>
      </c>
      <c r="G1101" s="18" t="inlineStr">
        <is>
          <t>ARGOPRIMA</t>
        </is>
      </c>
      <c r="H1101" s="18" t="inlineStr">
        <is>
          <t>MAPED</t>
        </is>
      </c>
      <c r="I1101" s="18" t="inlineStr">
        <is>
          <t>Maped 324105 Heftklammern Nr. 10, verzinkt, Kleinpackung</t>
        </is>
      </c>
      <c r="J1101" s="18" t="inlineStr">
        <is>
          <t>No</t>
        </is>
      </c>
      <c r="K1101" s="18" t="inlineStr">
        <is>
          <t>https://www.amazon.de/Maped-M324105-Heftklammern-Nr-10-Schachtel/dp/B001B2SBUW/ref=sr_1_1?__mk_de_DE=%C3%85M%C3%85%C5%BD%C3%95%C3%91&amp;crid=15VB0ZZCLF7FU&amp;dib=eyJ2IjoiMSJ9.Cl3D_AUK21ZDmN_ly4RnWzgR8stwTKRHJONVI3mdYMTGjHj071QN20LucGBJIEps.Q2rXiNLXkDokvH6UVHwURPtCiulc4DQ2Fe1LU4f3grU&amp;dib_tag=se&amp;keywords=3154143241053&amp;qid=1759925052&amp;sprefix=3154143241053%2Caps%2C62&amp;sr=8-1</t>
        </is>
      </c>
      <c r="L1101" s="18" t="inlineStr">
        <is>
          <t>B001B2SBUW</t>
        </is>
      </c>
      <c r="M1101" s="19" t="n"/>
      <c r="N1101" s="19" t="n"/>
      <c r="O1101" s="19" t="n">
        <v>11</v>
      </c>
      <c r="P1101" s="19">
        <f>O1101/1.19</f>
        <v/>
      </c>
      <c r="Q1101" s="19">
        <f>O1101-P1101</f>
        <v/>
      </c>
      <c r="R1101" s="19">
        <f>O1101*0.15</f>
        <v/>
      </c>
      <c r="S1101" s="19" t="n">
        <v>5.8</v>
      </c>
      <c r="T1101" s="19">
        <f>S1101*0.2</f>
        <v/>
      </c>
      <c r="U1101" s="19" t="n">
        <v>0.400000000000002</v>
      </c>
      <c r="V1101" s="19" t="n">
        <v>2.2</v>
      </c>
      <c r="W1101" s="19">
        <f>V1101*0.2</f>
        <v/>
      </c>
      <c r="X1101" s="22">
        <f>O1101-Q1101-R1101-S1101-U1101-V1101+T1101+W1101</f>
        <v/>
      </c>
      <c r="Y1101" s="18" t="n"/>
      <c r="Z1101" s="19">
        <f>O1101+1.5</f>
        <v/>
      </c>
      <c r="AA1101" s="19" t="n"/>
      <c r="AB1101" s="19" t="n"/>
      <c r="AC1101" s="18" t="n"/>
      <c r="AD1101" s="18" t="n"/>
      <c r="AE1101" s="13" t="inlineStr">
        <is>
          <t>NOT_UPLOADED</t>
        </is>
      </c>
    </row>
    <row r="1102" ht="16" customHeight="1">
      <c r="A1102" s="12" t="n"/>
      <c r="B1102" s="12" t="n">
        <v>3154146303116</v>
      </c>
      <c r="C1102" s="13" t="n"/>
      <c r="D1102" s="14" t="n"/>
      <c r="E1102" s="14" t="inlineStr">
        <is>
          <t>ARGO-3154146303116</t>
        </is>
      </c>
      <c r="F1102" s="12" t="n">
        <v>9630311</v>
      </c>
      <c r="G1102" s="14" t="inlineStr">
        <is>
          <t>ARGOPRIMA</t>
        </is>
      </c>
      <c r="H1102" s="14" t="inlineStr">
        <is>
          <t>MAPED</t>
        </is>
      </c>
      <c r="I1102" s="14" t="inlineStr">
        <is>
          <t>Maped M630311 - Locher Advanced, aus Metall, bis 35 Blatt, grau-metallic</t>
        </is>
      </c>
      <c r="J1102" s="14" t="inlineStr">
        <is>
          <t>No</t>
        </is>
      </c>
      <c r="K1102" s="14" t="inlineStr">
        <is>
          <t>https://www.amazon.de/Maped-M630311-Locher-Advanced-grau-metallic/dp/B00IOFKWJ2/ref=sr_1_1?__mk_de_DE=%C3%85M%C3%85%C5%BD%C3%95%C3%91&amp;crid=17MUOBLUXCI91&amp;dib=eyJ2IjoiMSJ9.xzPViENhquMNk2f3-aG5kA.eO_YX7NRaDXJ4jsxRfx6LPnG6TLP4j8CQ72Y2wKYM4A&amp;dib_tag=se&amp;keywords=3154146303116&amp;qid=1759925497&amp;sprefix=3154146303116%2Caps%2C73&amp;sr=8-1&amp;th=1</t>
        </is>
      </c>
      <c r="L1102" s="14" t="inlineStr">
        <is>
          <t>B00IOFKWJ2</t>
        </is>
      </c>
      <c r="M1102" s="15" t="n"/>
      <c r="N1102" s="15" t="n"/>
      <c r="O1102" s="15" t="n">
        <v>22.77</v>
      </c>
      <c r="P1102" s="15">
        <f>O1102/1.19</f>
        <v/>
      </c>
      <c r="Q1102" s="15">
        <f>O1102-P1102</f>
        <v/>
      </c>
      <c r="R1102" s="15">
        <f>O1102*0.15</f>
        <v/>
      </c>
      <c r="S1102" s="15" t="n">
        <v>8.35</v>
      </c>
      <c r="T1102" s="15">
        <f>S1102*0.2</f>
        <v/>
      </c>
      <c r="U1102" s="15" t="n">
        <v>0.400000000000002</v>
      </c>
      <c r="V1102" s="15" t="n">
        <v>6.75</v>
      </c>
      <c r="W1102" s="15">
        <f>V1102*0.2</f>
        <v/>
      </c>
      <c r="X1102" s="21">
        <f>O1102-Q1102-R1102-S1102-U1102-V1102+T1102+W1102</f>
        <v/>
      </c>
      <c r="Y1102" s="14" t="n"/>
      <c r="Z1102" s="15">
        <f>O1102+1.5</f>
        <v/>
      </c>
      <c r="AA1102" s="15" t="n"/>
      <c r="AB1102" s="15" t="n"/>
      <c r="AC1102" s="14" t="n"/>
      <c r="AD1102" s="14" t="n"/>
      <c r="AE1102" s="13" t="inlineStr">
        <is>
          <t>NOT_UPLOADED</t>
        </is>
      </c>
    </row>
    <row r="1103" ht="16" customHeight="1">
      <c r="A1103" s="17" t="n"/>
      <c r="B1103" s="17" t="n">
        <v>3154146203102</v>
      </c>
      <c r="C1103" s="13" t="n"/>
      <c r="D1103" s="18" t="n"/>
      <c r="E1103" s="18" t="inlineStr">
        <is>
          <t>ARGO-3154146203102</t>
        </is>
      </c>
      <c r="F1103" s="17" t="n">
        <v>9620310</v>
      </c>
      <c r="G1103" s="18" t="inlineStr">
        <is>
          <t>ARGOPRIMA</t>
        </is>
      </c>
      <c r="H1103" s="18" t="inlineStr">
        <is>
          <t>MAPED</t>
        </is>
      </c>
      <c r="I1103" s="18" t="inlineStr">
        <is>
          <t>Maped 620310 Locher Advanced A6203, Stanzleistung: 20 Blatt, silber</t>
        </is>
      </c>
      <c r="J1103" s="18" t="inlineStr">
        <is>
          <t>No</t>
        </is>
      </c>
      <c r="K1103" s="18" t="inlineStr">
        <is>
          <t>https://www.amazon.de/Maped-620310-Locher-Advanced-Stanzleistung/dp/B00IJS1TQ4/ref=sr_1_1_mod_primary_new?__mk_de_DE=%C3%85M%C3%85%C5%BD%C3%95%C3%91&amp;crid=2VHUV1P0YA9LI&amp;dib=eyJ2IjoiMSJ9.zZMj3awejVmH8L9fjn9aqQ.jaXOdzDfgx5mKANbm0djZp9aUKvJfYbe_j1NrabjoZs&amp;dib_tag=se&amp;keywords=3154146203102&amp;qid=1759925790&amp;sbo=RZvfv%2F%2FHxDF%2BO5021pAnSA%3D%3D&amp;sprefix=3154146203102%2Caps%2C115&amp;sr=8-1</t>
        </is>
      </c>
      <c r="L1103" s="18" t="inlineStr">
        <is>
          <t>B00IJS1TQ4</t>
        </is>
      </c>
      <c r="M1103" s="19" t="n"/>
      <c r="N1103" s="19" t="n"/>
      <c r="O1103" s="19" t="n">
        <v>18.57</v>
      </c>
      <c r="P1103" s="19">
        <f>O1103/1.19</f>
        <v/>
      </c>
      <c r="Q1103" s="19">
        <f>O1103-P1103</f>
        <v/>
      </c>
      <c r="R1103" s="19">
        <f>O1103*0.15</f>
        <v/>
      </c>
      <c r="S1103" s="19" t="n">
        <v>5.2</v>
      </c>
      <c r="T1103" s="19">
        <f>S1103*0.2</f>
        <v/>
      </c>
      <c r="U1103" s="19" t="n">
        <v>0.400000000000002</v>
      </c>
      <c r="V1103" s="19" t="n">
        <v>6.75</v>
      </c>
      <c r="W1103" s="19">
        <f>V1103*0.2</f>
        <v/>
      </c>
      <c r="X1103" s="21">
        <f>O1103-Q1103-R1103-S1103-U1103-V1103+T1103+W1103</f>
        <v/>
      </c>
      <c r="Y1103" s="18" t="n"/>
      <c r="Z1103" s="19">
        <f>O1103+1.5</f>
        <v/>
      </c>
      <c r="AA1103" s="19" t="n"/>
      <c r="AB1103" s="19" t="n"/>
      <c r="AC1103" s="18" t="n"/>
      <c r="AD1103" s="18" t="n"/>
      <c r="AE1103" s="13" t="inlineStr">
        <is>
          <t>NOT_UPLOADED</t>
        </is>
      </c>
    </row>
    <row r="1104" ht="16" customHeight="1">
      <c r="A1104" s="12" t="n">
        <v>3154147491119</v>
      </c>
      <c r="B1104" s="12" t="n">
        <v>3154147491119</v>
      </c>
      <c r="C1104" s="13" t="n"/>
      <c r="D1104" s="14" t="n"/>
      <c r="E1104" s="14" t="inlineStr">
        <is>
          <t>ARG-3154147491119</t>
        </is>
      </c>
      <c r="F1104" s="12" t="n">
        <v>9749111</v>
      </c>
      <c r="G1104" s="14" t="inlineStr">
        <is>
          <t>ARGOPRIMA</t>
        </is>
      </c>
      <c r="H1104" s="14" t="inlineStr">
        <is>
          <t>MAPED</t>
        </is>
      </c>
      <c r="I1104" s="14" t="inlineStr">
        <is>
          <t>Maped 749111 Fineliner Graph'Peps, 12erPack, schwarz</t>
        </is>
      </c>
      <c r="J1104" s="14" t="inlineStr">
        <is>
          <t>No</t>
        </is>
      </c>
      <c r="K1104" s="14" t="inlineStr">
        <is>
          <t>https://www.amazon.de/Maped-749111-Fineliner-GraphPeps-schwarz/dp/B00XYTM0RU/ref=sr_1_1?__mk_de_DE=%C3%85M%C3%85%C5%BD%C3%95%C3%91&amp;crid=1RYNZSI09PLUF&amp;dib=eyJ2IjoiMSJ9.yJfn0-kDbeFNU7n__FTylDhvrk25Cxy9LayZ_W06a1nGjHj071QN20LucGBJIEps.s-fZ1hvErwSC9gjgbTV8OkzQYI_Js0gitZJMF9gDRvE&amp;dib_tag=se&amp;keywords=3154147491119&amp;qid=1760012896&amp;sprefix=3154147491119%2Caps%2C120&amp;sr=8-1&amp;th=1</t>
        </is>
      </c>
      <c r="L1104" s="14" t="inlineStr">
        <is>
          <t>B00XYTM0RU</t>
        </is>
      </c>
      <c r="M1104" s="15" t="n"/>
      <c r="N1104" s="15" t="n"/>
      <c r="O1104" s="15" t="n">
        <v>14.99</v>
      </c>
      <c r="P1104" s="15">
        <f>O1104/1.19</f>
        <v/>
      </c>
      <c r="Q1104" s="15">
        <f>O1104-P1104</f>
        <v/>
      </c>
      <c r="R1104" s="15">
        <f>O1104*0.15</f>
        <v/>
      </c>
      <c r="S1104" s="15" t="n">
        <v>4.73</v>
      </c>
      <c r="T1104" s="15">
        <f>S1104*0.2</f>
        <v/>
      </c>
      <c r="U1104" s="15" t="n">
        <v>0.400000000000002</v>
      </c>
      <c r="V1104" s="15" t="n">
        <v>2.8</v>
      </c>
      <c r="W1104" s="15">
        <f>V1104*0.2</f>
        <v/>
      </c>
      <c r="X1104" s="21">
        <f>O1104-Q1104-R1104-S1104-U1104-V1104+T1104+W1104</f>
        <v/>
      </c>
      <c r="Y1104" s="14" t="n"/>
      <c r="Z1104" s="15">
        <f>O1104+1.5</f>
        <v/>
      </c>
      <c r="AA1104" s="15" t="n"/>
      <c r="AB1104" s="15" t="n"/>
      <c r="AC1104" s="14" t="n"/>
      <c r="AD1104" s="14" t="n"/>
      <c r="AE1104" s="13" t="inlineStr">
        <is>
          <t>NOT_UPLOADED</t>
        </is>
      </c>
    </row>
    <row r="1105" ht="16" customHeight="1">
      <c r="A1105" s="17" t="n">
        <v>3154147491201</v>
      </c>
      <c r="B1105" s="17" t="n">
        <v>3154147491201</v>
      </c>
      <c r="C1105" s="13" t="n"/>
      <c r="D1105" s="18" t="n"/>
      <c r="E1105" s="18" t="inlineStr">
        <is>
          <t>ARG-3154147491201</t>
        </is>
      </c>
      <c r="F1105" s="17" t="n">
        <v>9749120</v>
      </c>
      <c r="G1105" s="18" t="inlineStr">
        <is>
          <t>ARGOPRIMA</t>
        </is>
      </c>
      <c r="H1105" s="18" t="inlineStr">
        <is>
          <t>MAPED</t>
        </is>
      </c>
      <c r="I1105" s="18" t="inlineStr">
        <is>
          <t>Maped 749120 Graph Peps Fineliner – Marina Blau (12 Stück)</t>
        </is>
      </c>
      <c r="J1105" s="18" t="inlineStr">
        <is>
          <t>No</t>
        </is>
      </c>
      <c r="K1105" s="18" t="inlineStr">
        <is>
          <t>https://www.amazon.de/Maped-749120-Graph-Fineliner-Marina-12-St%C3%BCck/dp/B01E6YBNK6/ref=sr_1_1?__mk_de_DE=%C3%85M%C3%85%C5%BD%C3%95%C3%91&amp;crid=125LC3H1R4JST&amp;dib=eyJ2IjoiMSJ9.Z5uNSW29sDFxXQUkgJ1Dw85m3Hq-UyakN2LUOBeNBth9QDDqdRAOX015iiDtInQY4eKeFmhBJyPHlWMCEKDGwA.OR52SsI1h04bl40DKzZXCu6Yv9Az72gVw6QzXyzx9-0&amp;dib_tag=se&amp;keywords=3154147491201&amp;qid=1760013406&amp;sprefix=3154147491201%2Caps%2C110&amp;sr=8-1&amp;th=1</t>
        </is>
      </c>
      <c r="L1105" s="18" t="inlineStr">
        <is>
          <t>B01E6YBNK6</t>
        </is>
      </c>
      <c r="M1105" s="19" t="n"/>
      <c r="N1105" s="19" t="n"/>
      <c r="O1105" s="19" t="n">
        <v>15.99</v>
      </c>
      <c r="P1105" s="19">
        <f>O1105/1.19</f>
        <v/>
      </c>
      <c r="Q1105" s="19">
        <f>O1105-P1105</f>
        <v/>
      </c>
      <c r="R1105" s="19">
        <f>O1105*0.15</f>
        <v/>
      </c>
      <c r="S1105" s="19" t="n">
        <v>4.73</v>
      </c>
      <c r="T1105" s="19">
        <f>S1105*0.2</f>
        <v/>
      </c>
      <c r="U1105" s="19" t="n">
        <v>0.400000000000002</v>
      </c>
      <c r="V1105" s="19" t="n">
        <v>2.8</v>
      </c>
      <c r="W1105" s="19">
        <f>V1105*0.2</f>
        <v/>
      </c>
      <c r="X1105" s="21">
        <f>O1105-Q1105-R1105-S1105-U1105-V1105+T1105+W1105</f>
        <v/>
      </c>
      <c r="Y1105" s="18" t="n"/>
      <c r="Z1105" s="19">
        <f>O1105+1.5</f>
        <v/>
      </c>
      <c r="AA1105" s="19" t="n"/>
      <c r="AB1105" s="19" t="n"/>
      <c r="AC1105" s="18" t="n"/>
      <c r="AD1105" s="18" t="n"/>
      <c r="AE1105" s="13" t="inlineStr">
        <is>
          <t>NOT_UPLOADED</t>
        </is>
      </c>
    </row>
    <row r="1106" ht="16" customHeight="1">
      <c r="A1106" s="12" t="n">
        <v>3154141975134</v>
      </c>
      <c r="B1106" s="12" t="n">
        <v>3154141975134</v>
      </c>
      <c r="C1106" s="13" t="n"/>
      <c r="D1106" s="14" t="n"/>
      <c r="E1106" s="14" t="inlineStr">
        <is>
          <t>ARG-3154141975134</t>
        </is>
      </c>
      <c r="F1106" s="12" t="n">
        <v>9197513</v>
      </c>
      <c r="G1106" s="14" t="inlineStr">
        <is>
          <t>ARGOPRIMA</t>
        </is>
      </c>
      <c r="H1106" s="14" t="inlineStr">
        <is>
          <t>MAPED</t>
        </is>
      </c>
      <c r="I1106" s="14" t="inlineStr">
        <is>
          <t>Cyrkiel start zestaw 5 elementów</t>
        </is>
      </c>
      <c r="J1106" s="14" t="inlineStr">
        <is>
          <t>No</t>
        </is>
      </c>
      <c r="K1106" s="14" t="inlineStr">
        <is>
          <t>https://www.amazon.de/Cyrkiel-start-zestaw-5-element%C3%B3w/dp/B00PDR6I1A/ref=sr_1_1?__mk_de_DE=%C3%85M%C3%85%C5%BD%C3%95%C3%91&amp;crid=3DSAWMRFFZKB9&amp;dib=eyJ2IjoiMSJ9.Yven28xem0Ao_slLQTHmJA.C6q6ynefC1AAsg2ndRT0TnxMB4yKddHVTq6TEQDmWtc&amp;dib_tag=se&amp;keywords=3154141975134&amp;qid=1760013638&amp;sprefix=3154141975134%2Caps%2C101&amp;sr=8-1</t>
        </is>
      </c>
      <c r="L1106" s="14" t="inlineStr">
        <is>
          <t>B00PDR6I1A</t>
        </is>
      </c>
      <c r="M1106" s="15" t="n"/>
      <c r="N1106" s="15" t="n"/>
      <c r="O1106" s="15" t="n">
        <v>10.95</v>
      </c>
      <c r="P1106" s="15">
        <f>O1106/1.19</f>
        <v/>
      </c>
      <c r="Q1106" s="15">
        <f>O1106-P1106</f>
        <v/>
      </c>
      <c r="R1106" s="15">
        <f>O1106*0.15</f>
        <v/>
      </c>
      <c r="S1106" s="15" t="n">
        <v>2.55</v>
      </c>
      <c r="T1106" s="15">
        <f>S1106*0.2</f>
        <v/>
      </c>
      <c r="U1106" s="15" t="n">
        <v>0.400000000000002</v>
      </c>
      <c r="V1106" s="15" t="n">
        <v>2.5</v>
      </c>
      <c r="W1106" s="15">
        <f>V1106*0.2</f>
        <v/>
      </c>
      <c r="X1106" s="21">
        <f>O1106-Q1106-R1106-S1106-U1106-V1106+T1106+W1106</f>
        <v/>
      </c>
      <c r="Y1106" s="14" t="n"/>
      <c r="Z1106" s="15">
        <f>O1106+1.5</f>
        <v/>
      </c>
      <c r="AA1106" s="15" t="n"/>
      <c r="AB1106" s="15" t="n"/>
      <c r="AC1106" s="14" t="n"/>
      <c r="AD1106" s="14" t="n"/>
      <c r="AE1106" s="13" t="inlineStr">
        <is>
          <t>NOT_UPLOADED</t>
        </is>
      </c>
    </row>
    <row r="1107" ht="16" customHeight="1">
      <c r="A1107" s="17" t="n">
        <v>3154141975127</v>
      </c>
      <c r="B1107" s="17" t="n">
        <v>3154141975127</v>
      </c>
      <c r="C1107" s="13" t="n"/>
      <c r="D1107" s="18" t="n"/>
      <c r="E1107" s="18" t="inlineStr">
        <is>
          <t>ARG-3154141975127</t>
        </is>
      </c>
      <c r="F1107" s="17" t="n">
        <v>9197512</v>
      </c>
      <c r="G1107" s="18" t="inlineStr">
        <is>
          <t>ARGOPRIMA</t>
        </is>
      </c>
      <c r="H1107" s="18" t="inlineStr">
        <is>
          <t>MAPED</t>
        </is>
      </c>
      <c r="I1107" s="18" t="inlineStr">
        <is>
          <t>Maped M197512 - Zirkelkasten Start, 3-teilig, grau</t>
        </is>
      </c>
      <c r="J1107" s="18" t="inlineStr">
        <is>
          <t>No</t>
        </is>
      </c>
      <c r="K1107" s="18" t="inlineStr">
        <is>
          <t>https://www.amazon.de/Maped-M197512-Zirkelkasten-Start-3-teilig/dp/B004XBLAEW/ref=sr_1_1?__mk_de_DE=%C3%85M%C3%85%C5%BD%C3%95%C3%91&amp;crid=3GNBX1STA4NRT&amp;dib=eyJ2IjoiMSJ9.S4xvVMpjp5_FSCKco_lbhg.YpHUVWjTnwWkl-4gBG_0i8P25Y9AjqwpLlcOeezoSM4&amp;dib_tag=se&amp;keywords=3154141975127&amp;qid=1760014085&amp;sprefix=3154141975127%2Caps%2C111&amp;sr=8-1</t>
        </is>
      </c>
      <c r="L1107" s="18" t="inlineStr">
        <is>
          <t>B004XBLAEW</t>
        </is>
      </c>
      <c r="M1107" s="19" t="n"/>
      <c r="N1107" s="19" t="n"/>
      <c r="O1107" s="19" t="n">
        <v>9.5</v>
      </c>
      <c r="P1107" s="19">
        <f>O1107/1.19</f>
        <v/>
      </c>
      <c r="Q1107" s="19">
        <f>O1107-P1107</f>
        <v/>
      </c>
      <c r="R1107" s="19">
        <f>O1107*0.15</f>
        <v/>
      </c>
      <c r="S1107" s="19" t="n">
        <v>2.05</v>
      </c>
      <c r="T1107" s="19">
        <f>S1107*0.2</f>
        <v/>
      </c>
      <c r="U1107" s="19" t="n">
        <v>0.400000000000002</v>
      </c>
      <c r="V1107" s="19" t="n">
        <v>2.6</v>
      </c>
      <c r="W1107" s="19">
        <f>V1107*0.2</f>
        <v/>
      </c>
      <c r="X1107" s="21">
        <f>O1107-Q1107-R1107-S1107-U1107-V1107+T1107+W1107</f>
        <v/>
      </c>
      <c r="Y1107" s="18" t="n"/>
      <c r="Z1107" s="19">
        <f>O1107+1.5</f>
        <v/>
      </c>
      <c r="AA1107" s="19" t="n"/>
      <c r="AB1107" s="19" t="n"/>
      <c r="AC1107" s="18" t="n"/>
      <c r="AD1107" s="18" t="n"/>
      <c r="AE1107" s="13" t="inlineStr">
        <is>
          <t>NOT_UPLOADED</t>
        </is>
      </c>
    </row>
    <row r="1108" ht="16" customHeight="1">
      <c r="A1108" s="12" t="n">
        <v>3154140094003</v>
      </c>
      <c r="B1108" s="12" t="n">
        <v>3154140094003</v>
      </c>
      <c r="C1108" s="13" t="n"/>
      <c r="D1108" s="14" t="n"/>
      <c r="E1108" s="14" t="inlineStr">
        <is>
          <t>ARG-3154140094003</t>
        </is>
      </c>
      <c r="F1108" s="12" t="n">
        <v>9009400</v>
      </c>
      <c r="G1108" s="14" t="inlineStr">
        <is>
          <t>ARGOPRIMA</t>
        </is>
      </c>
      <c r="H1108" s="14" t="inlineStr">
        <is>
          <t>MAPED</t>
        </is>
      </c>
      <c r="I1108" s="14" t="inlineStr">
        <is>
          <t>Skalpell Easy'Cut Inkl. 3 Klingen</t>
        </is>
      </c>
      <c r="J1108" s="14" t="inlineStr">
        <is>
          <t>No</t>
        </is>
      </c>
      <c r="K1108" s="14" t="inlineStr">
        <is>
          <t>https://www.amazon.de/Skalpell-EasyCut-Inkl-3-Klingen/dp/B004H3ZO9I/ref=sr_1_1?__mk_de_DE=%C3%85M%C3%85%C5%BD%C3%95%C3%91&amp;crid=3DPG4G98C3F3X&amp;dib=eyJ2IjoiMSJ9.hlN2cvaI2YEpBqjUg-IVbw.LCSXSFYUvgcjHMd-AddKjIse90nK5qqmZamRJN4s81U&amp;dib_tag=se&amp;keywords=3154140094003&amp;qid=1760014417&amp;sprefix=3154140094003%2Caps%2C77&amp;sr=8-1</t>
        </is>
      </c>
      <c r="L1108" s="14" t="inlineStr">
        <is>
          <t>B004H3ZO9I</t>
        </is>
      </c>
      <c r="M1108" s="15" t="n"/>
      <c r="N1108" s="15" t="n"/>
      <c r="O1108" s="15" t="n">
        <v>9.949999999999999</v>
      </c>
      <c r="P1108" s="15">
        <f>O1108/1.19</f>
        <v/>
      </c>
      <c r="Q1108" s="15">
        <f>O1108-P1108</f>
        <v/>
      </c>
      <c r="R1108" s="15">
        <f>O1108*0.15</f>
        <v/>
      </c>
      <c r="S1108" s="15" t="n">
        <v>3.16</v>
      </c>
      <c r="T1108" s="15">
        <f>S1108*0.2</f>
        <v/>
      </c>
      <c r="U1108" s="15" t="n">
        <v>0.400000000000002</v>
      </c>
      <c r="V1108" s="15" t="n">
        <v>2.3</v>
      </c>
      <c r="W1108" s="15">
        <f>V1108*0.2</f>
        <v/>
      </c>
      <c r="X1108" s="21">
        <f>O1108-Q1108-R1108-S1108-U1108-V1108+T1108+W1108</f>
        <v/>
      </c>
      <c r="Y1108" s="14" t="n"/>
      <c r="Z1108" s="15">
        <f>O1108+1.5</f>
        <v/>
      </c>
      <c r="AA1108" s="15" t="n"/>
      <c r="AB1108" s="15" t="n"/>
      <c r="AC1108" s="14" t="n"/>
      <c r="AD1108" s="14" t="n"/>
      <c r="AE1108" s="13" t="inlineStr">
        <is>
          <t>NOT_UPLOADED</t>
        </is>
      </c>
    </row>
    <row r="1109" ht="16" customHeight="1">
      <c r="A1109" s="17" t="n">
        <v>5775005820773</v>
      </c>
      <c r="B1109" s="17" t="n">
        <v>3154140379100</v>
      </c>
      <c r="C1109" s="13" t="n"/>
      <c r="D1109" s="18" t="n"/>
      <c r="E1109" s="18" t="inlineStr">
        <is>
          <t>ARG-5775005820773</t>
        </is>
      </c>
      <c r="F1109" s="17" t="n">
        <v>9037910</v>
      </c>
      <c r="G1109" s="18" t="inlineStr">
        <is>
          <t>ARGOPRIMA</t>
        </is>
      </c>
      <c r="H1109" s="18" t="inlineStr">
        <is>
          <t>MAPED</t>
        </is>
      </c>
      <c r="I1109" s="18" t="inlineStr">
        <is>
          <t>Maped M037910 - Schere Koopy 13 cm, zufällige Farbe</t>
        </is>
      </c>
      <c r="J1109" s="18" t="inlineStr">
        <is>
          <t>No</t>
        </is>
      </c>
      <c r="K1109" s="18" t="inlineStr">
        <is>
          <t>https://www.amazon.de/Maped-M037910-Schere-Koopy-zuf%C3%A4llige/dp/B0013NDVCM/ref=sr_1_1?__mk_de_DE=%C3%85M%C3%85%C5%BD%C3%95%C3%91&amp;crid=2B409JY7IILZ7&amp;dib=eyJ2IjoiMSJ9.03n1fsrBMv5SRXspozKQUBem96qylnG4ysPvkyvBkw8.FggHB3g_zBEk6oor8-cSbQEWUs8cf0ss57vnvD-KhBw&amp;dib_tag=se&amp;keywords=3154140379100&amp;qid=1760014997&amp;sprefix=3154140379100%2Caps%2C95&amp;sr=8-1</t>
        </is>
      </c>
      <c r="L1109" s="18" t="inlineStr">
        <is>
          <t>B0013NDVCM</t>
        </is>
      </c>
      <c r="M1109" s="19" t="n"/>
      <c r="N1109" s="19" t="n"/>
      <c r="O1109" s="19" t="n">
        <v>7.4</v>
      </c>
      <c r="P1109" s="19">
        <f>O1109/1.19</f>
        <v/>
      </c>
      <c r="Q1109" s="19">
        <f>O1109-P1109</f>
        <v/>
      </c>
      <c r="R1109" s="19">
        <f>O1109*0.15</f>
        <v/>
      </c>
      <c r="S1109" s="19" t="n">
        <v>1.67</v>
      </c>
      <c r="T1109" s="19">
        <f>S1109*0.2</f>
        <v/>
      </c>
      <c r="U1109" s="19" t="n">
        <v>0.400000000000002</v>
      </c>
      <c r="V1109" s="19" t="n">
        <v>2.3</v>
      </c>
      <c r="W1109" s="19">
        <f>V1109*0.2</f>
        <v/>
      </c>
      <c r="X1109" s="16">
        <f>O1109-Q1109-R1109-S1109-U1109-V1109+T1109+W1109</f>
        <v/>
      </c>
      <c r="Y1109" s="18" t="n"/>
      <c r="Z1109" s="19">
        <f>O1109+1.5</f>
        <v/>
      </c>
      <c r="AA1109" s="19" t="n"/>
      <c r="AB1109" s="19" t="n"/>
      <c r="AC1109" s="18" t="n"/>
      <c r="AD1109" s="18" t="n"/>
      <c r="AE1109" s="13" t="inlineStr">
        <is>
          <t>NOT_UPLOADED</t>
        </is>
      </c>
    </row>
    <row r="1110" ht="16" customHeight="1">
      <c r="A1110" s="12" t="n">
        <v>3154146347530</v>
      </c>
      <c r="B1110" s="12" t="n">
        <v>3154146347530</v>
      </c>
      <c r="C1110" s="13" t="n"/>
      <c r="D1110" s="14" t="n"/>
      <c r="E1110" s="14" t="inlineStr">
        <is>
          <t>ARG-3154146347530</t>
        </is>
      </c>
      <c r="F1110" s="12" t="n">
        <v>9634753</v>
      </c>
      <c r="G1110" s="14" t="inlineStr">
        <is>
          <t>ARGOPRIMA</t>
        </is>
      </c>
      <c r="H1110" s="14" t="inlineStr">
        <is>
          <t>MAPED</t>
        </is>
      </c>
      <c r="I1110" s="14" t="inlineStr">
        <is>
          <t>Maped Shaker Manual Pencil Sharpener – Pencil Sharpeners (Manual Pencil Sharpener)</t>
        </is>
      </c>
      <c r="J1110" s="14" t="inlineStr">
        <is>
          <t>No</t>
        </is>
      </c>
      <c r="K1110" s="14" t="inlineStr">
        <is>
          <t>https://www.amazon.de/Maped-Shaker-Manual-Sharpener-Sharpeners/dp/B00ABJV626/ref=sr_1_1?__mk_de_DE=%C3%85M%C3%85%C5%BD%C3%95%C3%91&amp;crid=857GCZ0EIUI1&amp;dib=eyJ2IjoiMSJ9.D-xjMr4j4psjI3Ty-Sv6eQ.Imk5z_Jb_3WpPsb-7RKBUccZ6_h0hB2dLGCQlucCbYw&amp;dib_tag=se&amp;keywords=3154146347530&amp;qid=1760016127&amp;sprefix=3154146347530%2Caps%2C116&amp;sr=8-1</t>
        </is>
      </c>
      <c r="L1110" s="14" t="inlineStr">
        <is>
          <t>B00ABJV626</t>
        </is>
      </c>
      <c r="M1110" s="15" t="n"/>
      <c r="N1110" s="15" t="n"/>
      <c r="O1110" s="15" t="n">
        <v>6.65</v>
      </c>
      <c r="P1110" s="15">
        <f>O1110/1.19</f>
        <v/>
      </c>
      <c r="Q1110" s="15">
        <f>O1110-P1110</f>
        <v/>
      </c>
      <c r="R1110" s="15">
        <f>O1110*0.15</f>
        <v/>
      </c>
      <c r="S1110" s="15" t="n">
        <v>0.84</v>
      </c>
      <c r="T1110" s="15">
        <f>S1110*0.2</f>
        <v/>
      </c>
      <c r="U1110" s="15" t="n">
        <v>0.400000000000002</v>
      </c>
      <c r="V1110" s="15" t="n">
        <v>1.92</v>
      </c>
      <c r="W1110" s="15">
        <f>V1110*0.2</f>
        <v/>
      </c>
      <c r="X1110" s="16">
        <f>O1110-Q1110-R1110-S1110-U1110-V1110+T1110+W1110</f>
        <v/>
      </c>
      <c r="Y1110" s="14" t="n"/>
      <c r="Z1110" s="15">
        <f>O1110+1.5</f>
        <v/>
      </c>
      <c r="AA1110" s="15" t="n"/>
      <c r="AB1110" s="15" t="n"/>
      <c r="AC1110" s="14" t="n"/>
      <c r="AD1110" s="14" t="n"/>
      <c r="AE1110" s="13" t="inlineStr">
        <is>
          <t>NOT_UPLOADED</t>
        </is>
      </c>
    </row>
    <row r="1111" ht="16" customHeight="1">
      <c r="A1111" s="17" t="n">
        <v>3154149818891</v>
      </c>
      <c r="B1111" s="17" t="n">
        <v>3154149818891</v>
      </c>
      <c r="C1111" s="13" t="n"/>
      <c r="D1111" s="18" t="n"/>
      <c r="E1111" s="18" t="inlineStr">
        <is>
          <t>ARG-3154149818891</t>
        </is>
      </c>
      <c r="F1111" s="17" t="n">
        <v>9981889</v>
      </c>
      <c r="G1111" s="18" t="inlineStr">
        <is>
          <t>ARGOPRIMA</t>
        </is>
      </c>
      <c r="H1111" s="18" t="inlineStr">
        <is>
          <t>MAPED</t>
        </is>
      </c>
      <c r="I1111" s="18" t="inlineStr">
        <is>
          <t>Maped - 4-tlg. Schul-Set KIDY LEARN CONCENTRATION - Lineal - Anspitzer - Radiergummi - Bleistift inkl. Silikonaufsatz - sensorische Stimulation - Verbesserung der Konzentration - von Lehrern empfohlen</t>
        </is>
      </c>
      <c r="J1111" s="18" t="inlineStr">
        <is>
          <t>No</t>
        </is>
      </c>
      <c r="K1111" s="18" t="inlineStr">
        <is>
          <t>https://www.amazon.de/Maped-CONCENTRATION-Silikonaufsatz-Verbesserung-Konzentration/dp/B0DXFWH2D8/ref=sr_1_1?__mk_de_DE=%C3%85M%C3%85%C5%BD%C3%95%C3%91&amp;crid=20LORVEIOR7M2&amp;dib=eyJ2IjoiMSJ9.AJu0wUJ6THZeqSd-I3Ta7Q.W-EezqVvrZQP4X_D_TX9Gfws_kSFvIaa6CrasdLSpyo&amp;dib_tag=se&amp;keywords=B0DXFWH2D8&amp;qid=1771691399&amp;s=officeproduct&amp;sprefix=b0dxfwh2d8%2Coffice-products%2C213&amp;sr=1-1</t>
        </is>
      </c>
      <c r="L1111" s="18" t="inlineStr">
        <is>
          <t>B0DXFWH2D8</t>
        </is>
      </c>
      <c r="M1111" s="19" t="n"/>
      <c r="N1111" s="19" t="n"/>
      <c r="O1111" s="19" t="n">
        <v>11.45</v>
      </c>
      <c r="P1111" s="19">
        <f>O1111/1.19</f>
        <v/>
      </c>
      <c r="Q1111" s="19">
        <f>O1111-P1111</f>
        <v/>
      </c>
      <c r="R1111" s="19">
        <f>O1111*0.15</f>
        <v/>
      </c>
      <c r="S1111" s="19" t="n">
        <v>4.52</v>
      </c>
      <c r="T1111" s="19">
        <f>S1111*0.2</f>
        <v/>
      </c>
      <c r="U1111" s="19" t="n">
        <v>0.400000000000002</v>
      </c>
      <c r="V1111" s="19" t="n">
        <v>2.6</v>
      </c>
      <c r="W1111" s="19">
        <f>V1111*0.2</f>
        <v/>
      </c>
      <c r="X1111" s="16">
        <f>O1111-Q1111-R1111-S1111-U1111-V1111+T1111+W1111</f>
        <v/>
      </c>
      <c r="Y1111" s="18" t="n"/>
      <c r="Z1111" s="19">
        <f>O1111+1.5</f>
        <v/>
      </c>
      <c r="AA1111" s="19" t="n"/>
      <c r="AB1111" s="19" t="n"/>
      <c r="AC1111" s="18" t="n"/>
      <c r="AD1111" s="18" t="n"/>
      <c r="AE1111" s="13" t="inlineStr">
        <is>
          <t>NOT_UPLOADED</t>
        </is>
      </c>
    </row>
    <row r="1112" ht="16" customHeight="1">
      <c r="A1112" s="12" t="n">
        <v>3154146010052</v>
      </c>
      <c r="B1112" s="12" t="n">
        <v>3154146010052</v>
      </c>
      <c r="C1112" s="13" t="n"/>
      <c r="D1112" s="14" t="n"/>
      <c r="E1112" s="14" t="inlineStr">
        <is>
          <t>ARG-3154146010052</t>
        </is>
      </c>
      <c r="F1112" s="12" t="n">
        <v>9601005</v>
      </c>
      <c r="G1112" s="14" t="inlineStr">
        <is>
          <t>ARGOPRIMA</t>
        </is>
      </c>
      <c r="H1112" s="14" t="inlineStr">
        <is>
          <t>MAPED</t>
        </is>
      </c>
      <c r="I1112" s="14" t="inlineStr">
        <is>
          <t>Maped M601005 - Konturenscheren- Set inklusive 5 unterschiedliche Klingen</t>
        </is>
      </c>
      <c r="J1112" s="14" t="inlineStr">
        <is>
          <t>No</t>
        </is>
      </c>
      <c r="K1112" s="14" t="inlineStr">
        <is>
          <t>https://www.amazon.de/Maped-M601005-Konturenscheren-inklusive-unterschiedliche/dp/B0016A1LDI/ref=sr_1_1?__mk_de_DE=%C3%85M%C3%85%C5%BD%C3%95%C3%91&amp;crid=2769K17CR03TB&amp;dib=eyJ2IjoiMSJ9._WMg8nlcNYxslBLUEGwAiA.EgpxSx_HRDh-fZ_XlAXIDzR6bpYy0T495vEu8YAqZEk&amp;dib_tag=se&amp;keywords=3154146010052&amp;qid=1760016608&amp;sprefix=3154146010052%2Caps%2C120&amp;sr=8-1</t>
        </is>
      </c>
      <c r="L1112" s="14" t="inlineStr">
        <is>
          <t>B0016A1LDI</t>
        </is>
      </c>
      <c r="M1112" s="15" t="n"/>
      <c r="N1112" s="15" t="n"/>
      <c r="O1112" s="15" t="n">
        <v>14.35</v>
      </c>
      <c r="P1112" s="15">
        <f>O1112/1.19</f>
        <v/>
      </c>
      <c r="Q1112" s="15">
        <f>O1112-P1112</f>
        <v/>
      </c>
      <c r="R1112" s="15">
        <f>O1112*0.15</f>
        <v/>
      </c>
      <c r="S1112" s="15" t="n">
        <v>6.35</v>
      </c>
      <c r="T1112" s="15">
        <f>S1112*0.2</f>
        <v/>
      </c>
      <c r="U1112" s="15" t="n">
        <v>0.400000000000002</v>
      </c>
      <c r="V1112" s="15" t="n">
        <v>2.97</v>
      </c>
      <c r="W1112" s="15">
        <f>V1112*0.2</f>
        <v/>
      </c>
      <c r="X1112" s="21">
        <f>O1112-Q1112-R1112-S1112-U1112-V1112+T1112+W1112</f>
        <v/>
      </c>
      <c r="Y1112" s="14" t="n"/>
      <c r="Z1112" s="15">
        <f>O1112+1.5</f>
        <v/>
      </c>
      <c r="AA1112" s="15" t="n"/>
      <c r="AB1112" s="15" t="n"/>
      <c r="AC1112" s="14" t="n"/>
      <c r="AD1112" s="14" t="n"/>
      <c r="AE1112" s="13" t="inlineStr">
        <is>
          <t>NOT_UPLOADED</t>
        </is>
      </c>
    </row>
    <row r="1113" ht="16" customHeight="1">
      <c r="A1113" s="17" t="n">
        <v>3154140391003</v>
      </c>
      <c r="B1113" s="17" t="n">
        <v>3154140391003</v>
      </c>
      <c r="C1113" s="13" t="n"/>
      <c r="D1113" s="18" t="n"/>
      <c r="E1113" s="18" t="inlineStr">
        <is>
          <t>ARG-3154140391003</t>
        </is>
      </c>
      <c r="F1113" s="17" t="n">
        <v>9039100</v>
      </c>
      <c r="G1113" s="18" t="inlineStr">
        <is>
          <t>ARGOPRIMA</t>
        </is>
      </c>
      <c r="H1113" s="18" t="inlineStr">
        <is>
          <t>MAPED</t>
        </is>
      </c>
      <c r="I1113" s="18" t="inlineStr">
        <is>
          <t>Maped Lupe mit Griff, rund, Durchmesser 50 mm 3154140391003</t>
        </is>
      </c>
      <c r="J1113" s="18" t="inlineStr">
        <is>
          <t>No</t>
        </is>
      </c>
      <c r="K1113" s="18" t="inlineStr">
        <is>
          <t>https://www.amazon.de/Maped-Lupe-Griff-Durchmesser-3154140391003/dp/B002JTZX1G/ref=sr_1_2?__mk_de_DE=%C3%85M%C3%85%C5%BD%C3%95%C3%91&amp;crid=2SLH7O7QP8X4T&amp;dib=eyJ2IjoiMSJ9.QlIu6uFM-B6eQYVMZTbHGP3VzC7wzt3KxizNZX2dxFg.gHGXAekMbizyUJoJ1bXhZLXgMILWWkDH0hqEmsbh-0I&amp;dib_tag=se&amp;keywords=3154140391003&amp;qid=1760017346&amp;sprefix=3154140391003%2Caps%2C180&amp;sr=8-2</t>
        </is>
      </c>
      <c r="L1113" s="18" t="inlineStr">
        <is>
          <t>B002JTZX1G</t>
        </is>
      </c>
      <c r="M1113" s="19" t="n"/>
      <c r="N1113" s="19" t="n"/>
      <c r="O1113" s="19" t="n">
        <v>10.5</v>
      </c>
      <c r="P1113" s="19">
        <f>O1113/1.19</f>
        <v/>
      </c>
      <c r="Q1113" s="19">
        <f>O1113-P1113</f>
        <v/>
      </c>
      <c r="R1113" s="19">
        <f>O1113*0.15</f>
        <v/>
      </c>
      <c r="S1113" s="19" t="n">
        <v>3.88</v>
      </c>
      <c r="T1113" s="19">
        <f>S1113*0.2</f>
        <v/>
      </c>
      <c r="U1113" s="19" t="n">
        <v>0.400000000000002</v>
      </c>
      <c r="V1113" s="19" t="n">
        <v>2.25</v>
      </c>
      <c r="W1113" s="19">
        <f>V1113*0.2</f>
        <v/>
      </c>
      <c r="X1113" s="16">
        <f>O1113-Q1113-R1113-S1113-U1113-V1113+T1113+W1113</f>
        <v/>
      </c>
      <c r="Y1113" s="18" t="n"/>
      <c r="Z1113" s="19">
        <f>O1113+1.5</f>
        <v/>
      </c>
      <c r="AA1113" s="19" t="n"/>
      <c r="AB1113" s="19" t="n"/>
      <c r="AC1113" s="18" t="n"/>
      <c r="AD1113" s="18" t="n"/>
      <c r="AE1113" s="13" t="inlineStr">
        <is>
          <t>NOT_UPLOADED</t>
        </is>
      </c>
    </row>
    <row r="1114" ht="16" customHeight="1">
      <c r="A1114" s="12" t="n">
        <v>3154147425244</v>
      </c>
      <c r="B1114" s="12" t="n">
        <v>3154147425244</v>
      </c>
      <c r="C1114" s="13" t="n"/>
      <c r="D1114" s="14" t="n"/>
      <c r="E1114" s="14" t="inlineStr">
        <is>
          <t>ARG-3154147425244</t>
        </is>
      </c>
      <c r="F1114" s="12" t="n">
        <v>9742524</v>
      </c>
      <c r="G1114" s="14" t="inlineStr">
        <is>
          <t>ARGOPRIMA</t>
        </is>
      </c>
      <c r="H1114" s="14" t="inlineStr">
        <is>
          <t>MAPED</t>
        </is>
      </c>
      <c r="I1114" s="14" t="inlineStr">
        <is>
          <t>Maped WIGO Pep'S Classic Textmarker Gelb X1 - Bls</t>
        </is>
      </c>
      <c r="J1114" s="14" t="inlineStr">
        <is>
          <t>No</t>
        </is>
      </c>
      <c r="K1114" s="14" t="inlineStr">
        <is>
          <t>https://www.amazon.de/WIGO-PepS-Classic-Textmarker-Gelb/dp/B01FMM9RQI/ref=sr_1_2?__mk_de_DE=%C3%85M%C3%85%C5%BD%C3%95%C3%91&amp;crid=ODBSQ830UFPP&amp;dib=eyJ2IjoiMSJ9.3LYveLIuXBSvTM8nGUcEgnjfagbWBJHuTbg5GrfJZ4s.PbKbMDn76jlwgw_LjiX8Ov3qGC-NbECsox5UoH_4qd8&amp;dib_tag=se&amp;keywords=3154147425244&amp;qid=1760017527&amp;sprefix=3154147425244%2Caps%2C152&amp;sr=8-2</t>
        </is>
      </c>
      <c r="L1114" s="14" t="inlineStr">
        <is>
          <t>B01FMM9RQI</t>
        </is>
      </c>
      <c r="M1114" s="15" t="n"/>
      <c r="N1114" s="15" t="n"/>
      <c r="O1114" s="15" t="n">
        <v>8.5</v>
      </c>
      <c r="P1114" s="15">
        <f>O1114/1.19</f>
        <v/>
      </c>
      <c r="Q1114" s="15">
        <f>O1114-P1114</f>
        <v/>
      </c>
      <c r="R1114" s="15">
        <f>O1114*0.15</f>
        <v/>
      </c>
      <c r="S1114" s="15" t="n">
        <v>0.57</v>
      </c>
      <c r="T1114" s="15">
        <f>S1114*0.2</f>
        <v/>
      </c>
      <c r="U1114" s="15" t="n">
        <v>0.400000000000002</v>
      </c>
      <c r="V1114" s="15" t="n">
        <v>1.92</v>
      </c>
      <c r="W1114" s="15">
        <f>V1114*0.2</f>
        <v/>
      </c>
      <c r="X1114" s="21">
        <f>O1114-Q1114-R1114-S1114-U1114-V1114+T1114+W1114</f>
        <v/>
      </c>
      <c r="Y1114" s="14" t="n"/>
      <c r="Z1114" s="15">
        <f>O1114+1.5</f>
        <v/>
      </c>
      <c r="AA1114" s="15" t="n"/>
      <c r="AB1114" s="15" t="n"/>
      <c r="AC1114" s="14" t="n"/>
      <c r="AD1114" s="14" t="n"/>
      <c r="AE1114" s="13" t="inlineStr">
        <is>
          <t>NOT_UPLOADED</t>
        </is>
      </c>
    </row>
    <row r="1115" ht="16" customHeight="1">
      <c r="A1115" s="17" t="n">
        <v>3154146407173</v>
      </c>
      <c r="B1115" s="17" t="n">
        <v>3154146407173</v>
      </c>
      <c r="C1115" s="13" t="n"/>
      <c r="D1115" s="18" t="n"/>
      <c r="E1115" s="18" t="inlineStr">
        <is>
          <t>ARG-3154146407173</t>
        </is>
      </c>
      <c r="F1115" s="17" t="n">
        <v>9640717</v>
      </c>
      <c r="G1115" s="18" t="inlineStr">
        <is>
          <t>ARGOPRIMA</t>
        </is>
      </c>
      <c r="H1115" s="18" t="inlineStr">
        <is>
          <t>MAPED</t>
        </is>
      </c>
      <c r="I1115" s="18" t="inlineStr">
        <is>
          <t>Maped M640717 - Ersatzklinge 9 mm, für Cutter, 10 Stück</t>
        </is>
      </c>
      <c r="J1115" s="18" t="inlineStr">
        <is>
          <t>No</t>
        </is>
      </c>
      <c r="K1115" s="18" t="inlineStr">
        <is>
          <t>https://www.amazon.de/Maped-M640717-Ersatzklinge-Cutter-St%C3%BCck/dp/B000WL1U42/ref=sr_1_1?__mk_de_DE=%C3%85M%C3%85%C5%BD%C3%95%C3%91&amp;crid=N0X0AJIIYDJZ&amp;dib=eyJ2IjoiMSJ9.iIbEHPdSw2_wbS-WQV3U0A.s53n0dDFLTp7RkCcfkQCytClIOI0qrE5cK6l6K6dzT0&amp;dib_tag=se&amp;keywords=3154146407173&amp;qid=1760019198&amp;sprefix=3154146407173%2Caps%2C160&amp;sr=8-1&amp;th=1</t>
        </is>
      </c>
      <c r="L1115" s="18" t="inlineStr">
        <is>
          <t>B000WL1U42</t>
        </is>
      </c>
      <c r="M1115" s="19" t="n"/>
      <c r="N1115" s="19" t="n"/>
      <c r="O1115" s="19" t="n">
        <v>7</v>
      </c>
      <c r="P1115" s="19">
        <f>O1115/1.19</f>
        <v/>
      </c>
      <c r="Q1115" s="19">
        <f>O1115-P1115</f>
        <v/>
      </c>
      <c r="R1115" s="19">
        <f>O1115*0.15</f>
        <v/>
      </c>
      <c r="S1115" s="19" t="n">
        <v>1</v>
      </c>
      <c r="T1115" s="19">
        <f>S1115*0.2</f>
        <v/>
      </c>
      <c r="U1115" s="19" t="n">
        <v>0.400000000000002</v>
      </c>
      <c r="V1115" s="19" t="n">
        <v>2</v>
      </c>
      <c r="W1115" s="19">
        <f>V1115*0.2</f>
        <v/>
      </c>
      <c r="X1115" s="21">
        <f>O1115-Q1115-R1115-S1115-U1115-V1115+T1115+W1115</f>
        <v/>
      </c>
      <c r="Y1115" s="18" t="n"/>
      <c r="Z1115" s="19">
        <f>O1115+1.5</f>
        <v/>
      </c>
      <c r="AA1115" s="19" t="n"/>
      <c r="AB1115" s="19" t="n"/>
      <c r="AC1115" s="18" t="n"/>
      <c r="AD1115" s="18" t="n"/>
      <c r="AE1115" s="13" t="inlineStr">
        <is>
          <t>NOT_UPLOADED</t>
        </is>
      </c>
    </row>
    <row r="1116" ht="16" customHeight="1">
      <c r="A1116" s="12" t="n">
        <v>3154140340193</v>
      </c>
      <c r="B1116" s="12" t="n">
        <v>3154140340193</v>
      </c>
      <c r="C1116" s="13" t="n"/>
      <c r="D1116" s="14" t="n"/>
      <c r="E1116" s="14" t="inlineStr">
        <is>
          <t>ARG-3154140340193</t>
        </is>
      </c>
      <c r="F1116" s="12" t="n">
        <v>9034019</v>
      </c>
      <c r="G1116" s="14" t="inlineStr">
        <is>
          <t>ARGOPRIMA</t>
        </is>
      </c>
      <c r="H1116" s="14" t="inlineStr">
        <is>
          <t>MAPED</t>
        </is>
      </c>
      <c r="I1116" s="14" t="inlineStr">
        <is>
          <t>Maped 034019 Satellite 1 Loch Bleistiftspitzer</t>
        </is>
      </c>
      <c r="J1116" s="14" t="inlineStr">
        <is>
          <t>No</t>
        </is>
      </c>
      <c r="K1116" s="14" t="inlineStr">
        <is>
          <t>https://www.amazon.de/Maped-034019-034019-Satellite-1-Loch-Anspitzer/dp/B003155XTO/ref=sr_1_1?__mk_de_DE=%C3%85M%C3%85%C5%BD%C3%95%C3%91&amp;crid=120FCF9HGFZVG&amp;dib=eyJ2IjoiMSJ9.4HyzbSIvrwb8LVxaDyaUwg.ZUpAGZPIe5YjqqbaoowCB41_xHAYRX-S1qNkx4-Df-E&amp;dib_tag=se&amp;keywords=3154140340193&amp;qid=1760019353&amp;sprefix=3154140340193%2Caps%2C95&amp;sr=8-1</t>
        </is>
      </c>
      <c r="L1116" s="14" t="inlineStr">
        <is>
          <t>B003155XTO</t>
        </is>
      </c>
      <c r="M1116" s="15" t="n"/>
      <c r="N1116" s="15" t="n"/>
      <c r="O1116" s="15" t="n">
        <v>7.7</v>
      </c>
      <c r="P1116" s="15">
        <f>O1116/1.19</f>
        <v/>
      </c>
      <c r="Q1116" s="15">
        <f>O1116-P1116</f>
        <v/>
      </c>
      <c r="R1116" s="15">
        <f>O1116*0.15</f>
        <v/>
      </c>
      <c r="S1116" s="15" t="n">
        <v>1</v>
      </c>
      <c r="T1116" s="15">
        <f>S1116*0.2</f>
        <v/>
      </c>
      <c r="U1116" s="15" t="n">
        <v>0.400000000000002</v>
      </c>
      <c r="V1116" s="15" t="n">
        <v>2</v>
      </c>
      <c r="W1116" s="15">
        <f>V1116*0.2</f>
        <v/>
      </c>
      <c r="X1116" s="21">
        <f>O1116-Q1116-R1116-S1116-U1116-V1116+T1116+W1116</f>
        <v/>
      </c>
      <c r="Y1116" s="14" t="n"/>
      <c r="Z1116" s="15">
        <f>O1116+1.5</f>
        <v/>
      </c>
      <c r="AA1116" s="15" t="n"/>
      <c r="AB1116" s="15" t="n"/>
      <c r="AC1116" s="14" t="n"/>
      <c r="AD1116" s="14" t="n"/>
      <c r="AE1116" s="13" t="inlineStr">
        <is>
          <t>NOT_UPLOADED</t>
        </is>
      </c>
    </row>
    <row r="1117" ht="16" customHeight="1">
      <c r="A1117" s="17" t="n">
        <v>3154140378004</v>
      </c>
      <c r="B1117" s="17" t="n">
        <v>3154140378004</v>
      </c>
      <c r="C1117" s="13" t="n"/>
      <c r="D1117" s="18" t="n"/>
      <c r="E1117" s="18" t="inlineStr">
        <is>
          <t>ARG-31541403780042</t>
        </is>
      </c>
      <c r="F1117" s="17" t="n">
        <v>9037800</v>
      </c>
      <c r="G1117" s="18" t="inlineStr">
        <is>
          <t>ARGOPRIMA</t>
        </is>
      </c>
      <c r="H1117" s="18" t="inlineStr">
        <is>
          <t>MAPED</t>
        </is>
      </c>
      <c r="I1117" s="18" t="inlineStr">
        <is>
          <t>Baker Ross Maped Kidi Cut Schere, 12 cm, mit Glasfaserklingen für Kinder</t>
        </is>
      </c>
      <c r="J1117" s="18" t="inlineStr">
        <is>
          <t>No</t>
        </is>
      </c>
      <c r="K1117" s="18" t="inlineStr">
        <is>
          <t>https://www.amazon.de/Baker-Ross-Schere-Glasfaserklingen-Kinder/dp/B001ALQY30/ref=sr_1_1?__mk_de_DE=%C3%85M%C3%85%C5%BD%C3%95%C3%91&amp;crid=W9QWI1KVMN9D&amp;dib=eyJ2IjoiMSJ9.Nhelcse1nmIPySl-5xroDwKhoVuF8u0E8tBT7jIPg4Q.IyZxdoKajzoqzMBhHeGz3P-DcuQ5mgZreTyryccLuQw&amp;dib_tag=se&amp;keywords=3154140378004&amp;qid=1760019520&amp;sprefix=3154140378004%2Caps%2C100&amp;sr=8-1</t>
        </is>
      </c>
      <c r="L1117" s="18" t="inlineStr">
        <is>
          <t>B001ALQY30</t>
        </is>
      </c>
      <c r="M1117" s="19" t="n"/>
      <c r="N1117" s="19" t="n"/>
      <c r="O1117" s="19" t="n">
        <v>6.45</v>
      </c>
      <c r="P1117" s="19">
        <f>O1117/1.19</f>
        <v/>
      </c>
      <c r="Q1117" s="19">
        <f>O1117-P1117</f>
        <v/>
      </c>
      <c r="R1117" s="19">
        <f>O1117*0.15</f>
        <v/>
      </c>
      <c r="S1117" s="19" t="n">
        <v>1.36</v>
      </c>
      <c r="T1117" s="19">
        <f>S1117*0.2</f>
        <v/>
      </c>
      <c r="U1117" s="19" t="n">
        <v>0.400000000000002</v>
      </c>
      <c r="V1117" s="19" t="n">
        <v>2.1</v>
      </c>
      <c r="W1117" s="19">
        <f>V1117*0.2</f>
        <v/>
      </c>
      <c r="X1117" s="16">
        <f>O1117-Q1117-R1117-S1117-U1117-V1117+T1117+W1117</f>
        <v/>
      </c>
      <c r="Y1117" s="18" t="n"/>
      <c r="Z1117" s="19">
        <f>O1117+1.5</f>
        <v/>
      </c>
      <c r="AA1117" s="19" t="n"/>
      <c r="AB1117" s="19" t="n"/>
      <c r="AC1117" s="18" t="n"/>
      <c r="AD1117" s="18" t="n"/>
      <c r="AE1117" s="13" t="inlineStr">
        <is>
          <t>NOT_UPLOADED</t>
        </is>
      </c>
    </row>
    <row r="1118" ht="16" customHeight="1">
      <c r="A1118" s="12" t="n">
        <v>3154140378004</v>
      </c>
      <c r="B1118" s="12" t="n">
        <v>3154140378004</v>
      </c>
      <c r="C1118" s="13" t="n"/>
      <c r="D1118" s="14" t="n"/>
      <c r="E1118" s="14" t="inlineStr">
        <is>
          <t>ARG-3154140378004</t>
        </is>
      </c>
      <c r="F1118" s="12" t="n">
        <v>9037800</v>
      </c>
      <c r="G1118" s="14" t="inlineStr">
        <is>
          <t>ARGOPRIMA</t>
        </is>
      </c>
      <c r="H1118" s="14" t="inlineStr">
        <is>
          <t>MAPED</t>
        </is>
      </c>
      <c r="I1118" s="14" t="inlineStr">
        <is>
          <t>Nobrand Kidicut Security Schere</t>
        </is>
      </c>
      <c r="J1118" s="14" t="inlineStr">
        <is>
          <t>No</t>
        </is>
      </c>
      <c r="K1118" s="14" t="inlineStr">
        <is>
          <t>https://www.amazon.de/Maped-Nobrand-Kidicut-Security-Schere/dp/B0010M8T5K/ref=sr_1_2?__mk_de_DE=%C3%85M%C3%85%C5%BD%C3%95%C3%91&amp;crid=W9QWI1KVMN9D&amp;dib=eyJ2IjoiMSJ9.Nhelcse1nmIPySl-5xroDwKhoVuF8u0E8tBT7jIPg4Q.IyZxdoKajzoqzMBhHeGz3P-DcuQ5mgZreTyryccLuQw&amp;dib_tag=se&amp;keywords=3154140378004&amp;qid=1760019520&amp;sprefix=3154140378004%2Caps%2C100&amp;sr=8-2</t>
        </is>
      </c>
      <c r="L1118" s="14" t="inlineStr">
        <is>
          <t>B0010M8T5K</t>
        </is>
      </c>
      <c r="M1118" s="15" t="n"/>
      <c r="N1118" s="15" t="n"/>
      <c r="O1118" s="15" t="n">
        <v>7.97</v>
      </c>
      <c r="P1118" s="15">
        <f>O1118/1.19</f>
        <v/>
      </c>
      <c r="Q1118" s="15">
        <f>O1118-P1118</f>
        <v/>
      </c>
      <c r="R1118" s="15">
        <f>O1118*0.15</f>
        <v/>
      </c>
      <c r="S1118" s="15" t="n">
        <v>1.45</v>
      </c>
      <c r="T1118" s="15">
        <f>S1118*0.2</f>
        <v/>
      </c>
      <c r="U1118" s="15" t="n">
        <v>0.400000000000002</v>
      </c>
      <c r="V1118" s="15" t="n">
        <v>2.5</v>
      </c>
      <c r="W1118" s="15">
        <f>V1118*0.2</f>
        <v/>
      </c>
      <c r="X1118" s="16">
        <f>O1118-Q1118-R1118-S1118-U1118-V1118+T1118+W1118</f>
        <v/>
      </c>
      <c r="Y1118" s="14" t="n"/>
      <c r="Z1118" s="15">
        <f>O1118+1.5</f>
        <v/>
      </c>
      <c r="AA1118" s="15" t="n"/>
      <c r="AB1118" s="15" t="n"/>
      <c r="AC1118" s="14" t="n"/>
      <c r="AD1118" s="14" t="n"/>
      <c r="AE1118" s="13" t="inlineStr">
        <is>
          <t>NOT_UPLOADED</t>
        </is>
      </c>
    </row>
    <row r="1119" ht="16" customHeight="1">
      <c r="A1119" s="17" t="n">
        <v>3154146407210</v>
      </c>
      <c r="B1119" s="17" t="n">
        <v>3154146407210</v>
      </c>
      <c r="C1119" s="13" t="n"/>
      <c r="D1119" s="18" t="n"/>
      <c r="E1119" s="18" t="inlineStr">
        <is>
          <t>ARG-31541464072102</t>
        </is>
      </c>
      <c r="F1119" s="17" t="n">
        <v>9640721</v>
      </c>
      <c r="G1119" s="18" t="inlineStr">
        <is>
          <t>ARGOPRIMA</t>
        </is>
      </c>
      <c r="H1119" s="18" t="inlineStr">
        <is>
          <t>MAPED</t>
        </is>
      </c>
      <c r="I1119" s="18" t="inlineStr">
        <is>
          <t>Maped CutterErsatzklingen, Klinge 18 mm 3154146407210</t>
        </is>
      </c>
      <c r="J1119" s="18" t="inlineStr">
        <is>
          <t>No</t>
        </is>
      </c>
      <c r="K1119" s="18" t="inlineStr">
        <is>
          <t>https://www.amazon.de/Maped-CutterErsatzklingen-Klinge-18-3154146407210/dp/B005DI990Q/ref=sr_1_1?__mk_de_DE=%C3%85M%C3%85%C5%BD%C3%95%C3%91&amp;crid=1GK93Z7LED41N&amp;dib=eyJ2IjoiMSJ9.Jqi9_7LhYT79sNFGa3kIFEPxfXkJcsfrcPTMbqo1bb_GjHj071QN20LucGBJIEps.SAWq7Ginf5hw9AcB73fHnnE_48Ky7uxkzhr_rc5tWag&amp;dib_tag=se&amp;keywords=3154146407210&amp;qid=1760019712&amp;sprefix=3154146407210%2Caps%2C102&amp;sr=8-1</t>
        </is>
      </c>
      <c r="L1119" s="18" t="inlineStr">
        <is>
          <t>B005DI990Q</t>
        </is>
      </c>
      <c r="M1119" s="19" t="n"/>
      <c r="N1119" s="19" t="n"/>
      <c r="O1119" s="19" t="n">
        <v>8.4</v>
      </c>
      <c r="P1119" s="19">
        <f>O1119/1.19</f>
        <v/>
      </c>
      <c r="Q1119" s="19">
        <f>O1119-P1119</f>
        <v/>
      </c>
      <c r="R1119" s="19">
        <f>O1119*0.15</f>
        <v/>
      </c>
      <c r="S1119" s="19" t="n">
        <v>1.28</v>
      </c>
      <c r="T1119" s="19">
        <f>S1119*0.2</f>
        <v/>
      </c>
      <c r="U1119" s="19" t="n">
        <v>0.400000000000002</v>
      </c>
      <c r="V1119" s="19" t="n">
        <v>2.4</v>
      </c>
      <c r="W1119" s="19">
        <f>V1119*0.2</f>
        <v/>
      </c>
      <c r="X1119" s="21">
        <f>O1119-Q1119-R1119-S1119-U1119-V1119+T1119+W1119</f>
        <v/>
      </c>
      <c r="Y1119" s="18" t="n"/>
      <c r="Z1119" s="19">
        <f>O1119+1.5</f>
        <v/>
      </c>
      <c r="AA1119" s="19" t="n"/>
      <c r="AB1119" s="19" t="n"/>
      <c r="AC1119" s="18" t="n"/>
      <c r="AD1119" s="18" t="n"/>
      <c r="AE1119" s="13" t="inlineStr">
        <is>
          <t>NOT_UPLOADED</t>
        </is>
      </c>
    </row>
    <row r="1120" ht="16" customHeight="1">
      <c r="A1120" s="12" t="n">
        <v>3154146407210</v>
      </c>
      <c r="B1120" s="12" t="n">
        <v>3154146407210</v>
      </c>
      <c r="C1120" s="13" t="n"/>
      <c r="D1120" s="14" t="n"/>
      <c r="E1120" s="14" t="inlineStr">
        <is>
          <t>ARG-31541464072101</t>
        </is>
      </c>
      <c r="F1120" s="12" t="n">
        <v>9640721</v>
      </c>
      <c r="G1120" s="14" t="inlineStr">
        <is>
          <t>ARGOPRIMA</t>
        </is>
      </c>
      <c r="H1120" s="14" t="inlineStr">
        <is>
          <t>MAPED</t>
        </is>
      </c>
      <c r="I1120" s="14" t="inlineStr">
        <is>
          <t>Maped M640721 Ersatzklinge, 18 mm für Cutter, 10 Stück</t>
        </is>
      </c>
      <c r="J1120" s="14" t="inlineStr">
        <is>
          <t>No</t>
        </is>
      </c>
      <c r="K1120" s="14" t="inlineStr">
        <is>
          <t>https://www.amazon.de/Maped-M640721-Ersatzklinge-Cutter-St%C3%BCck/dp/B00SWYPO3Y/ref=sr_1_2?__mk_de_DE=%C3%85M%C3%85%C5%BD%C3%95%C3%91&amp;crid=1GK93Z7LED41N&amp;dib=eyJ2IjoiMSJ9.Jqi9_7LhYT79sNFGa3kIFEPxfXkJcsfrcPTMbqo1bb_GjHj071QN20LucGBJIEps.SAWq7Ginf5hw9AcB73fHnnE_48Ky7uxkzhr_rc5tWag&amp;dib_tag=se&amp;keywords=3154146407210&amp;qid=1760019712&amp;sprefix=3154146407210%2Caps%2C102&amp;sr=8-2&amp;th=1</t>
        </is>
      </c>
      <c r="L1120" s="14" t="inlineStr">
        <is>
          <t>B00SWYPO3Y</t>
        </is>
      </c>
      <c r="M1120" s="15" t="n"/>
      <c r="N1120" s="15" t="n"/>
      <c r="O1120" s="15" t="n">
        <v>7.9</v>
      </c>
      <c r="P1120" s="15">
        <f>O1120/1.19</f>
        <v/>
      </c>
      <c r="Q1120" s="15">
        <f>O1120-P1120</f>
        <v/>
      </c>
      <c r="R1120" s="15">
        <f>O1120*0.15</f>
        <v/>
      </c>
      <c r="S1120" s="15" t="n">
        <v>1.28</v>
      </c>
      <c r="T1120" s="15">
        <f>S1120*0.2</f>
        <v/>
      </c>
      <c r="U1120" s="15" t="n">
        <v>0.400000000000002</v>
      </c>
      <c r="V1120" s="15" t="n">
        <v>2.4</v>
      </c>
      <c r="W1120" s="15">
        <f>V1120*0.2</f>
        <v/>
      </c>
      <c r="X1120" s="21">
        <f>O1120-Q1120-R1120-S1120-U1120-V1120+T1120+W1120</f>
        <v/>
      </c>
      <c r="Y1120" s="14" t="n"/>
      <c r="Z1120" s="15">
        <f>O1120+1.5</f>
        <v/>
      </c>
      <c r="AA1120" s="15" t="n"/>
      <c r="AB1120" s="15" t="n"/>
      <c r="AC1120" s="14" t="n"/>
      <c r="AD1120" s="14" t="n"/>
      <c r="AE1120" s="13" t="inlineStr">
        <is>
          <t>NOT_UPLOADED</t>
        </is>
      </c>
    </row>
    <row r="1121" ht="16" customHeight="1">
      <c r="A1121" s="17" t="n">
        <v>3154146407210</v>
      </c>
      <c r="B1121" s="17" t="n">
        <v>3154146407210</v>
      </c>
      <c r="C1121" s="13" t="n"/>
      <c r="D1121" s="18" t="n"/>
      <c r="E1121" s="18" t="inlineStr">
        <is>
          <t>ARG-3154146407210</t>
        </is>
      </c>
      <c r="F1121" s="17" t="n">
        <v>9640721</v>
      </c>
      <c r="G1121" s="18" t="inlineStr">
        <is>
          <t>ARGOPRIMA</t>
        </is>
      </c>
      <c r="H1121" s="18" t="inlineStr">
        <is>
          <t>MAPED</t>
        </is>
      </c>
      <c r="I1121" s="18" t="inlineStr">
        <is>
          <t>Maped Cutter-Ersatzklingen, Klinge: 18 mm, Inhalt: 10 Stück</t>
        </is>
      </c>
      <c r="J1121" s="18" t="inlineStr">
        <is>
          <t>No</t>
        </is>
      </c>
      <c r="K1121" s="18" t="inlineStr">
        <is>
          <t>https://www.amazon.de/Maped-breit-Cuttermesser-Ersatz-St%C3%BCck/dp/B005KP9D26/ref=sr_1_3?__mk_de_DE=%C3%85M%C3%85%C5%BD%C3%95%C3%91&amp;crid=1GK93Z7LED41N&amp;dib=eyJ2IjoiMSJ9.Jqi9_7LhYT79sNFGa3kIFEPxfXkJcsfrcPTMbqo1bb_GjHj071QN20LucGBJIEps.SAWq7Ginf5hw9AcB73fHnnE_48Ky7uxkzhr_rc5tWag&amp;dib_tag=se&amp;keywords=3154146407210&amp;qid=1760019712&amp;sprefix=3154146407210%2Caps%2C102&amp;sr=8-3</t>
        </is>
      </c>
      <c r="L1121" s="18" t="inlineStr">
        <is>
          <t>B005KP9D26</t>
        </is>
      </c>
      <c r="M1121" s="19" t="n"/>
      <c r="N1121" s="19" t="n"/>
      <c r="O1121" s="19" t="n">
        <v>11.9</v>
      </c>
      <c r="P1121" s="19">
        <f>O1121/1.19</f>
        <v/>
      </c>
      <c r="Q1121" s="19">
        <f>O1121-P1121</f>
        <v/>
      </c>
      <c r="R1121" s="19">
        <f>O1121*0.15</f>
        <v/>
      </c>
      <c r="S1121" s="19" t="n">
        <v>1.28</v>
      </c>
      <c r="T1121" s="19">
        <f>S1121*0.2</f>
        <v/>
      </c>
      <c r="U1121" s="19" t="n">
        <v>0.400000000000002</v>
      </c>
      <c r="V1121" s="19" t="n">
        <v>2.4</v>
      </c>
      <c r="W1121" s="19">
        <f>V1121*0.2</f>
        <v/>
      </c>
      <c r="X1121" s="21">
        <f>O1121-Q1121-R1121-S1121-U1121-V1121+T1121+W1121</f>
        <v/>
      </c>
      <c r="Y1121" s="18" t="n"/>
      <c r="Z1121" s="19">
        <f>O1121+1.5</f>
        <v/>
      </c>
      <c r="AA1121" s="19" t="n"/>
      <c r="AB1121" s="19" t="n"/>
      <c r="AC1121" s="18" t="n"/>
      <c r="AD1121" s="18" t="n"/>
      <c r="AE1121" s="13" t="inlineStr">
        <is>
          <t>NOT_UPLOADED</t>
        </is>
      </c>
    </row>
    <row r="1122" ht="16" customHeight="1">
      <c r="A1122" s="12" t="n"/>
      <c r="B1122" s="12" t="n">
        <v>8710103952664</v>
      </c>
      <c r="C1122" s="13" t="n"/>
      <c r="D1122" s="14" t="n"/>
      <c r="E1122" s="14" t="n"/>
      <c r="F1122" s="12" t="inlineStr">
        <is>
          <t>SCF430/16</t>
        </is>
      </c>
      <c r="G1122" s="14" t="inlineStr">
        <is>
          <t>IVENTAS</t>
        </is>
      </c>
      <c r="H1122" s="14" t="inlineStr">
        <is>
          <t>Philips AVENT</t>
        </is>
      </c>
      <c r="I1122" s="14" t="inlineStr">
        <is>
          <t>Philips Avent Manual Breast Pump Starter Set - Easy Pumping, Storing and Feeding with Natural Motion Technology, Includes Baby bottle, storage cup and transport bag (model SCF430/16)</t>
        </is>
      </c>
      <c r="J1122" s="14" t="inlineStr">
        <is>
          <t>No</t>
        </is>
      </c>
      <c r="K1122" s="14" t="inlineStr">
        <is>
          <t>https://www.amazon.de/-/en/Philips-Avent-Manual-Breast-Starter/dp/B091M96PZ2/ref=sr_1_1?crid=26DLQRSBY9LZW&amp;dib=eyJ2IjoiMSJ9.CDLO5JVt5LlxCI8Ia3heHA.2hmLRChRKFzk8NJZpNzXxnM2bGAB5REFpb9pzup5lE4&amp;dib_tag=se&amp;keywords=8710103952664&amp;qid=1762935694&amp;sprefix=8710103952664%2Caps%2C160&amp;sr=8-1&amp;th=1</t>
        </is>
      </c>
      <c r="L1122" s="14" t="inlineStr">
        <is>
          <t>B091M96PZ2</t>
        </is>
      </c>
      <c r="M1122" s="15" t="n"/>
      <c r="N1122" s="15" t="n"/>
      <c r="O1122" s="15" t="n">
        <v>84</v>
      </c>
      <c r="P1122" s="15">
        <f>O1122/1.19</f>
        <v/>
      </c>
      <c r="Q1122" s="15">
        <f>O1122-P1122</f>
        <v/>
      </c>
      <c r="R1122" s="15">
        <f>O1122*0.15</f>
        <v/>
      </c>
      <c r="S1122" s="15" t="n">
        <v>42.22</v>
      </c>
      <c r="T1122" s="15">
        <f>S1122*0.2</f>
        <v/>
      </c>
      <c r="U1122" s="15" t="n">
        <v>0.400000000000002</v>
      </c>
      <c r="V1122" s="15" t="n">
        <v>10</v>
      </c>
      <c r="W1122" s="15">
        <f>V1122*0.2</f>
        <v/>
      </c>
      <c r="X1122" s="21">
        <f>O1122-Q1122-R1122-S1122-U1122-V1122+T1122+W1122</f>
        <v/>
      </c>
      <c r="Y1122" s="14" t="n"/>
      <c r="Z1122" s="15">
        <f>O1122+1.5</f>
        <v/>
      </c>
      <c r="AA1122" s="15" t="n"/>
      <c r="AB1122" s="15" t="n"/>
      <c r="AC1122" s="14" t="n"/>
      <c r="AD1122" s="14" t="n"/>
      <c r="AE1122" s="13" t="inlineStr">
        <is>
          <t>NOT_UPLOADED</t>
        </is>
      </c>
    </row>
    <row r="1123" ht="16" customHeight="1">
      <c r="A1123" s="17" t="n">
        <v>8710103671602</v>
      </c>
      <c r="B1123" s="17" t="n">
        <v>8710103671602</v>
      </c>
      <c r="C1123" s="13" t="n"/>
      <c r="D1123" s="18" t="inlineStr">
        <is>
          <t>SCF618/10</t>
        </is>
      </c>
      <c r="E1123" s="18" t="inlineStr">
        <is>
          <t>IVE-8710103671602</t>
        </is>
      </c>
      <c r="F1123" s="17" t="inlineStr">
        <is>
          <t>00A.0471.001</t>
        </is>
      </c>
      <c r="G1123" s="18" t="inlineStr">
        <is>
          <t>IVENTAS</t>
        </is>
      </c>
      <c r="H1123" s="18" t="inlineStr">
        <is>
          <t>Philips AVENT</t>
        </is>
      </c>
      <c r="I1123" s="18" t="inlineStr">
        <is>
          <t>Philips - Mug with Lid for Avent SCF 61</t>
        </is>
      </c>
      <c r="J1123" s="18" t="inlineStr">
        <is>
          <t>No</t>
        </is>
      </c>
      <c r="K1123" s="18" t="inlineStr">
        <is>
          <t>https://www.amazon.de/-/en/Philips-Mug-Lid-Avent-SCF/dp/B01J61C6N2/ref=sr_1_1?crid=2CT2D1GV26QYZ&amp;dib=eyJ2IjoiMSJ9.wQ1KA40ICvavMlUMsY9x0A.OVsTn1QyNNSy-qPhY4iGAsW9pIFLMd_aH8m8LD_UiYQ&amp;dib_tag=se&amp;keywords=8710103671602&amp;qid=1762936681&amp;sprefix=8710103671602%2Caps%2C172&amp;sr=8-1</t>
        </is>
      </c>
      <c r="L1123" s="18" t="inlineStr">
        <is>
          <t>B01J61C6N2</t>
        </is>
      </c>
      <c r="M1123" s="19" t="n"/>
      <c r="N1123" s="19" t="n"/>
      <c r="O1123" s="19" t="n">
        <v>28.75</v>
      </c>
      <c r="P1123" s="19">
        <f>O1123/1.19</f>
        <v/>
      </c>
      <c r="Q1123" s="19">
        <f>O1123-P1123</f>
        <v/>
      </c>
      <c r="R1123" s="19">
        <f>O1123*0.15</f>
        <v/>
      </c>
      <c r="S1123" s="19" t="n">
        <v>13.3</v>
      </c>
      <c r="T1123" s="19">
        <f>S1123*0.2</f>
        <v/>
      </c>
      <c r="U1123" s="19" t="n">
        <v>0.400000000000002</v>
      </c>
      <c r="V1123" s="19" t="n">
        <v>4</v>
      </c>
      <c r="W1123" s="19">
        <f>V1123*0.2</f>
        <v/>
      </c>
      <c r="X1123" s="21">
        <f>O1123-Q1123-R1123-S1123-U1123-V1123+T1123+W1123</f>
        <v/>
      </c>
      <c r="Y1123" s="18" t="n"/>
      <c r="Z1123" s="19">
        <f>O1123+1.5</f>
        <v/>
      </c>
      <c r="AA1123" s="19" t="n"/>
      <c r="AB1123" s="19" t="n"/>
      <c r="AC1123" s="18" t="n"/>
      <c r="AD1123" s="18" t="n"/>
      <c r="AE1123" s="13" t="inlineStr">
        <is>
          <t>NOT_UPLOADED</t>
        </is>
      </c>
    </row>
    <row r="1124" ht="16" customHeight="1">
      <c r="A1124" s="12" t="n">
        <v>8710103671596</v>
      </c>
      <c r="B1124" s="12" t="n">
        <v>8710103671602</v>
      </c>
      <c r="C1124" s="13" t="n"/>
      <c r="D1124" s="14" t="inlineStr">
        <is>
          <t>SCF618/10</t>
        </is>
      </c>
      <c r="E1124" s="14" t="inlineStr">
        <is>
          <t>IVE-8710103671596</t>
        </is>
      </c>
      <c r="F1124" s="12" t="inlineStr">
        <is>
          <t>00A.0471.001</t>
        </is>
      </c>
      <c r="G1124" s="14" t="inlineStr">
        <is>
          <t>IVENTAS</t>
        </is>
      </c>
      <c r="H1124" s="14" t="inlineStr">
        <is>
          <t>Philips AVENT</t>
        </is>
      </c>
      <c r="I1124" s="14" t="inlineStr">
        <is>
          <t>Philips SCF618/10 Avent Reusable Breast Milk Storage Cups - Pack of 10</t>
        </is>
      </c>
      <c r="J1124" s="14" t="inlineStr">
        <is>
          <t>No</t>
        </is>
      </c>
      <c r="K1124" s="14" t="inlineStr">
        <is>
          <t>https://www.amazon.de/-/en/Philips-SCF618-10-Reusable-Storage/dp/B00S5T5DLO/ref=pb_allspark_dp_sims_pao_desktop_session_based_d_sccl_1_2/260-8324083-4656706?pd_rd_w=7zPiK&amp;content-id=amzn1.sym.cdb3cd5b-5b29-4346-8344-90969a97eb77&amp;pf_rd_p=cdb3cd5b-5b29-4346-8344-90969a97eb77&amp;pf_rd_r=K7NFQAYSPMYPKEX4JN9D&amp;pd_rd_wg=Jocfo&amp;pd_rd_r=009147ea-e916-4c38-a62e-210333394554&amp;pd_rd_i=B00S5T5DLO&amp;psc=1</t>
        </is>
      </c>
      <c r="L1124" s="14" t="inlineStr">
        <is>
          <t>B00S5T5DLO</t>
        </is>
      </c>
      <c r="M1124" s="15" t="n"/>
      <c r="N1124" s="15" t="n"/>
      <c r="O1124" s="15" t="n">
        <v>26.85</v>
      </c>
      <c r="P1124" s="15">
        <f>O1124/1.19</f>
        <v/>
      </c>
      <c r="Q1124" s="15">
        <f>O1124-P1124</f>
        <v/>
      </c>
      <c r="R1124" s="15">
        <f>O1124*0.15</f>
        <v/>
      </c>
      <c r="S1124" s="15" t="n">
        <v>13.3</v>
      </c>
      <c r="T1124" s="15">
        <f>S1124*0.2</f>
        <v/>
      </c>
      <c r="U1124" s="15" t="n">
        <v>0.400000000000002</v>
      </c>
      <c r="V1124" s="15" t="n">
        <v>4</v>
      </c>
      <c r="W1124" s="15">
        <f>V1124*0.2</f>
        <v/>
      </c>
      <c r="X1124" s="21">
        <f>O1124-Q1124-R1124-S1124-U1124-V1124+T1124+W1124</f>
        <v/>
      </c>
      <c r="Y1124" s="14" t="n"/>
      <c r="Z1124" s="15">
        <f>O1124+1.5</f>
        <v/>
      </c>
      <c r="AA1124" s="15" t="n"/>
      <c r="AB1124" s="15" t="n"/>
      <c r="AC1124" s="14" t="n"/>
      <c r="AD1124" s="14" t="n"/>
      <c r="AE1124" s="13" t="inlineStr">
        <is>
          <t>NOT_UPLOADED</t>
        </is>
      </c>
    </row>
    <row r="1125" ht="16" customHeight="1">
      <c r="A1125" s="17" t="n"/>
      <c r="B1125" s="17" t="n">
        <v>8710103671602</v>
      </c>
      <c r="C1125" s="13" t="n"/>
      <c r="D1125" s="18" t="inlineStr">
        <is>
          <t>SCF618/10</t>
        </is>
      </c>
      <c r="E1125" s="18" t="n"/>
      <c r="F1125" s="17" t="inlineStr">
        <is>
          <t>00A.0471.001</t>
        </is>
      </c>
      <c r="G1125" s="18" t="inlineStr">
        <is>
          <t>IVENTAS</t>
        </is>
      </c>
      <c r="H1125" s="18" t="inlineStr">
        <is>
          <t>Philips AVENT</t>
        </is>
      </c>
      <c r="I1125" s="18" t="inlineStr">
        <is>
          <t>Philips Avent Reusable Breast Milk Storage Cups (10 x 180 ml)</t>
        </is>
      </c>
      <c r="J1125" s="18" t="inlineStr">
        <is>
          <t>No</t>
        </is>
      </c>
      <c r="K1125" s="18" t="inlineStr">
        <is>
          <t>https://www.amazon.de/-/en/Philips-Reusable-Breast-Storage-10/dp/B00M6POLOS/ref=sr_1_2?crid=21S2XM80GUL4T&amp;dib=eyJ2IjoiMSJ9.4WfhvbmUpuxBfw6VUTBtqiAnMcyeYHTyuOAvuS6AL9mbHNOcCwpz12avTEgp5jVv5o_-qiEjIjUf4QDnn1pM9A.kqOMBD-2kdq9g0G-XMosUYAy_BYJXNH6bEhjUqwAGS4&amp;dib_tag=se&amp;keywords=Philips+SCF618%2F10&amp;qid=1762937021&amp;s=baby&amp;sprefix=philips+scf618%2F10%2Cbaby%2C230&amp;sr=1-2</t>
        </is>
      </c>
      <c r="L1125" s="18" t="inlineStr">
        <is>
          <t>B00M6POLOS</t>
        </is>
      </c>
      <c r="M1125" s="19" t="n"/>
      <c r="N1125" s="19" t="n"/>
      <c r="O1125" s="19" t="n">
        <v>32</v>
      </c>
      <c r="P1125" s="19">
        <f>O1125/1.19</f>
        <v/>
      </c>
      <c r="Q1125" s="19">
        <f>O1125-P1125</f>
        <v/>
      </c>
      <c r="R1125" s="19">
        <f>O1125*0.15</f>
        <v/>
      </c>
      <c r="S1125" s="19" t="n">
        <v>13.3</v>
      </c>
      <c r="T1125" s="19">
        <f>S1125*0.2</f>
        <v/>
      </c>
      <c r="U1125" s="19" t="n">
        <v>0.400000000000002</v>
      </c>
      <c r="V1125" s="19" t="n"/>
      <c r="W1125" s="19" t="n"/>
      <c r="X1125" s="21">
        <f>O1125-Q1125-R1125-S1125-U1125-V1125+T1125+W1125</f>
        <v/>
      </c>
      <c r="Y1125" s="18" t="n"/>
      <c r="Z1125" s="19">
        <f>O1125+1.5</f>
        <v/>
      </c>
      <c r="AA1125" s="19" t="n"/>
      <c r="AB1125" s="19" t="n"/>
      <c r="AC1125" s="18" t="n"/>
      <c r="AD1125" s="18" t="n"/>
      <c r="AE1125" s="13" t="inlineStr">
        <is>
          <t>NOT_UPLOADED</t>
        </is>
      </c>
    </row>
    <row r="1126" ht="16" customHeight="1">
      <c r="A1126" s="12" t="n"/>
      <c r="B1126" s="12" t="n">
        <v>8710103671688</v>
      </c>
      <c r="C1126" s="13" t="n"/>
      <c r="D1126" s="14" t="inlineStr">
        <is>
          <t>SCF619/05</t>
        </is>
      </c>
      <c r="E1126" s="14" t="n"/>
      <c r="F1126" s="12" t="inlineStr">
        <is>
          <t>00A.0473.001</t>
        </is>
      </c>
      <c r="G1126" s="14" t="inlineStr">
        <is>
          <t>IVENTAS</t>
        </is>
      </c>
      <c r="H1126" s="14" t="inlineStr">
        <is>
          <t>Philips AVENT</t>
        </is>
      </c>
      <c r="I1126" s="14" t="inlineStr">
        <is>
          <t>Philips Avent SCF619 / 05 storage cup, 5 x 180 ml, blue</t>
        </is>
      </c>
      <c r="J1126" s="14" t="inlineStr">
        <is>
          <t>No</t>
        </is>
      </c>
      <c r="K1126" s="14" t="inlineStr">
        <is>
          <t>https://www.amazon.de/-/en/Philips-Avent-SCF619-05-storage/dp/B00M6POLNO/ref=sr_1_1?crid=2PB2OLH4E00PP&amp;dib=eyJ2IjoiMSJ9.LY0-eW2pTDS26m0tuEVq5dLlaWb8bk-8M5EbGsDlBBucEmFFoKA3FO6lT2sbsf6Jr69Ow36zgyFQzwEwYlKQn8jWNOONVJNBVxtAMTWoJeD7zaNJ0pxidNLFkwRUAwDH.ASRRFzUN3jNw5r0b3eFZpTBwTdPxLat6tJNQ0L4gRso&amp;dib_tag=se&amp;keywords=AVENT%2BSCF619%2F05&amp;qid=1762938178&amp;sprefix=avent%2Bscf619%2F05%2Caps%2C191&amp;sr=8-1&amp;th=1</t>
        </is>
      </c>
      <c r="L1126" s="14" t="inlineStr">
        <is>
          <t>B00M6POLNO</t>
        </is>
      </c>
      <c r="M1126" s="15" t="n"/>
      <c r="N1126" s="15" t="n"/>
      <c r="O1126" s="15" t="n">
        <v>15.99</v>
      </c>
      <c r="P1126" s="15">
        <f>O1126/1.19</f>
        <v/>
      </c>
      <c r="Q1126" s="15">
        <f>O1126-P1126</f>
        <v/>
      </c>
      <c r="R1126" s="15">
        <f>O1126*0.15</f>
        <v/>
      </c>
      <c r="S1126" s="15" t="n">
        <v>7.47</v>
      </c>
      <c r="T1126" s="15">
        <f>S1126*0.2</f>
        <v/>
      </c>
      <c r="U1126" s="15" t="n">
        <v>0.400000000000002</v>
      </c>
      <c r="V1126" s="15" t="n">
        <v>3</v>
      </c>
      <c r="W1126" s="15">
        <f>V1126*0.2</f>
        <v/>
      </c>
      <c r="X1126" s="21">
        <f>O1126-Q1126-R1126-S1126-U1126-V1126+T1126+W1126</f>
        <v/>
      </c>
      <c r="Y1126" s="14" t="n"/>
      <c r="Z1126" s="15">
        <f>O1126+1.5</f>
        <v/>
      </c>
      <c r="AA1126" s="15" t="n"/>
      <c r="AB1126" s="15" t="n"/>
      <c r="AC1126" s="14" t="n"/>
      <c r="AD1126" s="14" t="n"/>
      <c r="AE1126" s="13" t="inlineStr">
        <is>
          <t>NOT_UPLOADED</t>
        </is>
      </c>
    </row>
    <row r="1127" ht="16" customHeight="1">
      <c r="A1127" s="17" t="n"/>
      <c r="B1127" s="17" t="n">
        <v>8710103637363</v>
      </c>
      <c r="C1127" s="13" t="n"/>
      <c r="D1127" s="18" t="inlineStr">
        <is>
          <t>SCF603/25</t>
        </is>
      </c>
      <c r="E1127" s="18" t="n"/>
      <c r="F1127" s="17" t="inlineStr">
        <is>
          <t>00A.0470.001</t>
        </is>
      </c>
      <c r="G1127" s="18" t="inlineStr">
        <is>
          <t>IVENTAS</t>
        </is>
      </c>
      <c r="H1127" s="18" t="inlineStr">
        <is>
          <t>Philips AVENT</t>
        </is>
      </c>
      <c r="I1127" s="18" t="inlineStr">
        <is>
          <t>Philips Avent Breast Milk Bags 180 ml for Storing and Freezing Breast Milk, SCF603/25, Pre-Sterilised, Pack of 25, White, Pack of 25 (1 Pack)</t>
        </is>
      </c>
      <c r="J1127" s="18" t="inlineStr">
        <is>
          <t>No</t>
        </is>
      </c>
      <c r="K1127" s="18" t="inlineStr">
        <is>
          <t>https://www.amazon.de/-/en/Philips-Freezing-SCF603-25-Pre-Sterilised/dp/B00VO81H4U/ref=sr_1_1?crid=2RHIFJM5G7UYG&amp;dib=eyJ2IjoiMSJ9.n-LNvxp1Sdq3gtt2n8B7AZp5thJD-QylTGhZh8vavUzGjHj071QN20LucGBJIEps.P4d8KUAIptPgWNgsB9Zw3MQm683_rR94g_DZCdJu0qk&amp;dib_tag=se&amp;keywords=SCF603%2F25&amp;qid=1762938460&amp;sprefix=scf603%2F25%2Caps%2C110&amp;sr=8-1</t>
        </is>
      </c>
      <c r="L1127" s="18" t="inlineStr">
        <is>
          <t>B00VO81H4U</t>
        </is>
      </c>
      <c r="M1127" s="19" t="n"/>
      <c r="N1127" s="19" t="n"/>
      <c r="O1127" s="19" t="n">
        <v>14.95</v>
      </c>
      <c r="P1127" s="19">
        <f>O1127/1.19</f>
        <v/>
      </c>
      <c r="Q1127" s="19">
        <f>O1127-P1127</f>
        <v/>
      </c>
      <c r="R1127" s="19">
        <f>O1127*0.15</f>
        <v/>
      </c>
      <c r="S1127" s="19" t="n">
        <v>5.72</v>
      </c>
      <c r="T1127" s="19">
        <f>S1127*0.2</f>
        <v/>
      </c>
      <c r="U1127" s="19" t="n">
        <v>0.400000000000002</v>
      </c>
      <c r="V1127" s="19" t="n">
        <v>2.5</v>
      </c>
      <c r="W1127" s="19">
        <f>V1127*0.2</f>
        <v/>
      </c>
      <c r="X1127" s="21">
        <f>O1127-Q1127-R1127-S1127-U1127-V1127+T1127+W1127</f>
        <v/>
      </c>
      <c r="Y1127" s="18" t="n"/>
      <c r="Z1127" s="19">
        <f>O1127+1.5</f>
        <v/>
      </c>
      <c r="AA1127" s="19" t="n"/>
      <c r="AB1127" s="19" t="n"/>
      <c r="AC1127" s="18" t="n"/>
      <c r="AD1127" s="18" t="n"/>
      <c r="AE1127" s="13" t="inlineStr">
        <is>
          <t>NOT_UPLOADED</t>
        </is>
      </c>
    </row>
    <row r="1128" ht="16" customHeight="1">
      <c r="A1128" s="12" t="inlineStr">
        <is>
          <t>B00GB13QY4</t>
        </is>
      </c>
      <c r="B1128" s="12" t="n">
        <v>8710103637363</v>
      </c>
      <c r="C1128" s="13" t="n"/>
      <c r="D1128" s="14" t="inlineStr">
        <is>
          <t>SCF603/25</t>
        </is>
      </c>
      <c r="E1128" s="14" t="inlineStr">
        <is>
          <t>IVE-8710103637363</t>
        </is>
      </c>
      <c r="F1128" s="12" t="inlineStr">
        <is>
          <t>00A.0470.001</t>
        </is>
      </c>
      <c r="G1128" s="14" t="inlineStr">
        <is>
          <t>IVENTAS</t>
        </is>
      </c>
      <c r="H1128" s="14" t="inlineStr">
        <is>
          <t>Philips AVENT</t>
        </is>
      </c>
      <c r="I1128" s="14" t="inlineStr">
        <is>
          <t>Philips AVENT – 25 Of Breast Milk Storage Bags with Breast Pump Package of 25 bags white</t>
        </is>
      </c>
      <c r="J1128" s="14" t="inlineStr">
        <is>
          <t>No</t>
        </is>
      </c>
      <c r="K1128" s="14" t="inlineStr">
        <is>
          <t>https://www.amazon.de/dp/B00GB13QY4?th=1</t>
        </is>
      </c>
      <c r="L1128" s="14" t="inlineStr">
        <is>
          <t>B00GB13QY4</t>
        </is>
      </c>
      <c r="M1128" s="15" t="n"/>
      <c r="N1128" s="15" t="n"/>
      <c r="O1128" s="15" t="n">
        <v>14.2</v>
      </c>
      <c r="P1128" s="15">
        <f>O1128/1.19</f>
        <v/>
      </c>
      <c r="Q1128" s="15">
        <f>O1128-P1128</f>
        <v/>
      </c>
      <c r="R1128" s="15">
        <f>O1128*0.15</f>
        <v/>
      </c>
      <c r="S1128" s="15" t="n">
        <v>5.72</v>
      </c>
      <c r="T1128" s="15">
        <f>S1128*0.2</f>
        <v/>
      </c>
      <c r="U1128" s="15" t="n">
        <v>0.400000000000002</v>
      </c>
      <c r="V1128" s="15" t="n">
        <v>2.3</v>
      </c>
      <c r="W1128" s="15">
        <f>V1128*0.2</f>
        <v/>
      </c>
      <c r="X1128" s="21">
        <f>O1128-Q1128-R1128-S1128-U1128-V1128+T1128+W1128</f>
        <v/>
      </c>
      <c r="Y1128" s="14" t="n"/>
      <c r="Z1128" s="15">
        <f>O1128+1.5</f>
        <v/>
      </c>
      <c r="AA1128" s="15" t="n"/>
      <c r="AB1128" s="15" t="n"/>
      <c r="AC1128" s="14" t="n"/>
      <c r="AD1128" s="14" t="n"/>
      <c r="AE1128" s="13" t="inlineStr">
        <is>
          <t>NOT_UPLOADED</t>
        </is>
      </c>
    </row>
    <row r="1129" ht="16" customHeight="1">
      <c r="A1129" s="17" t="n"/>
      <c r="B1129" s="17" t="n">
        <v>8710103911258</v>
      </c>
      <c r="C1129" s="13" t="n"/>
      <c r="D1129" s="18" t="n"/>
      <c r="E1129" s="18" t="n"/>
      <c r="F1129" s="17" t="inlineStr">
        <is>
          <t>SCF153/03</t>
        </is>
      </c>
      <c r="G1129" s="18" t="inlineStr">
        <is>
          <t>IVENTAS</t>
        </is>
      </c>
      <c r="H1129" s="18" t="inlineStr">
        <is>
          <t>Philips AVENT</t>
        </is>
      </c>
      <c r="I1129" s="18" t="inlineStr">
        <is>
          <t>Philips Avent Brusthütchen (Modell SCF153/03)</t>
        </is>
      </c>
      <c r="J1129" s="18" t="inlineStr">
        <is>
          <t>No</t>
        </is>
      </c>
      <c r="K1129" s="18" t="inlineStr">
        <is>
          <t>https://www.amazon.de/-/en/Philips-Brusth%C3%BCtchen-Modell-SCF153-03/dp/B07WC4PCRP/ref=sr_1_2?dib=eyJ2IjoiMSJ9.M48tQeQq48IibI4uDT4T4lRvGhAEoPFsWWmmxoIwBZaFrp15vmhR4gdx6TgnkvpJrp7eXHTZtm89bMCks4SExA.O1zplQaPoprWZnTM4CxZBndlztGSI95srM4KAwUdvig&amp;dib_tag=se&amp;keywords=SCF153%2F03&amp;qid=1762939068&amp;sr=8-2&amp;th=1</t>
        </is>
      </c>
      <c r="L1129" s="18" t="inlineStr">
        <is>
          <t>B07WC4PCRP</t>
        </is>
      </c>
      <c r="M1129" s="19" t="n"/>
      <c r="N1129" s="19" t="n"/>
      <c r="O1129" s="19" t="n">
        <v>17.1</v>
      </c>
      <c r="P1129" s="19">
        <f>O1129/1.19</f>
        <v/>
      </c>
      <c r="Q1129" s="19">
        <f>O1129-P1129</f>
        <v/>
      </c>
      <c r="R1129" s="19">
        <f>O1129*0.15</f>
        <v/>
      </c>
      <c r="S1129" s="19" t="n">
        <v>8.970000000000001</v>
      </c>
      <c r="T1129" s="19">
        <f>S1129*0.2</f>
        <v/>
      </c>
      <c r="U1129" s="19" t="n">
        <v>0.400000000000002</v>
      </c>
      <c r="V1129" s="19" t="n">
        <v>2</v>
      </c>
      <c r="W1129" s="19">
        <f>V1129*0.2</f>
        <v/>
      </c>
      <c r="X1129" s="21">
        <f>O1129-Q1129-R1129-S1129-U1129-V1129+T1129+W1129</f>
        <v/>
      </c>
      <c r="Y1129" s="18" t="n"/>
      <c r="Z1129" s="19">
        <f>O1129+1.5</f>
        <v/>
      </c>
      <c r="AA1129" s="19" t="n"/>
      <c r="AB1129" s="19" t="n"/>
      <c r="AC1129" s="18" t="n"/>
      <c r="AD1129" s="18" t="n"/>
      <c r="AE1129" s="13" t="inlineStr">
        <is>
          <t>NOT_UPLOADED</t>
        </is>
      </c>
    </row>
    <row r="1130" ht="16" customHeight="1">
      <c r="A1130" s="12" t="n">
        <v>75020086303</v>
      </c>
      <c r="B1130" s="12" t="n">
        <v>8710103911258</v>
      </c>
      <c r="C1130" s="13" t="n"/>
      <c r="D1130" s="14" t="inlineStr">
        <is>
          <t>SCF153/03</t>
        </is>
      </c>
      <c r="E1130" s="14" t="inlineStr">
        <is>
          <t>IVE-0075020086303</t>
        </is>
      </c>
      <c r="F1130" s="12" t="inlineStr">
        <is>
          <t>00A.0029.002</t>
        </is>
      </c>
      <c r="G1130" s="14" t="inlineStr">
        <is>
          <t>IVENTAS</t>
        </is>
      </c>
      <c r="H1130" s="14" t="inlineStr">
        <is>
          <t>Philips AVENT</t>
        </is>
      </c>
      <c r="I1130" s="14" t="inlineStr">
        <is>
          <t>Philips AVENT SCF153/03 Nipple Protectors with Storage Box Medium (Pack of 2)</t>
        </is>
      </c>
      <c r="J1130" s="14" t="inlineStr">
        <is>
          <t>No</t>
        </is>
      </c>
      <c r="K1130" s="14" t="inlineStr">
        <is>
          <t>https://www.amazon.de/-/en/Philips-SCF153-03-Protectors-Storage/dp/B07T8C17L4/ref=sr_1_3?dib=eyJ2IjoiMSJ9.M48tQeQq48IibI4uDT4T4lRvGhAEoPFsWWmmxoIwBZaFrp15vmhR4gdx6TgnkvpJrp7eXHTZtm89bMCks4SExA.O1zplQaPoprWZnTM4CxZBndlztGSI95srM4KAwUdvig&amp;dib_tag=se&amp;keywords=SCF153%2F03&amp;qid=1762939329&amp;sr=8-3</t>
        </is>
      </c>
      <c r="L1130" s="14" t="inlineStr">
        <is>
          <t>B07T8C17L4</t>
        </is>
      </c>
      <c r="M1130" s="15" t="n"/>
      <c r="N1130" s="15" t="n"/>
      <c r="O1130" s="15" t="n">
        <v>13.95</v>
      </c>
      <c r="P1130" s="15">
        <f>O1130/1.19</f>
        <v/>
      </c>
      <c r="Q1130" s="15">
        <f>O1130-P1130</f>
        <v/>
      </c>
      <c r="R1130" s="15">
        <f>O1130*0.15</f>
        <v/>
      </c>
      <c r="S1130" s="15" t="n">
        <v>7.17</v>
      </c>
      <c r="T1130" s="15">
        <f>S1130*0.2</f>
        <v/>
      </c>
      <c r="U1130" s="15" t="n">
        <v>0.400000000000002</v>
      </c>
      <c r="V1130" s="15" t="n">
        <v>2</v>
      </c>
      <c r="W1130" s="15">
        <f>V1130*0.2</f>
        <v/>
      </c>
      <c r="X1130" s="16">
        <f>O1130-Q1130-R1130-S1130-U1130-V1130+T1130+W1130</f>
        <v/>
      </c>
      <c r="Y1130" s="14" t="n"/>
      <c r="Z1130" s="15">
        <f>O1130+1.5</f>
        <v/>
      </c>
      <c r="AA1130" s="15" t="n"/>
      <c r="AB1130" s="15" t="n"/>
      <c r="AC1130" s="14" t="n"/>
      <c r="AD1130" s="14" t="n"/>
      <c r="AE1130" s="13" t="inlineStr">
        <is>
          <t>NOT_UPLOADED</t>
        </is>
      </c>
    </row>
    <row r="1131" ht="16" customHeight="1">
      <c r="A1131" s="17" t="n"/>
      <c r="B1131" s="17" t="n">
        <v>8710103911258</v>
      </c>
      <c r="C1131" s="13" t="n"/>
      <c r="D1131" s="18" t="n"/>
      <c r="E1131" s="18" t="n"/>
      <c r="F1131" s="17" t="inlineStr">
        <is>
          <t>SCF153/03</t>
        </is>
      </c>
      <c r="G1131" s="18" t="inlineStr">
        <is>
          <t>IVENTAS</t>
        </is>
      </c>
      <c r="H1131" s="18" t="inlineStr">
        <is>
          <t>Philips AVENT</t>
        </is>
      </c>
      <c r="I1131" s="18" t="inlineStr">
        <is>
          <t>Avent Pezoneras Silicona T/M 2 Unid</t>
        </is>
      </c>
      <c r="J1131" s="18" t="inlineStr">
        <is>
          <t>No</t>
        </is>
      </c>
      <c r="K1131" s="18" t="inlineStr">
        <is>
          <t>https://www.amazon.de/-/en/SCF153-03-Avent-Pezoneras-Silicona/dp/B07Y3K7K97/ref=sr_1_4?dib=eyJ2IjoiMSJ9.M48tQeQq48IibI4uDT4T4lRvGhAEoPFsWWmmxoIwBZaFrp15vmhR4gdx6TgnkvpJrp7eXHTZtm89bMCks4SExA.O1zplQaPoprWZnTM4CxZBndlztGSI95srM4KAwUdvig&amp;dib_tag=se&amp;keywords=SCF153%2F03&amp;qid=1762939329&amp;sr=8-4&amp;th=1</t>
        </is>
      </c>
      <c r="L1131" s="18" t="inlineStr">
        <is>
          <t>B07Y3K7K97</t>
        </is>
      </c>
      <c r="M1131" s="19" t="n"/>
      <c r="N1131" s="19" t="n"/>
      <c r="O1131" s="19" t="n">
        <v>17.1</v>
      </c>
      <c r="P1131" s="19">
        <f>O1131/1.19</f>
        <v/>
      </c>
      <c r="Q1131" s="19">
        <f>O1131-P1131</f>
        <v/>
      </c>
      <c r="R1131" s="19">
        <f>O1131*0.15</f>
        <v/>
      </c>
      <c r="S1131" s="19" t="n">
        <v>8.970000000000001</v>
      </c>
      <c r="T1131" s="19">
        <f>S1131*0.2</f>
        <v/>
      </c>
      <c r="U1131" s="19" t="n">
        <v>0.400000000000002</v>
      </c>
      <c r="V1131" s="19" t="n">
        <v>2</v>
      </c>
      <c r="W1131" s="19">
        <f>V1131*0.2</f>
        <v/>
      </c>
      <c r="X1131" s="21">
        <f>O1131-Q1131-R1131-S1131-U1131-V1131+T1131+W1131</f>
        <v/>
      </c>
      <c r="Y1131" s="18" t="n"/>
      <c r="Z1131" s="19">
        <f>O1131+1.5</f>
        <v/>
      </c>
      <c r="AA1131" s="19" t="n"/>
      <c r="AB1131" s="19" t="n"/>
      <c r="AC1131" s="18" t="n"/>
      <c r="AD1131" s="18" t="n"/>
      <c r="AE1131" s="13" t="inlineStr">
        <is>
          <t>NOT_UPLOADED</t>
        </is>
      </c>
    </row>
    <row r="1132" ht="16" customHeight="1">
      <c r="A1132" s="12" t="n"/>
      <c r="B1132" s="12" t="n">
        <v>8710103911258</v>
      </c>
      <c r="C1132" s="13" t="n"/>
      <c r="D1132" s="14" t="n"/>
      <c r="E1132" s="14" t="n"/>
      <c r="F1132" s="12" t="inlineStr">
        <is>
          <t>SCF153/03</t>
        </is>
      </c>
      <c r="G1132" s="14" t="inlineStr">
        <is>
          <t>IVENTAS</t>
        </is>
      </c>
      <c r="H1132" s="14" t="inlineStr">
        <is>
          <t>Philips AVENT</t>
        </is>
      </c>
      <c r="I1132" s="14" t="inlineStr">
        <is>
          <t>Philips Avent SCF153/03 Cream Blossom Protection Mould for Contact with the Skin - Protection of Irritated Beard Hooks - Designed to facilitate Suction - Hygienic Case - SCF153/03</t>
        </is>
      </c>
      <c r="J1132" s="14" t="inlineStr">
        <is>
          <t>No</t>
        </is>
      </c>
      <c r="K1132" s="14" t="inlineStr">
        <is>
          <t>https://www.amazon.de/-/en/Philips-SCF153-03-Blossom-Protection/dp/B08Q8YHPLG/ref=sr_1_5?dib=eyJ2IjoiMSJ9.M48tQeQq48IibI4uDT4T4lRvGhAEoPFsWWmmxoIwBZaFrp15vmhR4gdx6TgnkvpJrp7eXHTZtm89bMCks4SExA.O1zplQaPoprWZnTM4CxZBndlztGSI95srM4KAwUdvig&amp;dib_tag=se&amp;keywords=SCF153%2F03&amp;qid=1762939329&amp;sr=8-5</t>
        </is>
      </c>
      <c r="L1132" s="14" t="inlineStr">
        <is>
          <t>B08Q8YHPLG</t>
        </is>
      </c>
      <c r="M1132" s="15" t="n"/>
      <c r="N1132" s="15" t="n"/>
      <c r="O1132" s="15" t="n">
        <v>17.1</v>
      </c>
      <c r="P1132" s="15">
        <f>O1132/1.19</f>
        <v/>
      </c>
      <c r="Q1132" s="15">
        <f>O1132-P1132</f>
        <v/>
      </c>
      <c r="R1132" s="15">
        <f>O1132*0.15</f>
        <v/>
      </c>
      <c r="S1132" s="15" t="n">
        <v>8.970000000000001</v>
      </c>
      <c r="T1132" s="15">
        <f>S1132*0.2</f>
        <v/>
      </c>
      <c r="U1132" s="15" t="n">
        <v>0.400000000000002</v>
      </c>
      <c r="V1132" s="15" t="n">
        <v>2</v>
      </c>
      <c r="W1132" s="15">
        <f>V1132*0.2</f>
        <v/>
      </c>
      <c r="X1132" s="21">
        <f>O1132-Q1132-R1132-S1132-U1132-V1132+T1132+W1132</f>
        <v/>
      </c>
      <c r="Y1132" s="14" t="n"/>
      <c r="Z1132" s="15">
        <f>O1132+1.5</f>
        <v/>
      </c>
      <c r="AA1132" s="15" t="n"/>
      <c r="AB1132" s="15" t="n"/>
      <c r="AC1132" s="14" t="n"/>
      <c r="AD1132" s="14" t="n"/>
      <c r="AE1132" s="13" t="inlineStr">
        <is>
          <t>NOT_UPLOADED</t>
        </is>
      </c>
    </row>
    <row r="1133" ht="16" customHeight="1">
      <c r="A1133" s="17" t="n"/>
      <c r="B1133" s="17" t="n">
        <v>8710103911234</v>
      </c>
      <c r="C1133" s="13" t="n"/>
      <c r="D1133" s="18" t="inlineStr">
        <is>
          <t>NOT AVAILABLE</t>
        </is>
      </c>
      <c r="E1133" s="18" t="n"/>
      <c r="F1133" s="17" t="inlineStr">
        <is>
          <t>SCF153/01</t>
        </is>
      </c>
      <c r="G1133" s="18" t="inlineStr">
        <is>
          <t>IVENTAS</t>
        </is>
      </c>
      <c r="H1133" s="18" t="inlineStr">
        <is>
          <t>Philips AVENT</t>
        </is>
      </c>
      <c r="I1133" s="18" t="inlineStr">
        <is>
          <t>Philips Avent Brusthütchen (Modell SCF153/01)</t>
        </is>
      </c>
      <c r="J1133" s="18" t="inlineStr">
        <is>
          <t>No</t>
        </is>
      </c>
      <c r="K1133" s="18" t="inlineStr">
        <is>
          <t>https://www.amazon.de/-/en/Philips-Brusth%C3%BCtchen-Modell-SCF153-01/dp/B07W6TQ8CM/ref=sr_1_1?crid=15XPG6BGOHLCE&amp;dib=eyJ2IjoiMSJ9.PZe_9YhE-tINihZm46znhqcRU7yBwL1rSFUh2cvK11gEOfk2cw8l30-0NK3Gxa7B.P3qtJIfFfAKtpvdQAP7eoyKb6AsDsR0r6FMmQH6qK9E&amp;dib_tag=se&amp;keywords=SCF153%2F01&amp;qid=1762939775&amp;sprefix=scf153%2F01%2Caps%2C109&amp;sr=8-1&amp;th=1</t>
        </is>
      </c>
      <c r="L1133" s="18" t="inlineStr">
        <is>
          <t>B07W6TQ8CM</t>
        </is>
      </c>
      <c r="M1133" s="19" t="n"/>
      <c r="N1133" s="19" t="n"/>
      <c r="O1133" s="19" t="n">
        <v>16.9</v>
      </c>
      <c r="P1133" s="19">
        <f>O1133/1.19</f>
        <v/>
      </c>
      <c r="Q1133" s="19">
        <f>O1133-P1133</f>
        <v/>
      </c>
      <c r="R1133" s="19">
        <f>O1133*0.15</f>
        <v/>
      </c>
      <c r="S1133" s="19" t="n">
        <v>8.970000000000001</v>
      </c>
      <c r="T1133" s="19">
        <f>S1133*0.2</f>
        <v/>
      </c>
      <c r="U1133" s="19" t="n">
        <v>0.400000000000002</v>
      </c>
      <c r="V1133" s="19" t="n">
        <v>2</v>
      </c>
      <c r="W1133" s="19">
        <f>V1133*0.2</f>
        <v/>
      </c>
      <c r="X1133" s="21">
        <f>O1133-Q1133-R1133-S1133-U1133-V1133+T1133+W1133</f>
        <v/>
      </c>
      <c r="Y1133" s="18" t="n"/>
      <c r="Z1133" s="19">
        <f>O1133+1.5</f>
        <v/>
      </c>
      <c r="AA1133" s="19" t="n"/>
      <c r="AB1133" s="19" t="n"/>
      <c r="AC1133" s="18" t="n"/>
      <c r="AD1133" s="18" t="n"/>
      <c r="AE1133" s="13" t="inlineStr">
        <is>
          <t>NOT_UPLOADED</t>
        </is>
      </c>
    </row>
    <row r="1134" ht="16" customHeight="1">
      <c r="A1134" s="12" t="n"/>
      <c r="B1134" s="12" t="n">
        <v>8710103911234</v>
      </c>
      <c r="C1134" s="13" t="n"/>
      <c r="D1134" s="14" t="inlineStr">
        <is>
          <t>NOT AVAILABLE</t>
        </is>
      </c>
      <c r="E1134" s="14" t="n"/>
      <c r="F1134" s="12" t="inlineStr">
        <is>
          <t>SCF153/01</t>
        </is>
      </c>
      <c r="G1134" s="14" t="inlineStr">
        <is>
          <t>IVENTAS</t>
        </is>
      </c>
      <c r="H1134" s="14" t="inlineStr">
        <is>
          <t>Philips AVENT</t>
        </is>
      </c>
      <c r="I1134" s="14" t="inlineStr">
        <is>
          <t>Avent Pezoneras Silicona T/S 2 Plain</t>
        </is>
      </c>
      <c r="J1134" s="14" t="inlineStr">
        <is>
          <t>No</t>
        </is>
      </c>
      <c r="K1134" s="14" t="inlineStr">
        <is>
          <t>https://www.amazon.de/-/en/SCF153-01-Avent-Pezoneras-Silicona/dp/B07Y3JBQ9Y/ref=sr_1_2?crid=15XPG6BGOHLCE&amp;dib=eyJ2IjoiMSJ9.PZe_9YhE-tINihZm46znhqcRU7yBwL1rSFUh2cvK11gEOfk2cw8l30-0NK3Gxa7B.P3qtJIfFfAKtpvdQAP7eoyKb6AsDsR0r6FMmQH6qK9E&amp;dib_tag=se&amp;keywords=SCF153%2F01&amp;qid=1762939775&amp;sprefix=scf153%2F01%2Caps%2C109&amp;sr=8-2</t>
        </is>
      </c>
      <c r="L1134" s="14" t="inlineStr">
        <is>
          <t>B07Y3JBQ9Y</t>
        </is>
      </c>
      <c r="M1134" s="15" t="n"/>
      <c r="N1134" s="15" t="n"/>
      <c r="O1134" s="15" t="n">
        <v>17.1</v>
      </c>
      <c r="P1134" s="15">
        <f>O1134/1.19</f>
        <v/>
      </c>
      <c r="Q1134" s="15">
        <f>O1134-P1134</f>
        <v/>
      </c>
      <c r="R1134" s="15">
        <f>O1134*0.15</f>
        <v/>
      </c>
      <c r="S1134" s="15" t="n">
        <v>8.970000000000001</v>
      </c>
      <c r="T1134" s="15">
        <f>S1134*0.2</f>
        <v/>
      </c>
      <c r="U1134" s="15" t="n">
        <v>0.400000000000002</v>
      </c>
      <c r="V1134" s="15" t="n">
        <v>2</v>
      </c>
      <c r="W1134" s="15">
        <f>V1134*0.2</f>
        <v/>
      </c>
      <c r="X1134" s="21">
        <f>O1134-Q1134-R1134-S1134-U1134-V1134+T1134+W1134</f>
        <v/>
      </c>
      <c r="Y1134" s="14" t="n"/>
      <c r="Z1134" s="15">
        <f>O1134+1.5</f>
        <v/>
      </c>
      <c r="AA1134" s="15" t="n"/>
      <c r="AB1134" s="15" t="n"/>
      <c r="AC1134" s="14" t="n"/>
      <c r="AD1134" s="14" t="n"/>
      <c r="AE1134" s="13" t="inlineStr">
        <is>
          <t>NOT_UPLOADED</t>
        </is>
      </c>
    </row>
    <row r="1135" ht="16" customHeight="1">
      <c r="A1135" s="17" t="n"/>
      <c r="B1135" s="17" t="n">
        <v>8710103911234</v>
      </c>
      <c r="C1135" s="13" t="n"/>
      <c r="D1135" s="18" t="inlineStr">
        <is>
          <t>NOT AVAILABLE</t>
        </is>
      </c>
      <c r="E1135" s="18" t="n"/>
      <c r="F1135" s="17" t="inlineStr">
        <is>
          <t>SCF153/01</t>
        </is>
      </c>
      <c r="G1135" s="18" t="inlineStr">
        <is>
          <t>IVENTAS</t>
        </is>
      </c>
      <c r="H1135" s="18" t="inlineStr">
        <is>
          <t>Philips AVENT</t>
        </is>
      </c>
      <c r="I1135" s="18" t="inlineStr">
        <is>
          <t>Philips Avent SCF153/01 Nipple Protection Small</t>
        </is>
      </c>
      <c r="J1135" s="18" t="inlineStr">
        <is>
          <t>No</t>
        </is>
      </c>
      <c r="K1135" s="18" t="inlineStr">
        <is>
          <t>https://www.amazon.de/-/en/Philips-SCF153-01-Nipple-Protection/dp/B07TPQ8YVY/ref=sr_1_3?crid=15XPG6BGOHLCE&amp;dib=eyJ2IjoiMSJ9.PZe_9YhE-tINihZm46znhqcRU7yBwL1rSFUh2cvK11gEOfk2cw8l30-0NK3Gxa7B.P3qtJIfFfAKtpvdQAP7eoyKb6AsDsR0r6FMmQH6qK9E&amp;dib_tag=se&amp;keywords=SCF153%2F01&amp;qid=1762939775&amp;sprefix=scf153%2F01%2Caps%2C109&amp;sr=8-3&amp;th=1</t>
        </is>
      </c>
      <c r="L1135" s="18" t="inlineStr">
        <is>
          <t>B07TPQ8YVY</t>
        </is>
      </c>
      <c r="M1135" s="19" t="n"/>
      <c r="N1135" s="19" t="n"/>
      <c r="O1135" s="19" t="n">
        <v>17.1</v>
      </c>
      <c r="P1135" s="19">
        <f>O1135/1.19</f>
        <v/>
      </c>
      <c r="Q1135" s="19">
        <f>O1135-P1135</f>
        <v/>
      </c>
      <c r="R1135" s="19">
        <f>O1135*0.15</f>
        <v/>
      </c>
      <c r="S1135" s="19" t="n">
        <v>8.970000000000001</v>
      </c>
      <c r="T1135" s="19">
        <f>S1135*0.2</f>
        <v/>
      </c>
      <c r="U1135" s="19" t="n">
        <v>0.400000000000002</v>
      </c>
      <c r="V1135" s="19" t="n">
        <v>2</v>
      </c>
      <c r="W1135" s="19">
        <f>V1135*0.2</f>
        <v/>
      </c>
      <c r="X1135" s="21">
        <f>O1135-Q1135-R1135-S1135-U1135-V1135+T1135+W1135</f>
        <v/>
      </c>
      <c r="Y1135" s="18" t="n"/>
      <c r="Z1135" s="19">
        <f>O1135+1.5</f>
        <v/>
      </c>
      <c r="AA1135" s="19" t="n"/>
      <c r="AB1135" s="19" t="n"/>
      <c r="AC1135" s="18" t="n"/>
      <c r="AD1135" s="18" t="n"/>
      <c r="AE1135" s="13" t="inlineStr">
        <is>
          <t>NOT_UPLOADED</t>
        </is>
      </c>
    </row>
    <row r="1136" ht="16" customHeight="1">
      <c r="A1136" s="12" t="n"/>
      <c r="B1136" s="12" t="n">
        <v>8710103911234</v>
      </c>
      <c r="C1136" s="13" t="n"/>
      <c r="D1136" s="14" t="n"/>
      <c r="E1136" s="14" t="n"/>
      <c r="F1136" s="12" t="inlineStr">
        <is>
          <t>SCF153/01</t>
        </is>
      </c>
      <c r="G1136" s="14" t="inlineStr">
        <is>
          <t>IVENTAS</t>
        </is>
      </c>
      <c r="H1136" s="14" t="inlineStr">
        <is>
          <t>Philips AVENT</t>
        </is>
      </c>
      <c r="I1136" s="14" t="inlineStr">
        <is>
          <t>Philips Avent SCF153/01 Nipple Protection - Protection of Irritated Warts - Unique Butterfly Wings Shape - Easy to Clean - Small Size - 15 mm - Hygienic Case</t>
        </is>
      </c>
      <c r="J1136" s="14" t="inlineStr">
        <is>
          <t>No</t>
        </is>
      </c>
      <c r="K1136" s="14" t="inlineStr">
        <is>
          <t>https://www.amazon.de/-/en/Philips-SCF153-01-Nipple-Protection/dp/B08Q93XMQ4/ref=sr_1_4?crid=15XPG6BGOHLCE&amp;dib=eyJ2IjoiMSJ9.PZe_9YhE-tINihZm46znhqcRU7yBwL1rSFUh2cvK11gEOfk2cw8l30-0NK3Gxa7B.P3qtJIfFfAKtpvdQAP7eoyKb6AsDsR0r6FMmQH6qK9E&amp;dib_tag=se&amp;keywords=SCF153%2F01&amp;qid=1762940055&amp;sprefix=scf153%2F01%2Caps%2C109&amp;sr=8-4</t>
        </is>
      </c>
      <c r="L1136" s="14" t="inlineStr">
        <is>
          <t>B08Q93XMQ4</t>
        </is>
      </c>
      <c r="M1136" s="15" t="n"/>
      <c r="N1136" s="15" t="n"/>
      <c r="O1136" s="15" t="n">
        <v>17.1</v>
      </c>
      <c r="P1136" s="15">
        <f>O1136/1.19</f>
        <v/>
      </c>
      <c r="Q1136" s="15">
        <f>O1136-P1136</f>
        <v/>
      </c>
      <c r="R1136" s="15">
        <f>O1136*0.15</f>
        <v/>
      </c>
      <c r="S1136" s="15" t="n">
        <v>8.970000000000001</v>
      </c>
      <c r="T1136" s="15">
        <f>S1136*0.2</f>
        <v/>
      </c>
      <c r="U1136" s="15" t="n">
        <v>0.400000000000002</v>
      </c>
      <c r="V1136" s="15" t="n">
        <v>2</v>
      </c>
      <c r="W1136" s="15">
        <f>V1136*0.2</f>
        <v/>
      </c>
      <c r="X1136" s="21">
        <f>O1136-Q1136-R1136-S1136-U1136-V1136+T1136+W1136</f>
        <v/>
      </c>
      <c r="Y1136" s="14" t="n"/>
      <c r="Z1136" s="15">
        <f>O1136+1.5</f>
        <v/>
      </c>
      <c r="AA1136" s="15" t="n"/>
      <c r="AB1136" s="15" t="n"/>
      <c r="AC1136" s="14" t="n"/>
      <c r="AD1136" s="14" t="n"/>
      <c r="AE1136" s="13" t="inlineStr">
        <is>
          <t>NOT_UPLOADED</t>
        </is>
      </c>
    </row>
    <row r="1137" ht="16" customHeight="1">
      <c r="A1137" s="17" t="n">
        <v>8710103980414</v>
      </c>
      <c r="B1137" s="17" t="n">
        <v>8710103845782</v>
      </c>
      <c r="C1137" s="13" t="n"/>
      <c r="D1137" s="18" t="inlineStr">
        <is>
          <t>SCF254/24</t>
        </is>
      </c>
      <c r="E1137" s="18" t="inlineStr">
        <is>
          <t>IVE-08710103980414</t>
        </is>
      </c>
      <c r="F1137" s="17" t="inlineStr">
        <is>
          <t>00A.0475.001</t>
        </is>
      </c>
      <c r="G1137" s="18" t="inlineStr">
        <is>
          <t>IVENTAS</t>
        </is>
      </c>
      <c r="H1137" s="18" t="inlineStr">
        <is>
          <t>Philips AVENT</t>
        </is>
      </c>
      <c r="I1137" s="18" t="inlineStr">
        <is>
          <t>Philips Avent Disposable Breast Pads, Pack of 24 - SCF254/24</t>
        </is>
      </c>
      <c r="J1137" s="18" t="inlineStr">
        <is>
          <t>No</t>
        </is>
      </c>
      <c r="K1137" s="18" t="inlineStr">
        <is>
          <t>https://www.amazon.de/-/en/Philips-Avent-Disposable-Breast-24/dp/B078JW1YHW/ref=sr_1_1?crid=1MDBLB9O1FHBL&amp;dib=eyJ2IjoiMSJ9.cx6ZPANK5JS2I1dc7qbWdw.59iTjjhl5g5ssCTpmWb4yznB_zREfStyCfLwrgs6VNU&amp;dib_tag=se&amp;keywords=SCF254%2F24&amp;qid=1762940161&amp;sprefix=scf254%2F24%2Caps%2C95&amp;sr=8-1&amp;th=1</t>
        </is>
      </c>
      <c r="L1137" s="18" t="inlineStr">
        <is>
          <t>B078JW1YHW</t>
        </is>
      </c>
      <c r="M1137" s="19" t="n"/>
      <c r="N1137" s="19" t="n"/>
      <c r="O1137" s="19" t="n">
        <v>10.6</v>
      </c>
      <c r="P1137" s="19">
        <f>O1137/1.19</f>
        <v/>
      </c>
      <c r="Q1137" s="19">
        <f>O1137-P1137</f>
        <v/>
      </c>
      <c r="R1137" s="19">
        <f>O1137*0.15</f>
        <v/>
      </c>
      <c r="S1137" s="19" t="n">
        <v>3.16</v>
      </c>
      <c r="T1137" s="19">
        <f>S1137*0.2</f>
        <v/>
      </c>
      <c r="U1137" s="19" t="n">
        <v>0.400000000000002</v>
      </c>
      <c r="V1137" s="19" t="n">
        <v>3</v>
      </c>
      <c r="W1137" s="19">
        <f>V1137*0.2</f>
        <v/>
      </c>
      <c r="X1137" s="16">
        <f>O1137-Q1137-R1137-S1137-U1137-V1137+T1137+W1137</f>
        <v/>
      </c>
      <c r="Y1137" s="18" t="n"/>
      <c r="Z1137" s="19">
        <f>O1137+1.5</f>
        <v/>
      </c>
      <c r="AA1137" s="19" t="n"/>
      <c r="AB1137" s="19" t="n"/>
      <c r="AC1137" s="18" t="n"/>
      <c r="AD1137" s="18" t="n"/>
      <c r="AE1137" s="13" t="inlineStr">
        <is>
          <t>NOT_UPLOADED</t>
        </is>
      </c>
    </row>
    <row r="1138" ht="16" customHeight="1">
      <c r="A1138" s="12" t="n"/>
      <c r="B1138" s="12" t="n">
        <v>8710103845768</v>
      </c>
      <c r="C1138" s="13" t="n"/>
      <c r="D1138" s="14" t="inlineStr">
        <is>
          <t>SCF254/61</t>
        </is>
      </c>
      <c r="E1138" s="14" t="n"/>
      <c r="F1138" s="12" t="inlineStr">
        <is>
          <t>00A.0476.001</t>
        </is>
      </c>
      <c r="G1138" s="14" t="inlineStr">
        <is>
          <t>IVENTAS</t>
        </is>
      </c>
      <c r="H1138" s="14" t="inlineStr">
        <is>
          <t>Philips AVENT</t>
        </is>
      </c>
      <c r="I1138" s="14" t="inlineStr">
        <is>
          <t>Philips Avent Comfort Breastfeeding Pads SCF254/61 Pack of 60, White 100 Items</t>
        </is>
      </c>
      <c r="J1138" s="14" t="inlineStr">
        <is>
          <t>No</t>
        </is>
      </c>
      <c r="K1138" s="14" t="inlineStr">
        <is>
          <t>https://www.amazon.de/-/en/Philips-Avent-Comfort-Breastfeeding-SCF254/dp/B079GZBV4N/ref=sr_1_1?crid=1I7SCJRX35DD&amp;dib=eyJ2IjoiMSJ9.4KBGjlA_KcILAWzxF_mrTQ.2AYv9QGu_BH2KFXX1LGMbY6N1frkRxJOxIg7dxBzGsY&amp;dib_tag=se&amp;keywords=SCF254%2F13&amp;qid=1762940814&amp;sprefix=scf254%2F13%2Caps%2C112&amp;sr=8-1&amp;th=1</t>
        </is>
      </c>
      <c r="L1138" s="14" t="inlineStr">
        <is>
          <t>B079GZBV4N</t>
        </is>
      </c>
      <c r="M1138" s="15" t="n"/>
      <c r="N1138" s="15" t="n"/>
      <c r="O1138" s="15" t="n">
        <v>25.7</v>
      </c>
      <c r="P1138" s="15">
        <f>O1138/1.19</f>
        <v/>
      </c>
      <c r="Q1138" s="15">
        <f>O1138-P1138</f>
        <v/>
      </c>
      <c r="R1138" s="15">
        <f>O1138*0.15</f>
        <v/>
      </c>
      <c r="S1138" s="15" t="n">
        <v>10.6</v>
      </c>
      <c r="T1138" s="15">
        <f>S1138*0.2</f>
        <v/>
      </c>
      <c r="U1138" s="15" t="n">
        <v>0.400000000000002</v>
      </c>
      <c r="V1138" s="15" t="n">
        <v>6</v>
      </c>
      <c r="W1138" s="15">
        <f>V1138*0.2</f>
        <v/>
      </c>
      <c r="X1138" s="21">
        <f>O1138-Q1138-R1138-S1138-U1138-V1138+T1138+W1138</f>
        <v/>
      </c>
      <c r="Y1138" s="14" t="n"/>
      <c r="Z1138" s="15">
        <f>O1138+1.5</f>
        <v/>
      </c>
      <c r="AA1138" s="15" t="n"/>
      <c r="AB1138" s="15" t="n"/>
      <c r="AC1138" s="14" t="n"/>
      <c r="AD1138" s="14" t="n"/>
      <c r="AE1138" s="13" t="inlineStr">
        <is>
          <t>NOT_UPLOADED</t>
        </is>
      </c>
    </row>
    <row r="1139" ht="16" customHeight="1">
      <c r="A1139" s="17" t="n">
        <v>8710103990826</v>
      </c>
      <c r="B1139" s="17" t="n">
        <v>8710103990819</v>
      </c>
      <c r="C1139" s="13" t="n"/>
      <c r="D1139" s="18" t="inlineStr">
        <is>
          <t>SCF263/61</t>
        </is>
      </c>
      <c r="E1139" s="18" t="inlineStr">
        <is>
          <t>IVE-8710103990826</t>
        </is>
      </c>
      <c r="F1139" s="17" t="inlineStr">
        <is>
          <t>00A.0467.003</t>
        </is>
      </c>
      <c r="G1139" s="18" t="inlineStr">
        <is>
          <t>IVENTAS</t>
        </is>
      </c>
      <c r="H1139" s="18" t="inlineStr">
        <is>
          <t>Philips AVENT</t>
        </is>
      </c>
      <c r="I1139" s="18" t="inlineStr">
        <is>
          <t>Philips AVENT Natural Response Training Cup 150 ml 4 Months</t>
        </is>
      </c>
      <c r="J1139" s="18" t="inlineStr">
        <is>
          <t>No</t>
        </is>
      </c>
      <c r="K1139" s="18" t="inlineStr">
        <is>
          <t>https://www.amazon.de/-/en/Philips-Natural-Response-Training-Months/dp/B0CGJS2D65/ref=sr_1_1?crid=38E4BU410V2YG&amp;dib=eyJ2IjoiMSJ9.gERTEhzkKgtOXpZhv1K1WQ.m_Q5Qy5kaV-kf-pmMT0AoNIUlwnqyZlyh5zmFUoR8oc&amp;dib_tag=se&amp;keywords=SCF263%2F61&amp;qid=1762940959&amp;sprefix=scf263%2F61%2Caps%2C113&amp;sr=8-1</t>
        </is>
      </c>
      <c r="L1139" s="18" t="inlineStr">
        <is>
          <t>B0CGJS2D65</t>
        </is>
      </c>
      <c r="M1139" s="19" t="n"/>
      <c r="N1139" s="19" t="n"/>
      <c r="O1139" s="19" t="n">
        <v>18.75</v>
      </c>
      <c r="P1139" s="19">
        <f>O1139/1.19</f>
        <v/>
      </c>
      <c r="Q1139" s="19">
        <f>O1139-P1139</f>
        <v/>
      </c>
      <c r="R1139" s="19">
        <f>O1139*0.15</f>
        <v/>
      </c>
      <c r="S1139" s="19" t="n">
        <v>7.83</v>
      </c>
      <c r="T1139" s="19">
        <f>S1139*0.2</f>
        <v/>
      </c>
      <c r="U1139" s="19" t="n">
        <v>0.400000000000002</v>
      </c>
      <c r="V1139" s="19" t="n">
        <v>3</v>
      </c>
      <c r="W1139" s="19">
        <f>V1139*0.2</f>
        <v/>
      </c>
      <c r="X1139" s="21">
        <f>O1139-Q1139-R1139-S1139-U1139-V1139+T1139+W1139</f>
        <v/>
      </c>
      <c r="Y1139" s="18" t="n"/>
      <c r="Z1139" s="19">
        <f>O1139+1.5</f>
        <v/>
      </c>
      <c r="AA1139" s="19" t="n"/>
      <c r="AB1139" s="19" t="n"/>
      <c r="AC1139" s="18" t="n"/>
      <c r="AD1139" s="18" t="n"/>
      <c r="AE1139" s="13" t="inlineStr">
        <is>
          <t>NOT_UPLOADED</t>
        </is>
      </c>
    </row>
    <row r="1140" ht="16" customHeight="1">
      <c r="A1140" s="12" t="n"/>
      <c r="B1140" s="12" t="n">
        <v>8710103990444</v>
      </c>
      <c r="C1140" s="13" t="n"/>
      <c r="D1140" s="14" t="n"/>
      <c r="E1140" s="14" t="n"/>
      <c r="F1140" s="12" t="inlineStr">
        <is>
          <t>SCY900/01</t>
        </is>
      </c>
      <c r="G1140" s="14" t="inlineStr">
        <is>
          <t>IVENTAS</t>
        </is>
      </c>
      <c r="H1140" s="14" t="inlineStr">
        <is>
          <t>Philips AVENT</t>
        </is>
      </c>
      <c r="I1140" s="14" t="inlineStr">
        <is>
          <t>Philips Avent Natural Bottle with Responsive Dummy 125 ml, 1 Piece (Model SCY900/01)</t>
        </is>
      </c>
      <c r="J1140" s="14" t="inlineStr">
        <is>
          <t>No</t>
        </is>
      </c>
      <c r="K1140" s="14" t="inlineStr">
        <is>
          <t>https://www.amazon.de/-/en/Philips-Natural-Responsive-SCY900-01/dp/B0BXF5KB6N/ref=sr_1_7?crid=2JIJHZKAJY7UG&amp;dib=eyJ2IjoiMSJ9.LGeLhNY4ZMC9iyX2rgrc5vtwcW5xWmH4RmIb845Zqrbndfj2n1Wd_6M00BJUg4dvwBMjCf86urijVQmb4aJFIwcBf5l10ojyWhxw-s2bUDPe4SrgzdyJoyuXOzYbwjUA8cifwVekCFf6xcasngoXfWU7qckIcrX61pAIxTxBHBZuxNzu4w-SZUHfuSEjT0s1flRpALGGDpraf3luznF-gxhO1xhvrPoxHwEZg2JTRucznvdAY-z8S2xHlSh__dd4v4ZQjhfkHkv7R87tngrVig.ffgSxKLo5StdCHt2KPegx8Nt1sk3pQEnPqanqen8IZI&amp;dib_tag=se&amp;keywords=AVENT+SCY900%2F01&amp;qid=1762941691&amp;sprefix=avent+scy900%2F01%2Caps%2C153&amp;sr=8-7</t>
        </is>
      </c>
      <c r="L1140" s="14" t="inlineStr">
        <is>
          <t>B0BXF5KB6N</t>
        </is>
      </c>
      <c r="M1140" s="15" t="n"/>
      <c r="N1140" s="15" t="n"/>
      <c r="O1140" s="15" t="n">
        <v>18.18</v>
      </c>
      <c r="P1140" s="15">
        <f>O1140/1.19</f>
        <v/>
      </c>
      <c r="Q1140" s="15">
        <f>O1140-P1140</f>
        <v/>
      </c>
      <c r="R1140" s="15">
        <f>O1140*0.15</f>
        <v/>
      </c>
      <c r="S1140" s="15" t="n">
        <v>8.970000000000001</v>
      </c>
      <c r="T1140" s="15">
        <f>S1140*0.2</f>
        <v/>
      </c>
      <c r="U1140" s="15" t="n">
        <v>0.400000000000002</v>
      </c>
      <c r="V1140" s="15" t="n">
        <v>2.2</v>
      </c>
      <c r="W1140" s="15">
        <f>V1140*0.2</f>
        <v/>
      </c>
      <c r="X1140" s="21">
        <f>O1140-Q1140-R1140-S1140-U1140-V1140+T1140+W1140</f>
        <v/>
      </c>
      <c r="Y1140" s="14" t="n"/>
      <c r="Z1140" s="15">
        <f>O1140+1.5</f>
        <v/>
      </c>
      <c r="AA1140" s="15" t="n"/>
      <c r="AB1140" s="15" t="n"/>
      <c r="AC1140" s="14" t="n"/>
      <c r="AD1140" s="14" t="n"/>
      <c r="AE1140" s="13" t="inlineStr">
        <is>
          <t>NOT_UPLOADED</t>
        </is>
      </c>
    </row>
    <row r="1141" ht="16" customHeight="1">
      <c r="A1141" s="17" t="n">
        <v>8710103989622</v>
      </c>
      <c r="B1141" s="17" t="n">
        <v>8710103990451</v>
      </c>
      <c r="C1141" s="13" t="n"/>
      <c r="D1141" s="18" t="inlineStr">
        <is>
          <t>SCY900/02</t>
        </is>
      </c>
      <c r="E1141" s="18" t="inlineStr">
        <is>
          <t>IVE-8710103989622</t>
        </is>
      </c>
      <c r="F1141" s="17" t="inlineStr">
        <is>
          <t>00A.0609.001</t>
        </is>
      </c>
      <c r="G1141" s="18" t="inlineStr">
        <is>
          <t>IVENTAS</t>
        </is>
      </c>
      <c r="H1141" s="18" t="inlineStr">
        <is>
          <t>Philips AVENT</t>
        </is>
      </c>
      <c r="I1141" s="18" t="inlineStr">
        <is>
          <t>Philips Avent Babyflaschen Natural Response – 2x Babyflaschen, 125 ml, für Neugeborene ab 0 Monaten, BPA-frei (Modell SCY900/02)</t>
        </is>
      </c>
      <c r="J1141" s="18" t="inlineStr">
        <is>
          <t>No</t>
        </is>
      </c>
      <c r="K1141" s="18" t="inlineStr">
        <is>
          <t>https://www.amazon.de/-/en/Philips-Avent-Babyflaschen-Natural-Response/dp/B0BWFMGL3K/ref=sr_1_1?crid=3HRFB7DTRWP5M&amp;dib=eyJ2IjoiMSJ9.7xOazxbnxVQyMFfDbxbuy4fEV10X83Zu3yQ4B_Wh_bKImqy4Cq9eQqNBU3bpnldLbh_4wYJQTuaJt8Ddi0G84YOK3iH6U_id_MYrIn9P9jIQAzDVTsHZXI96o_Kuk3O-JXQTQ3PP5a1t8EdhZ5998qDWB92-pGbGcembCTjhsZRdND0OeqNiQvi3E_pFfl7t3VsGmhaLvX3Uf6ZsqWbdLJNcqpUnNpV-tR4WMR5FKHPRuWlFczOP5w27gplg1CIzpH4vb0_sr05PCO8UU8IoGONoO66EK1faszMCzSObLmc.dr0fEK6ZqYpNP6mIrWjdCblahHRPWb3iI8BWAN4rbpM&amp;dib_tag=se&amp;keywords=AVENT%2BSCY900%2F02&amp;qid=1762956807&amp;sprefix=avent%2Bscy900%2F02%2Caps%2C116&amp;sr=8-1&amp;th=1</t>
        </is>
      </c>
      <c r="L1141" s="18" t="inlineStr">
        <is>
          <t>B0BWFMGL3K</t>
        </is>
      </c>
      <c r="M1141" s="19" t="n"/>
      <c r="N1141" s="19" t="n"/>
      <c r="O1141" s="19" t="n">
        <v>19.95</v>
      </c>
      <c r="P1141" s="19">
        <f>O1141/1.19</f>
        <v/>
      </c>
      <c r="Q1141" s="19">
        <f>O1141-P1141</f>
        <v/>
      </c>
      <c r="R1141" s="19">
        <f>O1141*0.15</f>
        <v/>
      </c>
      <c r="S1141" s="19" t="n">
        <v>10.47</v>
      </c>
      <c r="T1141" s="19">
        <f>S1141*0.2</f>
        <v/>
      </c>
      <c r="U1141" s="19" t="n">
        <v>0.400000000000002</v>
      </c>
      <c r="V1141" s="19" t="n">
        <v>3.2</v>
      </c>
      <c r="W1141" s="19">
        <f>V1141*0.2</f>
        <v/>
      </c>
      <c r="X1141" s="21">
        <f>O1141-Q1141-R1141-S1141-U1141-V1141+T1141+W1141</f>
        <v/>
      </c>
      <c r="Y1141" s="18" t="n"/>
      <c r="Z1141" s="19">
        <f>O1141+1.5</f>
        <v/>
      </c>
      <c r="AA1141" s="19" t="n"/>
      <c r="AB1141" s="19" t="n"/>
      <c r="AC1141" s="18" t="n"/>
      <c r="AD1141" s="18" t="n"/>
      <c r="AE1141" s="13" t="inlineStr">
        <is>
          <t>NOT_UPLOADED</t>
        </is>
      </c>
    </row>
    <row r="1142" ht="16" customHeight="1">
      <c r="A1142" s="12" t="n"/>
      <c r="B1142" s="12" t="n">
        <v>8710103990451</v>
      </c>
      <c r="C1142" s="13" t="n"/>
      <c r="D1142" s="14" t="inlineStr">
        <is>
          <t>SCY900/02</t>
        </is>
      </c>
      <c r="E1142" s="14" t="n"/>
      <c r="F1142" s="12" t="inlineStr">
        <is>
          <t>00A.0609.001</t>
        </is>
      </c>
      <c r="G1142" s="14" t="inlineStr">
        <is>
          <t>IVENTAS</t>
        </is>
      </c>
      <c r="H1142" s="14" t="inlineStr">
        <is>
          <t>Philips AVENT</t>
        </is>
      </c>
      <c r="I1142" s="14" t="inlineStr">
        <is>
          <t>Philips Avent Natural Bottle with Responsive Dummy 125 ml, Pack of 2 (Model SCY900/02)</t>
        </is>
      </c>
      <c r="J1142" s="14" t="inlineStr">
        <is>
          <t>No</t>
        </is>
      </c>
      <c r="K1142" s="14" t="inlineStr">
        <is>
          <t>https://www.amazon.de/-/en/Philips-Natural-Responsive-SCY900-02/dp/B0BXF87TPB/ref=sr_1_6?crid=3HRFB7DTRWP5M&amp;dib=eyJ2IjoiMSJ9.7xOazxbnxVQyMFfDbxbuy4fEV10X83Zu3yQ4B_Wh_bKImqy4Cq9eQqNBU3bpnldLbh_4wYJQTuaJt8Ddi0G84YOK3iH6U_id_MYrIn9P9jIQAzDVTsHZXI96o_Kuk3O-JXQTQ3PP5a1t8EdhZ5998qDWB92-pGbGcembCTjhsZRdND0OeqNiQvi3E_pFfl7t3VsGmhaLvX3Uf6ZsqWbdLJNcqpUnNpV-tR4WMR5FKHPRuWlFczOP5w27gplg1CIzpH4vb0_sr05PCO8UU8IoGONoO66EK1faszMCzSObLmc.dr0fEK6ZqYpNP6mIrWjdCblahHRPWb3iI8BWAN4rbpM&amp;dib_tag=se&amp;keywords=AVENT+SCY900%2F02&amp;qid=1762957239&amp;sprefix=avent+scy900%2F02%2Caps%2C116&amp;sr=8-6</t>
        </is>
      </c>
      <c r="L1142" s="14" t="inlineStr">
        <is>
          <t>B0BXF87TPB</t>
        </is>
      </c>
      <c r="M1142" s="15" t="n"/>
      <c r="N1142" s="15" t="n"/>
      <c r="O1142" s="15" t="n">
        <v>21.5</v>
      </c>
      <c r="P1142" s="15">
        <f>O1142/1.19</f>
        <v/>
      </c>
      <c r="Q1142" s="15">
        <f>O1142-P1142</f>
        <v/>
      </c>
      <c r="R1142" s="15">
        <f>O1142*0.15</f>
        <v/>
      </c>
      <c r="S1142" s="15" t="n">
        <v>10.91</v>
      </c>
      <c r="T1142" s="15">
        <f>S1142*0.2</f>
        <v/>
      </c>
      <c r="U1142" s="15" t="n">
        <v>0.400000000000002</v>
      </c>
      <c r="V1142" s="15" t="n">
        <v>3.2</v>
      </c>
      <c r="W1142" s="15">
        <f>V1142*0.2</f>
        <v/>
      </c>
      <c r="X1142" s="21">
        <f>O1142-Q1142-R1142-S1142-U1142-V1142+T1142+W1142</f>
        <v/>
      </c>
      <c r="Y1142" s="14" t="n"/>
      <c r="Z1142" s="15">
        <f>O1142+1.5</f>
        <v/>
      </c>
      <c r="AA1142" s="15" t="n"/>
      <c r="AB1142" s="15" t="n"/>
      <c r="AC1142" s="14" t="n"/>
      <c r="AD1142" s="14" t="n"/>
      <c r="AE1142" s="13" t="inlineStr">
        <is>
          <t>NOT_UPLOADED</t>
        </is>
      </c>
    </row>
    <row r="1143" ht="16" customHeight="1">
      <c r="A1143" s="17" t="n">
        <v>8710103985167</v>
      </c>
      <c r="B1143" s="17" t="n">
        <v>8710103985150</v>
      </c>
      <c r="C1143" s="13" t="n"/>
      <c r="D1143" s="18" t="inlineStr">
        <is>
          <t>SCY965/02</t>
        </is>
      </c>
      <c r="E1143" s="18" t="inlineStr">
        <is>
          <t>IVE-8710103985167</t>
        </is>
      </c>
      <c r="F1143" s="17" t="inlineStr">
        <is>
          <t>00A.0594.001</t>
        </is>
      </c>
      <c r="G1143" s="18" t="inlineStr">
        <is>
          <t>IVENTAS</t>
        </is>
      </c>
      <c r="H1143" s="18" t="inlineStr">
        <is>
          <t>Philips AVENT</t>
        </is>
      </c>
      <c r="I1143" s="18" t="inlineStr">
        <is>
          <t>Philips Avent Natural Response Sauger – 2x Sauger für Babyflaschen mit Durchflussstärke 5, für Babys ab 6 Monaten, BPA-frei (Modell SCY965/02)</t>
        </is>
      </c>
      <c r="J1143" s="18" t="inlineStr">
        <is>
          <t>No</t>
        </is>
      </c>
      <c r="K1143" s="18" t="inlineStr">
        <is>
          <t>https://www.amazon.de/dp/B0BWFNW2BB</t>
        </is>
      </c>
      <c r="L1143" s="18" t="inlineStr">
        <is>
          <t>B0BWFNW2BB</t>
        </is>
      </c>
      <c r="M1143" s="19" t="n"/>
      <c r="N1143" s="19" t="n"/>
      <c r="O1143" s="19" t="n">
        <v>12.95</v>
      </c>
      <c r="P1143" s="19">
        <f>O1143/1.19</f>
        <v/>
      </c>
      <c r="Q1143" s="19">
        <f>O1143-P1143</f>
        <v/>
      </c>
      <c r="R1143" s="19">
        <f>O1143*0.15</f>
        <v/>
      </c>
      <c r="S1143" s="19" t="n">
        <v>6.45</v>
      </c>
      <c r="T1143" s="19">
        <f>S1143*0.2</f>
        <v/>
      </c>
      <c r="U1143" s="19" t="n">
        <v>0.400000000000002</v>
      </c>
      <c r="V1143" s="19" t="n">
        <v>2</v>
      </c>
      <c r="W1143" s="19">
        <f>V1143*0.2</f>
        <v/>
      </c>
      <c r="X1143" s="16">
        <f>O1143-Q1143-R1143-S1143-U1143-V1143+T1143+W1143</f>
        <v/>
      </c>
      <c r="Y1143" s="18" t="n"/>
      <c r="Z1143" s="19">
        <f>O1143+1.5</f>
        <v/>
      </c>
      <c r="AA1143" s="19" t="n"/>
      <c r="AB1143" s="19" t="n"/>
      <c r="AC1143" s="18" t="n"/>
      <c r="AD1143" s="18" t="n"/>
      <c r="AE1143" s="13" t="inlineStr">
        <is>
          <t>NOT_UPLOADED</t>
        </is>
      </c>
    </row>
    <row r="1144" ht="16" customHeight="1">
      <c r="A1144" s="12" t="n"/>
      <c r="B1144" s="12" t="n">
        <v>8710103990758</v>
      </c>
      <c r="C1144" s="13" t="n"/>
      <c r="D1144" s="14" t="n"/>
      <c r="E1144" s="14" t="n"/>
      <c r="F1144" s="12" t="inlineStr">
        <is>
          <t>SCY930/01</t>
        </is>
      </c>
      <c r="G1144" s="14" t="inlineStr">
        <is>
          <t>IVENTAS</t>
        </is>
      </c>
      <c r="H1144" s="14" t="inlineStr">
        <is>
          <t>Philips AVENT</t>
        </is>
      </c>
      <c r="I1144" s="14" t="inlineStr">
        <is>
          <t>Philips Avent Babyflasche Natural Response aus Glas - 120 ml Babyflasche, BPA-frei für neugeborene Babys ab 0 Monaten (Modell SCY930/01)</t>
        </is>
      </c>
      <c r="J1144" s="14" t="inlineStr">
        <is>
          <t>No</t>
        </is>
      </c>
      <c r="K1144" s="14" t="inlineStr">
        <is>
          <t>https://www.amazon.de/-/en/Philips-Avent-Babyflasche-Natural-Response/dp/B0BWFJVGJ4/ref=sr_1_1?crid=24Z1XEPK91NU6&amp;dib=eyJ2IjoiMSJ9.vM_byM06izMRWES-WvKEsQ.ojpBs2-1Ao0tTNIjYq9xkzleeB2y6gxu2HDQ4yaRAsM&amp;dib_tag=se&amp;keywords=SCY930%2F01&amp;qid=1769807648&amp;sprefix=scy930%2F01%2Caps%2C138&amp;sr=8-1&amp;th=1</t>
        </is>
      </c>
      <c r="L1144" s="14" t="inlineStr">
        <is>
          <t>B0BWFJVGJ4</t>
        </is>
      </c>
      <c r="M1144" s="15" t="n"/>
      <c r="N1144" s="15" t="n"/>
      <c r="O1144" s="15" t="n"/>
      <c r="P1144" s="15" t="n"/>
      <c r="Q1144" s="15" t="n"/>
      <c r="R1144" s="15" t="n"/>
      <c r="S1144" s="15" t="n">
        <v>9.49</v>
      </c>
      <c r="T1144" s="15">
        <f>S1144*0.2</f>
        <v/>
      </c>
      <c r="U1144" s="15" t="n">
        <v>0.400000000000002</v>
      </c>
      <c r="V1144" s="15" t="n"/>
      <c r="W1144" s="15" t="n"/>
      <c r="X1144" s="22" t="n"/>
      <c r="Y1144" s="14" t="n"/>
      <c r="Z1144" s="15" t="n"/>
      <c r="AA1144" s="15" t="n"/>
      <c r="AB1144" s="15" t="n"/>
      <c r="AC1144" s="14" t="n"/>
      <c r="AD1144" s="14" t="n"/>
      <c r="AE1144" s="13" t="inlineStr">
        <is>
          <t>NOT_UPLOADED</t>
        </is>
      </c>
    </row>
    <row r="1145" ht="16" customHeight="1">
      <c r="A1145" s="17" t="n"/>
      <c r="B1145" s="17" t="n">
        <v>8710103990772</v>
      </c>
      <c r="C1145" s="13" t="n"/>
      <c r="D1145" s="18" t="n"/>
      <c r="E1145" s="18" t="n"/>
      <c r="F1145" s="17" t="inlineStr">
        <is>
          <t>SCY933/01</t>
        </is>
      </c>
      <c r="G1145" s="18" t="inlineStr">
        <is>
          <t>IVENTAS</t>
        </is>
      </c>
      <c r="H1145" s="18" t="inlineStr">
        <is>
          <t>Philips AVENT</t>
        </is>
      </c>
      <c r="I1145" s="18" t="inlineStr">
        <is>
          <t>Philips Avent Babyflasche Natural Response aus Glas – Babyflasche, 240 ml, BPA-frei, für Neugeborene ab 1 Monat (Modell SCY933/01)</t>
        </is>
      </c>
      <c r="J1145" s="18" t="inlineStr">
        <is>
          <t>No</t>
        </is>
      </c>
      <c r="K1145" s="18" t="inlineStr">
        <is>
          <t>https://www.amazon.de/-/en/Philips-Avent-Babyflasche-Natural-Response/dp/B0BWFL65BW/ref=sr_1_1?crid=24Z1XEPK91NU6&amp;dib=eyJ2IjoiMSJ9.vM_byM06izMRWES-WvKEsQ.ojpBs2-1Ao0tTNIjYq9xkzleeB2y6gxu2HDQ4yaRAsM&amp;dib_tag=se&amp;keywords=SCY930%2F01&amp;qid=1769807648&amp;sprefix=scy930%2F01%2Caps%2C138&amp;sr=8-1&amp;th=1</t>
        </is>
      </c>
      <c r="L1145" s="18" t="inlineStr">
        <is>
          <t>B0BWFL65BW</t>
        </is>
      </c>
      <c r="M1145" s="19" t="n"/>
      <c r="N1145" s="19" t="n"/>
      <c r="O1145" s="19" t="n"/>
      <c r="P1145" s="19" t="n"/>
      <c r="Q1145" s="19" t="n"/>
      <c r="R1145" s="19" t="n"/>
      <c r="S1145" s="19" t="n">
        <v>10.44</v>
      </c>
      <c r="T1145" s="19">
        <f>S1145*0.2</f>
        <v/>
      </c>
      <c r="U1145" s="19" t="n">
        <v>0.400000000000002</v>
      </c>
      <c r="V1145" s="19" t="n"/>
      <c r="W1145" s="19" t="n"/>
      <c r="X1145" s="22" t="n"/>
      <c r="Y1145" s="18" t="n"/>
      <c r="Z1145" s="19" t="n"/>
      <c r="AA1145" s="19" t="n"/>
      <c r="AB1145" s="19" t="n"/>
      <c r="AC1145" s="18" t="n"/>
      <c r="AD1145" s="18" t="n"/>
      <c r="AE1145" s="13" t="inlineStr">
        <is>
          <t>NOT_UPLOADED</t>
        </is>
      </c>
    </row>
    <row r="1146" ht="16" customHeight="1">
      <c r="A1146" s="12" t="n">
        <v>8710103989707</v>
      </c>
      <c r="B1146" s="12" t="n">
        <v>8710103989691</v>
      </c>
      <c r="C1146" s="13" t="n"/>
      <c r="D1146" s="14" t="n"/>
      <c r="E1146" s="14" t="inlineStr">
        <is>
          <t>IVE-8710103989707</t>
        </is>
      </c>
      <c r="F1146" s="12" t="inlineStr">
        <is>
          <t>SCY903/66</t>
        </is>
      </c>
      <c r="G1146" s="14" t="inlineStr">
        <is>
          <t>IVENTAS</t>
        </is>
      </c>
      <c r="H1146" s="14" t="inlineStr">
        <is>
          <t>Philips AVENT</t>
        </is>
      </c>
      <c r="I1146" s="14" t="inlineStr">
        <is>
          <t>Philips Avent Babyflasche Natural Response – Babyflasche, 260 ml, BPA-frei, für Babys ab 1 Monat, Giraffenmotiv (Modell SCY903/66)</t>
        </is>
      </c>
      <c r="J1146" s="14" t="inlineStr">
        <is>
          <t>No</t>
        </is>
      </c>
      <c r="K1146" s="14" t="inlineStr">
        <is>
          <t>https://www.amazon.de/-/en/Philips-Avent-Babyflasche-Natural-Response/dp/B0BWFM2Y76/ref=sr_1_1?crid=1HLC1WK4C8S24&amp;dib=eyJ2IjoiMSJ9.XEd-NZWX1cc97Y10tOVT7t0sbjbNWsLeJdx-ONdkTWbGjHj071QN20LucGBJIEps.VURFpPZM-7PvBOHhqpJ2e5pw4ho2u5erWkKPs9bsmf4&amp;dib_tag=se&amp;keywords=SCY903%2F66&amp;qid=1769808165&amp;sprefix=scy903%2F66%2Caps%2C116&amp;sr=8-1&amp;th=1</t>
        </is>
      </c>
      <c r="L1146" s="14" t="inlineStr">
        <is>
          <t>B0BWFM2Y76</t>
        </is>
      </c>
      <c r="M1146" s="15" t="n"/>
      <c r="N1146" s="15" t="n"/>
      <c r="O1146" s="15" t="n">
        <v>17.95</v>
      </c>
      <c r="P1146" s="15">
        <f>O1146/1.19</f>
        <v/>
      </c>
      <c r="Q1146" s="15">
        <f>O1146-P1146</f>
        <v/>
      </c>
      <c r="R1146" s="15">
        <f>O1146*0.15</f>
        <v/>
      </c>
      <c r="S1146" s="15" t="n">
        <v>8.470000000000001</v>
      </c>
      <c r="T1146" s="15">
        <f>S1146*0.2</f>
        <v/>
      </c>
      <c r="U1146" s="15" t="n">
        <v>0.400000000000002</v>
      </c>
      <c r="V1146" s="15" t="n">
        <v>2.75</v>
      </c>
      <c r="W1146" s="15">
        <f>V1146*0.2</f>
        <v/>
      </c>
      <c r="X1146" s="21">
        <f>O1146-Q1146-R1146-S1146-U1146-V1146+T1146+W1146</f>
        <v/>
      </c>
      <c r="Y1146" s="14" t="n"/>
      <c r="Z1146" s="15">
        <f>O1146+1.5</f>
        <v/>
      </c>
      <c r="AA1146" s="15" t="n"/>
      <c r="AB1146" s="15" t="n"/>
      <c r="AC1146" s="14" t="n"/>
      <c r="AD1146" s="14" t="n"/>
      <c r="AE1146" s="13" t="inlineStr">
        <is>
          <t>NOT_UPLOADED</t>
        </is>
      </c>
    </row>
    <row r="1147" ht="16" customHeight="1">
      <c r="A1147" s="17" t="n">
        <v>8710103989691</v>
      </c>
      <c r="B1147" s="17" t="n">
        <v>8710103989691</v>
      </c>
      <c r="C1147" s="13" t="n"/>
      <c r="D1147" s="18" t="n"/>
      <c r="E1147" s="18" t="n"/>
      <c r="F1147" s="17" t="inlineStr">
        <is>
          <t>SCY903/66</t>
        </is>
      </c>
      <c r="G1147" s="18" t="inlineStr">
        <is>
          <t>IVENTAS</t>
        </is>
      </c>
      <c r="H1147" s="18" t="inlineStr">
        <is>
          <t>Philips AVENT</t>
        </is>
      </c>
      <c r="I1147" s="18" t="inlineStr">
        <is>
          <t>Philips Avent Natural Bottle with Responsive Dummy, 260 ml, Giraffe Decoration, Pack of 1 (Model SCY903/66)</t>
        </is>
      </c>
      <c r="J1147" s="18" t="inlineStr">
        <is>
          <t>No</t>
        </is>
      </c>
      <c r="K1147" s="18" t="inlineStr">
        <is>
          <t>https://www.amazon.de/-/en/Philips-Responsive-Decoration-SCY903-66/dp/B0BXFD33L4/ref=sr_1_2?crid=1HLC1WK4C8S24&amp;dib=eyJ2IjoiMSJ9.XEd-NZWX1cc97Y10tOVT7t0sbjbNWsLeJdx-ONdkTWbGjHj071QN20LucGBJIEps.VURFpPZM-7PvBOHhqpJ2e5pw4ho2u5erWkKPs9bsmf4&amp;dib_tag=se&amp;keywords=SCY903%2F66&amp;qid=1769808631&amp;sprefix=scy903%2F66%2Caps%2C116&amp;sr=8-2</t>
        </is>
      </c>
      <c r="L1147" s="18" t="inlineStr">
        <is>
          <t>B0BXFD33L4</t>
        </is>
      </c>
      <c r="M1147" s="19" t="n"/>
      <c r="N1147" s="19" t="n"/>
      <c r="O1147" s="19" t="n">
        <v>18.75</v>
      </c>
      <c r="P1147" s="19">
        <f>O1147/1.19</f>
        <v/>
      </c>
      <c r="Q1147" s="19">
        <f>O1147-P1147</f>
        <v/>
      </c>
      <c r="R1147" s="19">
        <f>O1147*0.15</f>
        <v/>
      </c>
      <c r="S1147" s="19" t="n">
        <v>8.470000000000001</v>
      </c>
      <c r="T1147" s="19">
        <f>S1147*0.2</f>
        <v/>
      </c>
      <c r="U1147" s="19" t="n">
        <v>0.400000000000002</v>
      </c>
      <c r="V1147" s="19" t="n">
        <v>2.75</v>
      </c>
      <c r="W1147" s="19">
        <f>V1147*0.2</f>
        <v/>
      </c>
      <c r="X1147" s="21">
        <f>O1147-Q1147-R1147-S1147-U1147-V1147+T1147+W1147</f>
        <v/>
      </c>
      <c r="Y1147" s="18" t="n"/>
      <c r="Z1147" s="19">
        <f>O1147+1.5</f>
        <v/>
      </c>
      <c r="AA1147" s="19" t="n"/>
      <c r="AB1147" s="19" t="n"/>
      <c r="AC1147" s="18" t="n"/>
      <c r="AD1147" s="18" t="n"/>
      <c r="AE1147" s="13" t="inlineStr">
        <is>
          <t>NOT_UPLOADED</t>
        </is>
      </c>
    </row>
    <row r="1148" ht="16" customHeight="1">
      <c r="A1148" s="12" t="n">
        <v>8710103989714</v>
      </c>
      <c r="B1148" s="12" t="n">
        <v>8710103989714</v>
      </c>
      <c r="C1148" s="13" t="n"/>
      <c r="D1148" s="14" t="n"/>
      <c r="E1148" s="14" t="n"/>
      <c r="F1148" s="12" t="inlineStr">
        <is>
          <t>SCY903/67</t>
        </is>
      </c>
      <c r="G1148" s="14" t="inlineStr">
        <is>
          <t>IVENTAS</t>
        </is>
      </c>
      <c r="H1148" s="14" t="inlineStr">
        <is>
          <t>Philips AVENT</t>
        </is>
      </c>
      <c r="I1148" s="14" t="inlineStr">
        <is>
          <t>Philips Avent Natural Bottle with Responsive Dummy 260 ml Decor Coala, 1 Piece (Model SCY903/67)</t>
        </is>
      </c>
      <c r="J1148" s="14" t="inlineStr">
        <is>
          <t>No</t>
        </is>
      </c>
      <c r="K1148" s="14" t="inlineStr">
        <is>
          <t>https://www.amazon.de/-/en/Philips-Natural-Responsive-SCY903-67/dp/B0BXF5KB6S/ref=sr_1_4?crid=11L1BD9AU2U9O&amp;dib=eyJ2IjoiMSJ9.FUKXWlFVhBkBuEDRiismEDyYtSKreJY2mRDrLmU4UOS816uxTlUn_y6S4qqr70hs.L7yxPQ9RGRyFrpQhVweKyQfcMtuQXE6-_07uFpiju34&amp;dib_tag=se&amp;keywords=SCY903%2F67&amp;qid=1769809798&amp;sprefix=scy903%2F67%2Caps%2C161&amp;sr=8-4</t>
        </is>
      </c>
      <c r="L1148" s="14" t="inlineStr">
        <is>
          <t>B0BXF5KB6S</t>
        </is>
      </c>
      <c r="M1148" s="15" t="n"/>
      <c r="N1148" s="15" t="n"/>
      <c r="O1148" s="15" t="n">
        <v>18.99</v>
      </c>
      <c r="P1148" s="15">
        <f>O1148/1.19</f>
        <v/>
      </c>
      <c r="Q1148" s="15">
        <f>O1148-P1148</f>
        <v/>
      </c>
      <c r="R1148" s="15">
        <f>O1148*0.15</f>
        <v/>
      </c>
      <c r="S1148" s="15" t="n">
        <v>8.470000000000001</v>
      </c>
      <c r="T1148" s="15">
        <f>S1148*0.2</f>
        <v/>
      </c>
      <c r="U1148" s="15" t="n">
        <v>0.400000000000002</v>
      </c>
      <c r="V1148" s="15" t="n">
        <v>2.75</v>
      </c>
      <c r="W1148" s="15">
        <f>V1148*0.2</f>
        <v/>
      </c>
      <c r="X1148" s="21">
        <f>O1148-Q1148-R1148-S1148-U1148-V1148+T1148+W1148</f>
        <v/>
      </c>
      <c r="Y1148" s="14" t="n"/>
      <c r="Z1148" s="15">
        <f>O1148+1.5</f>
        <v/>
      </c>
      <c r="AA1148" s="15" t="n"/>
      <c r="AB1148" s="15" t="n"/>
      <c r="AC1148" s="14" t="n"/>
      <c r="AD1148" s="14" t="n"/>
      <c r="AE1148" s="13" t="inlineStr">
        <is>
          <t>NOT_UPLOADED</t>
        </is>
      </c>
    </row>
    <row r="1149" ht="16" customHeight="1">
      <c r="A1149" s="17" t="n">
        <v>8710103990413</v>
      </c>
      <c r="B1149" s="17" t="n">
        <v>8710103990406</v>
      </c>
      <c r="C1149" s="13" t="n"/>
      <c r="D1149" s="18" t="n"/>
      <c r="E1149" s="18" t="n"/>
      <c r="F1149" s="17" t="inlineStr">
        <is>
          <t>SCY673/81</t>
        </is>
      </c>
      <c r="G1149" s="18" t="inlineStr">
        <is>
          <t>IVENTAS</t>
        </is>
      </c>
      <c r="H1149" s="18" t="inlineStr">
        <is>
          <t>Philips AVENT</t>
        </is>
      </c>
      <c r="I1149" s="18" t="inlineStr">
        <is>
          <t>Philips Avent Natural Response Babyflaschen – Babyflaschen mit AirFree Ventil, 260 ml, BPA-frei, für Neugeborene ab 1 Monat, Elefantenmotiv (Modell SCY673/81)</t>
        </is>
      </c>
      <c r="J1149" s="18" t="inlineStr">
        <is>
          <t>No</t>
        </is>
      </c>
      <c r="K1149" s="18" t="inlineStr">
        <is>
          <t>https://www.amazon.de/-/en/Philips-Avent-Natural-Response-Babyflaschen/dp/B0BWFNQLQQ/ref=sr_1_1?crid=31RZRKW6QIG8W&amp;dib=eyJ2IjoiMSJ9.tjGmUZftLGQC94sfoRhNNXCepQEpxHg7IOPwOJlzJebGjHj071QN20LucGBJIEps.z81N5f50CtuZ6HT_OhDCGsTKLVhT2oQBQKkZft06X9U&amp;dib_tag=se&amp;keywords=SCY673%2F81&amp;qid=1769810029&amp;sprefix=scy673%2F81%2Caps%2C119&amp;sr=8-1&amp;th=1</t>
        </is>
      </c>
      <c r="L1149" s="18" t="inlineStr">
        <is>
          <t>B0BWFNQLQQ</t>
        </is>
      </c>
      <c r="M1149" s="19" t="n"/>
      <c r="N1149" s="19" t="n"/>
      <c r="O1149" s="19" t="n"/>
      <c r="P1149" s="19" t="n"/>
      <c r="Q1149" s="19" t="n"/>
      <c r="R1149" s="19" t="n"/>
      <c r="S1149" s="19" t="n">
        <v>9.49</v>
      </c>
      <c r="T1149" s="19">
        <f>S1149*0.2</f>
        <v/>
      </c>
      <c r="U1149" s="19" t="n">
        <v>0.400000000000002</v>
      </c>
      <c r="V1149" s="19" t="n">
        <v>2.75</v>
      </c>
      <c r="W1149" s="19">
        <f>V1149*0.2</f>
        <v/>
      </c>
      <c r="X1149" s="22" t="n"/>
      <c r="Y1149" s="18" t="n"/>
      <c r="Z1149" s="19" t="n"/>
      <c r="AA1149" s="19" t="n"/>
      <c r="AB1149" s="19" t="n"/>
      <c r="AC1149" s="18" t="n"/>
      <c r="AD1149" s="18" t="n"/>
      <c r="AE1149" s="13" t="inlineStr">
        <is>
          <t>NOT_UPLOADED</t>
        </is>
      </c>
    </row>
    <row r="1150" ht="16" customHeight="1">
      <c r="A1150" s="12" t="n"/>
      <c r="B1150" s="12" t="n">
        <v>8710103990420</v>
      </c>
      <c r="C1150" s="13" t="n"/>
      <c r="D1150" s="14" t="n"/>
      <c r="E1150" s="14" t="n"/>
      <c r="F1150" s="12" t="inlineStr">
        <is>
          <t>SCY673/82</t>
        </is>
      </c>
      <c r="G1150" s="14" t="inlineStr">
        <is>
          <t>IVENTAS</t>
        </is>
      </c>
      <c r="H1150" s="14" t="inlineStr">
        <is>
          <t>Philips AVENT</t>
        </is>
      </c>
      <c r="I1150" s="14" t="inlineStr">
        <is>
          <t>Philips Avent Babyflaschen Natural Response – Babyflaschen mit AirFree Ventil, 260 ml, BPA-frei, für Neugeborene ab 1 Monat, Bärenmotiv (Modell SCY673/82)</t>
        </is>
      </c>
      <c r="J1150" s="14" t="inlineStr">
        <is>
          <t>No</t>
        </is>
      </c>
      <c r="K1150" s="14" t="inlineStr">
        <is>
          <t>https://www.amazon.de/-/en/Philips-Avent-Babyflaschen-Natural-Response/dp/B0BWFMHWHL/ref=sr_1_1?crid=TYYOC5A02HD9&amp;dib=eyJ2IjoiMSJ9.C0teU1aF53J5UIxAQcuLZHssz6QXDSXC_qIbL7iNetf4p5B7WQ7_mgs3y3-Njs6M.Lb5VV4YZ8qe8Fq-0MMngPq9jBA1q0ZwiiFtlDyFNCDs&amp;dib_tag=se&amp;keywords=SCY673%2F82&amp;qid=1769810176&amp;sprefix=scy673%2F82%2Caps%2C120&amp;sr=8-1&amp;th=1</t>
        </is>
      </c>
      <c r="L1150" s="14" t="inlineStr">
        <is>
          <t>B0BWFMHWHL</t>
        </is>
      </c>
      <c r="M1150" s="15" t="n"/>
      <c r="N1150" s="15" t="n"/>
      <c r="O1150" s="15" t="n"/>
      <c r="P1150" s="15" t="n"/>
      <c r="Q1150" s="15" t="n"/>
      <c r="R1150" s="15" t="n"/>
      <c r="S1150" s="15" t="n">
        <v>9.49</v>
      </c>
      <c r="T1150" s="15">
        <f>S1150*0.2</f>
        <v/>
      </c>
      <c r="U1150" s="15" t="n">
        <v>0.400000000000002</v>
      </c>
      <c r="V1150" s="15" t="n">
        <v>2.75</v>
      </c>
      <c r="W1150" s="15">
        <f>V1150*0.2</f>
        <v/>
      </c>
      <c r="X1150" s="22" t="n"/>
      <c r="Y1150" s="14" t="n"/>
      <c r="Z1150" s="15" t="n"/>
      <c r="AA1150" s="15" t="n"/>
      <c r="AB1150" s="15" t="n"/>
      <c r="AC1150" s="14" t="n"/>
      <c r="AD1150" s="14" t="n"/>
      <c r="AE1150" s="13" t="inlineStr">
        <is>
          <t>NOT_UPLOADED</t>
        </is>
      </c>
    </row>
    <row r="1151" ht="16" customHeight="1">
      <c r="A1151" s="17" t="n">
        <v>8710103667018</v>
      </c>
      <c r="B1151" s="17" t="n">
        <v>8710103854364</v>
      </c>
      <c r="C1151" s="13" t="n"/>
      <c r="D1151" s="18" t="n"/>
      <c r="E1151" s="18" t="inlineStr">
        <is>
          <t>IVE-8710103667018</t>
        </is>
      </c>
      <c r="F1151" s="17" t="inlineStr">
        <is>
          <t>SCF551/03</t>
        </is>
      </c>
      <c r="G1151" s="18" t="inlineStr">
        <is>
          <t>IVENTAS</t>
        </is>
      </c>
      <c r="H1151" s="18" t="inlineStr">
        <is>
          <t>Philips AVENT</t>
        </is>
      </c>
      <c r="I1151" s="18" t="inlineStr">
        <is>
          <t>Philips Avent Trinkbecher (Modell SCF551/03)</t>
        </is>
      </c>
      <c r="J1151" s="18" t="inlineStr">
        <is>
          <t>No</t>
        </is>
      </c>
      <c r="K1151" s="18" t="inlineStr">
        <is>
          <t>https://www.amazon.de/-/en/Philips-Trinkbecher-Modell-SCF551-03/dp/B00WJNITLS/ref=sr_1_1?crid=3A34VX10HRQ5S&amp;dib=eyJ2IjoiMSJ9.2ZpNVoGdVBXQGFVNwtFOcw.MpocBBqSeU4JHtiZ6xCjg2py5BSHjxYjvIYp5_qX9iw&amp;dib_tag=se&amp;keywords=SCF551%2F03&amp;qid=1769889482&amp;sprefix=scf551%2F03%2Caps%2C133&amp;sr=8-1</t>
        </is>
      </c>
      <c r="L1151" s="18" t="inlineStr">
        <is>
          <t>B00WJNITLS</t>
        </is>
      </c>
      <c r="M1151" s="19" t="n"/>
      <c r="N1151" s="19" t="n"/>
      <c r="O1151" s="19" t="n">
        <v>14.95</v>
      </c>
      <c r="P1151" s="19">
        <f>O1151/1.19</f>
        <v/>
      </c>
      <c r="Q1151" s="19">
        <f>O1151-P1151</f>
        <v/>
      </c>
      <c r="R1151" s="19">
        <f>O1151*0.15</f>
        <v/>
      </c>
      <c r="S1151" s="19" t="n">
        <v>5.56</v>
      </c>
      <c r="T1151" s="19">
        <f>S1151*0.2</f>
        <v/>
      </c>
      <c r="U1151" s="19" t="n">
        <v>0.400000000000002</v>
      </c>
      <c r="V1151" s="19" t="n">
        <v>2.75</v>
      </c>
      <c r="W1151" s="19">
        <f>V1151*0.2</f>
        <v/>
      </c>
      <c r="X1151" s="21">
        <f>O1151-Q1151-R1151-S1151-U1151-V1151+T1151+W1151</f>
        <v/>
      </c>
      <c r="Y1151" s="18" t="n"/>
      <c r="Z1151" s="19">
        <f>O1151+1.5</f>
        <v/>
      </c>
      <c r="AA1151" s="19" t="n"/>
      <c r="AB1151" s="19" t="n"/>
      <c r="AC1151" s="18" t="n"/>
      <c r="AD1151" s="18" t="n"/>
      <c r="AE1151" s="13" t="inlineStr">
        <is>
          <t>NOT_UPLOADED</t>
        </is>
      </c>
    </row>
    <row r="1152" ht="16" customHeight="1">
      <c r="A1152" s="12" t="n">
        <v>8710103779834</v>
      </c>
      <c r="B1152" s="12" t="n">
        <v>8710103667063</v>
      </c>
      <c r="C1152" s="13" t="n"/>
      <c r="D1152" s="14" t="inlineStr">
        <is>
          <t>SCF553/05</t>
        </is>
      </c>
      <c r="E1152" s="14" t="inlineStr">
        <is>
          <t>IVE-8710103779834</t>
        </is>
      </c>
      <c r="F1152" s="12" t="inlineStr">
        <is>
          <t>00A.0489.003</t>
        </is>
      </c>
      <c r="G1152" s="14" t="inlineStr">
        <is>
          <t>IVENTAS</t>
        </is>
      </c>
      <c r="H1152" s="14" t="inlineStr">
        <is>
          <t>Philips AVENT</t>
        </is>
      </c>
      <c r="I1152" s="14" t="inlineStr">
        <is>
          <t>Philips AVENT SCF553/05 Learning Cup for Children, Leak-Proof, BPA-Free, for 9 Months, 260 ml, Green and Blue, Pack of 1</t>
        </is>
      </c>
      <c r="J1152" s="14" t="inlineStr">
        <is>
          <t>No</t>
        </is>
      </c>
      <c r="K1152" s="14" t="inlineStr">
        <is>
          <t>https://www.amazon.de/-/en/AVENT-SCF553-05-Learning-Leak-Proof/dp/B00WJNJ8QS/ref=sr_1_1?crid=31UV99KG1UKFE&amp;dib=eyJ2IjoiMSJ9.AMnlWyiPeLzBP0unyNX5KA.FdibzZZ0iElhhBPK7irIUMXdLoA4JjhCRG2a1mhlUps&amp;dib_tag=se&amp;keywords=SCF553%2F05&amp;qid=1769890372&amp;sprefix=scf553%2F05%2Caps%2C105&amp;sr=8-1</t>
        </is>
      </c>
      <c r="L1152" s="14" t="inlineStr">
        <is>
          <t>B00WJNJ8QS</t>
        </is>
      </c>
      <c r="M1152" s="15" t="n"/>
      <c r="N1152" s="15" t="n"/>
      <c r="O1152" s="15" t="n">
        <v>14.45</v>
      </c>
      <c r="P1152" s="15">
        <f>O1152/1.19</f>
        <v/>
      </c>
      <c r="Q1152" s="15">
        <f>O1152-P1152</f>
        <v/>
      </c>
      <c r="R1152" s="15">
        <f>O1152*0.15</f>
        <v/>
      </c>
      <c r="S1152" s="15" t="n">
        <v>6.07</v>
      </c>
      <c r="T1152" s="15">
        <f>S1152*0.2</f>
        <v/>
      </c>
      <c r="U1152" s="15" t="n">
        <v>0.400000000000002</v>
      </c>
      <c r="V1152" s="15" t="n">
        <v>2.75</v>
      </c>
      <c r="W1152" s="15">
        <f>V1152*0.2</f>
        <v/>
      </c>
      <c r="X1152" s="21">
        <f>O1152-Q1152-R1152-S1152-U1152-V1152+T1152+W1152</f>
        <v/>
      </c>
      <c r="Y1152" s="14" t="n"/>
      <c r="Z1152" s="15">
        <f>O1152+1.5</f>
        <v/>
      </c>
      <c r="AA1152" s="15" t="n"/>
      <c r="AB1152" s="15" t="n"/>
      <c r="AC1152" s="14" t="n"/>
      <c r="AD1152" s="14" t="n"/>
      <c r="AE1152" s="13" t="inlineStr">
        <is>
          <t>NOT_UPLOADED</t>
        </is>
      </c>
    </row>
    <row r="1153" ht="16" customHeight="1">
      <c r="A1153" s="17" t="n"/>
      <c r="B1153" s="17" t="n">
        <v>8710103826286</v>
      </c>
      <c r="C1153" s="13" t="n"/>
      <c r="D1153" s="18" t="n"/>
      <c r="E1153" s="18" t="n"/>
      <c r="F1153" s="17" t="inlineStr">
        <is>
          <t>SCF802/01</t>
        </is>
      </c>
      <c r="G1153" s="18" t="inlineStr">
        <is>
          <t>IVENTAS</t>
        </is>
      </c>
      <c r="H1153" s="18" t="inlineStr">
        <is>
          <t>Philips AVENT</t>
        </is>
      </c>
      <c r="I1153" s="18" t="inlineStr">
        <is>
          <t>Philips Avent Tumbler Beaker blue / red</t>
        </is>
      </c>
      <c r="J1153" s="18" t="inlineStr">
        <is>
          <t>No</t>
        </is>
      </c>
      <c r="K1153" s="18" t="inlineStr">
        <is>
          <t>https://www.amazon.de/-/en/Philips-Avent-Tumbler-Beaker-blue/dp/B07B4D85P5/ref=sr_1_1?crid=1X4B8CM8B5PH2&amp;dib=eyJ2IjoiMSJ9.Ljseh3Gw45lqC09Xjy4935YUSuPuPeQXGV0UZihu4c-9DY2HcjZC3io3h4553lDom-UmToERmOorkgcRkexgYEU0qSHyPR2cvQFl3ioXrkc.2ktxT0sUwOVOuoTcQmy92Uonp7p3xdHK5zUlLNyx6nE&amp;dib_tag=se&amp;keywords=SCF802%2F01&amp;qid=1769893099&amp;sprefix=scf802%2F01%2Caps%2C110&amp;sr=8-1&amp;th=1</t>
        </is>
      </c>
      <c r="L1153" s="18" t="inlineStr">
        <is>
          <t>B07B4D85P5</t>
        </is>
      </c>
      <c r="M1153" s="19" t="n"/>
      <c r="N1153" s="19" t="n"/>
      <c r="O1153" s="19" t="n">
        <v>16.6</v>
      </c>
      <c r="P1153" s="19">
        <f>O1153/1.19</f>
        <v/>
      </c>
      <c r="Q1153" s="19">
        <f>O1153-P1153</f>
        <v/>
      </c>
      <c r="R1153" s="19">
        <f>O1153*0.15</f>
        <v/>
      </c>
      <c r="S1153" s="19" t="n">
        <v>6.88</v>
      </c>
      <c r="T1153" s="19">
        <f>S1153*0.2</f>
        <v/>
      </c>
      <c r="U1153" s="19" t="n">
        <v>0.400000000000002</v>
      </c>
      <c r="V1153" s="19" t="n">
        <v>2.75</v>
      </c>
      <c r="W1153" s="19">
        <f>V1153*0.2</f>
        <v/>
      </c>
      <c r="X1153" s="21">
        <f>O1153-Q1153-R1153-S1153-U1153-V1153+T1153+W1153</f>
        <v/>
      </c>
      <c r="Y1153" s="18" t="n"/>
      <c r="Z1153" s="19">
        <f>O1153+1.5</f>
        <v/>
      </c>
      <c r="AA1153" s="19" t="n"/>
      <c r="AB1153" s="19" t="n"/>
      <c r="AC1153" s="18" t="n"/>
      <c r="AD1153" s="18" t="n"/>
      <c r="AE1153" s="13" t="inlineStr">
        <is>
          <t>NOT_UPLOADED</t>
        </is>
      </c>
    </row>
    <row r="1154" ht="16" customHeight="1">
      <c r="A1154" s="12" t="n"/>
      <c r="B1154" s="12" t="n">
        <v>8710103826286</v>
      </c>
      <c r="C1154" s="13" t="n"/>
      <c r="D1154" s="14" t="inlineStr">
        <is>
          <t>APPROVAL</t>
        </is>
      </c>
      <c r="E1154" s="14" t="n"/>
      <c r="F1154" s="12" t="inlineStr">
        <is>
          <t>SCF802/01</t>
        </is>
      </c>
      <c r="G1154" s="14" t="inlineStr">
        <is>
          <t>IVENTAS</t>
        </is>
      </c>
      <c r="H1154" s="14" t="inlineStr">
        <is>
          <t>Philips AVENT</t>
        </is>
      </c>
      <c r="I1154" s="14" t="inlineStr">
        <is>
          <t>PHILIPS AVENT 300 ml Boy Learning Cup with Spout Drinking Bottle Bottle Pack of 1</t>
        </is>
      </c>
      <c r="J1154" s="14" t="inlineStr">
        <is>
          <t>No</t>
        </is>
      </c>
      <c r="K1154" s="14" t="inlineStr">
        <is>
          <t>https://www.amazon.de/-/en/PHILIPS-AVENT-Learning-Drinking-Bottle/dp/B079X2GF26/ref=sr_1_1?crid=291C53QQ0TSVQ&amp;dib=eyJ2IjoiMSJ9.y-JY3f5YsqDyFIUSFzw3_A.JCJdQmV9IuXovCX8FOvSwO8qSP-XfcJkZsbtZiiznmU&amp;dib_tag=se&amp;keywords=B079X2GF26&amp;qid=1769893273&amp;sprefix=b079x2gf26%2Caps%2C112&amp;sr=8-1</t>
        </is>
      </c>
      <c r="L1154" s="14" t="inlineStr">
        <is>
          <t>B079X2GF26</t>
        </is>
      </c>
      <c r="M1154" s="15" t="n"/>
      <c r="N1154" s="15" t="n"/>
      <c r="O1154" s="15" t="n"/>
      <c r="P1154" s="15" t="n"/>
      <c r="Q1154" s="15" t="n"/>
      <c r="R1154" s="15" t="n"/>
      <c r="S1154" s="15" t="n">
        <v>6.88</v>
      </c>
      <c r="T1154" s="15">
        <f>S1154*0.2</f>
        <v/>
      </c>
      <c r="U1154" s="15" t="n">
        <v>0.400000000000002</v>
      </c>
      <c r="V1154" s="15" t="n">
        <v>2.75</v>
      </c>
      <c r="W1154" s="15">
        <f>V1154*0.2</f>
        <v/>
      </c>
      <c r="X1154" s="22" t="n"/>
      <c r="Y1154" s="14" t="n"/>
      <c r="Z1154" s="15" t="n"/>
      <c r="AA1154" s="15" t="n"/>
      <c r="AB1154" s="15" t="n"/>
      <c r="AC1154" s="14" t="n"/>
      <c r="AD1154" s="14" t="n"/>
      <c r="AE1154" s="13" t="inlineStr">
        <is>
          <t>NOT_UPLOADED</t>
        </is>
      </c>
    </row>
    <row r="1155" ht="16" customHeight="1">
      <c r="A1155" s="17" t="n"/>
      <c r="B1155" s="17" t="n">
        <v>8710103826316</v>
      </c>
      <c r="C1155" s="13" t="n"/>
      <c r="D1155" s="18" t="n"/>
      <c r="E1155" s="18" t="n"/>
      <c r="F1155" s="17" t="inlineStr">
        <is>
          <t>SCF802/02</t>
        </is>
      </c>
      <c r="G1155" s="18" t="inlineStr">
        <is>
          <t>IVENTAS</t>
        </is>
      </c>
      <c r="H1155" s="18" t="inlineStr">
        <is>
          <t>Philips AVENT</t>
        </is>
      </c>
      <c r="I1155" s="18" t="inlineStr">
        <is>
          <t>Philips Avent Tumbler Beaker</t>
        </is>
      </c>
      <c r="J1155" s="18" t="inlineStr">
        <is>
          <t>No</t>
        </is>
      </c>
      <c r="K1155" s="18" t="inlineStr">
        <is>
          <t>https://www.amazon.de/-/en/Philips-SCF802-02-Tumbler-Beaker/dp/B07B4MF2RL/ref=sr_1_1?crid=28N63V4GFXO7O&amp;dib=eyJ2IjoiMSJ9.MGuHvCMwAa3k-RPdmDdtaZiQ27vIBnxpLQf5wIun4ozGjHj071QN20LucGBJIEps.Fw26g0ndZiX9IXLpIU_Old_W3UymnwDEe7zjSILXfu0&amp;dib_tag=se&amp;keywords=SCF802%2F02&amp;qid=1769936567&amp;sprefix=scf802%2F02%2Caps%2C234&amp;sr=8-1&amp;th=1</t>
        </is>
      </c>
      <c r="L1155" s="18" t="inlineStr">
        <is>
          <t>B07B4MF2RL</t>
        </is>
      </c>
      <c r="M1155" s="19" t="n"/>
      <c r="N1155" s="19" t="n"/>
      <c r="O1155" s="19" t="n">
        <v>16.9</v>
      </c>
      <c r="P1155" s="19">
        <f>O1155/1.19</f>
        <v/>
      </c>
      <c r="Q1155" s="19">
        <f>O1155-P1155</f>
        <v/>
      </c>
      <c r="R1155" s="19">
        <f>O1155*0.15</f>
        <v/>
      </c>
      <c r="S1155" s="19" t="n">
        <v>6.88</v>
      </c>
      <c r="T1155" s="19">
        <f>S1155*0.2</f>
        <v/>
      </c>
      <c r="U1155" s="19" t="n">
        <v>0.400000000000002</v>
      </c>
      <c r="V1155" s="19" t="n">
        <v>2.75</v>
      </c>
      <c r="W1155" s="19">
        <f>V1155*0.2</f>
        <v/>
      </c>
      <c r="X1155" s="21">
        <f>O1155-Q1155-R1155-S1155-U1155-V1155+T1155+W1155</f>
        <v/>
      </c>
      <c r="Y1155" s="18" t="n"/>
      <c r="Z1155" s="19">
        <f>O1155+1.5</f>
        <v/>
      </c>
      <c r="AA1155" s="19" t="n"/>
      <c r="AB1155" s="19" t="n"/>
      <c r="AC1155" s="18" t="n"/>
      <c r="AD1155" s="18" t="n"/>
      <c r="AE1155" s="13" t="inlineStr">
        <is>
          <t>NOT_UPLOADED</t>
        </is>
      </c>
    </row>
    <row r="1156" ht="16" customHeight="1">
      <c r="A1156" s="12" t="n">
        <v>8710103826316</v>
      </c>
      <c r="B1156" s="12" t="n">
        <v>8710103826316</v>
      </c>
      <c r="C1156" s="13" t="n"/>
      <c r="D1156" s="14" t="inlineStr">
        <is>
          <t>SCF802/02</t>
        </is>
      </c>
      <c r="E1156" s="14" t="inlineStr">
        <is>
          <t>IVE-8710103826316</t>
        </is>
      </c>
      <c r="F1156" s="12" t="inlineStr">
        <is>
          <t>00A.0526.002</t>
        </is>
      </c>
      <c r="G1156" s="14" t="inlineStr">
        <is>
          <t>IVENTAS</t>
        </is>
      </c>
      <c r="H1156" s="14" t="inlineStr">
        <is>
          <t>Philips AVENT</t>
        </is>
      </c>
      <c r="I1156" s="14" t="inlineStr">
        <is>
          <t>Avent Cup Bec Souple Violette 300 ml</t>
        </is>
      </c>
      <c r="J1156" s="14" t="inlineStr">
        <is>
          <t>No</t>
        </is>
      </c>
      <c r="K1156" s="14" t="inlineStr">
        <is>
          <t>https://www.amazon.de/-/en/Avent-Cup-Bec-Souple-Violette/dp/B07BQ1KX5N/ref=sr_1_3?crid=28N63V4GFXO7O&amp;dib=eyJ2IjoiMSJ9.MGuHvCMwAa3k-RPdmDdtaZiQ27vIBnxpLQf5wIun4ozGjHj071QN20LucGBJIEps.Fw26g0ndZiX9IXLpIU_Old_W3UymnwDEe7zjSILXfu0&amp;dib_tag=se&amp;keywords=SCF802%2F02&amp;qid=1769936567&amp;sprefix=scf802%2F02%2Caps%2C234&amp;sr=8-3</t>
        </is>
      </c>
      <c r="L1156" s="14" t="inlineStr">
        <is>
          <t>B07BQ1KX5N</t>
        </is>
      </c>
      <c r="M1156" s="15" t="n"/>
      <c r="N1156" s="15" t="n"/>
      <c r="O1156" s="15" t="n">
        <v>16</v>
      </c>
      <c r="P1156" s="15">
        <f>O1156/1.19</f>
        <v/>
      </c>
      <c r="Q1156" s="15">
        <f>O1156-P1156</f>
        <v/>
      </c>
      <c r="R1156" s="15">
        <f>O1156*0.15</f>
        <v/>
      </c>
      <c r="S1156" s="15" t="n">
        <v>6.88</v>
      </c>
      <c r="T1156" s="15">
        <f>S1156*0.2</f>
        <v/>
      </c>
      <c r="U1156" s="15" t="n">
        <v>0.400000000000002</v>
      </c>
      <c r="V1156" s="15" t="n">
        <v>2.75</v>
      </c>
      <c r="W1156" s="15">
        <f>V1156*0.2</f>
        <v/>
      </c>
      <c r="X1156" s="21">
        <f>O1156-Q1156-R1156-S1156-U1156-V1156+T1156+W1156</f>
        <v/>
      </c>
      <c r="Y1156" s="14" t="n"/>
      <c r="Z1156" s="15">
        <f>O1156+1.5</f>
        <v/>
      </c>
      <c r="AA1156" s="15" t="n"/>
      <c r="AB1156" s="15" t="n"/>
      <c r="AC1156" s="14" t="n"/>
      <c r="AD1156" s="14" t="n"/>
      <c r="AE1156" s="13" t="inlineStr">
        <is>
          <t>NOT_UPLOADED</t>
        </is>
      </c>
    </row>
    <row r="1157" ht="16" customHeight="1">
      <c r="A1157" s="17" t="n"/>
      <c r="B1157" s="17" t="n">
        <v>8710103855583</v>
      </c>
      <c r="C1157" s="13" t="n"/>
      <c r="D1157" s="18" t="n"/>
      <c r="E1157" s="18" t="n"/>
      <c r="F1157" s="17" t="inlineStr">
        <is>
          <t>SCF804/03</t>
        </is>
      </c>
      <c r="G1157" s="18" t="inlineStr">
        <is>
          <t>IVENTAS</t>
        </is>
      </c>
      <c r="H1157" s="18" t="inlineStr">
        <is>
          <t>Philips AVENT</t>
        </is>
      </c>
      <c r="I1157" s="18" t="inlineStr">
        <is>
          <t>PHILIPS AVENT 300 ml Boy Learning Cup with Spout Drinking Bottle Bottle Pack of 1</t>
        </is>
      </c>
      <c r="J1157" s="18" t="inlineStr">
        <is>
          <t>No</t>
        </is>
      </c>
      <c r="K1157" s="18" t="inlineStr">
        <is>
          <t>https://www.amazon.de/-/en/PHILIPS-AVENT-Learning-Drinking-Bottle/dp/B079WV1QGB/ref=sr_1_1?crid=1QO2RT4QG52FV&amp;dib=eyJ2IjoiMSJ9.brkpwCKLBMYUEb2Y7CHRyQ.-j3mwfjHwAUrCmyc7lcm3iwe3E4rZGuPM14i9TmF35Q&amp;dib_tag=se&amp;keywords=SCF804%2F03&amp;qid=1769937290&amp;sprefix=scf804%2F03%2Caps%2C132&amp;sr=8-1</t>
        </is>
      </c>
      <c r="L1157" s="18" t="inlineStr">
        <is>
          <t>B079WV1QGB</t>
        </is>
      </c>
      <c r="M1157" s="19" t="n"/>
      <c r="N1157" s="19" t="n"/>
      <c r="O1157" s="19" t="n">
        <v>17</v>
      </c>
      <c r="P1157" s="19">
        <f>O1157/1.19</f>
        <v/>
      </c>
      <c r="Q1157" s="19">
        <f>O1157-P1157</f>
        <v/>
      </c>
      <c r="R1157" s="19">
        <f>O1157*0.15</f>
        <v/>
      </c>
      <c r="S1157" s="19" t="n">
        <v>6.88</v>
      </c>
      <c r="T1157" s="19">
        <f>S1157*0.2</f>
        <v/>
      </c>
      <c r="U1157" s="19" t="n">
        <v>0.400000000000002</v>
      </c>
      <c r="V1157" s="19" t="n">
        <v>2.75</v>
      </c>
      <c r="W1157" s="19">
        <f>V1157*0.2</f>
        <v/>
      </c>
      <c r="X1157" s="21">
        <f>O1157-Q1157-R1157-S1157-U1157-V1157+T1157+W1157</f>
        <v/>
      </c>
      <c r="Y1157" s="18" t="n"/>
      <c r="Z1157" s="19">
        <f>O1157+1.5</f>
        <v/>
      </c>
      <c r="AA1157" s="19" t="n"/>
      <c r="AB1157" s="19" t="n"/>
      <c r="AC1157" s="18" t="n"/>
      <c r="AD1157" s="18" t="n"/>
      <c r="AE1157" s="13" t="inlineStr">
        <is>
          <t>NOT_UPLOADED</t>
        </is>
      </c>
    </row>
    <row r="1158" ht="16" customHeight="1">
      <c r="A1158" s="12" t="n">
        <v>8710103855590</v>
      </c>
      <c r="B1158" s="12" t="n">
        <v>8710103855590</v>
      </c>
      <c r="C1158" s="13" t="n"/>
      <c r="D1158" s="14" t="inlineStr">
        <is>
          <t>SCF804/04</t>
        </is>
      </c>
      <c r="E1158" s="14" t="inlineStr">
        <is>
          <t>IVE-8710103855590</t>
        </is>
      </c>
      <c r="F1158" s="12" t="inlineStr">
        <is>
          <t>00A.0527.002</t>
        </is>
      </c>
      <c r="G1158" s="14" t="inlineStr">
        <is>
          <t>IVENTAS</t>
        </is>
      </c>
      <c r="H1158" s="14" t="inlineStr">
        <is>
          <t>Philips AVENT</t>
        </is>
      </c>
      <c r="I1158" s="14" t="inlineStr">
        <is>
          <t>Philips AVENT Hard Mouthpiece Cup - Super Bite-Resistant Mouthpiece - Small Parts - Easy Cleaning - Bisphenol A - 18m+ - 300ml - SCF804/04</t>
        </is>
      </c>
      <c r="J1158" s="14" t="inlineStr">
        <is>
          <t>No</t>
        </is>
      </c>
      <c r="K1158" s="14" t="inlineStr">
        <is>
          <t>https://www.amazon.de/-/en/Philips-AVENT-Hard-Mouthpiece-Bite-Resistant/dp/B07BJTD59Z/ref=sr_1_1?crid=W3HKOS1K8KGB&amp;dib=eyJ2IjoiMSJ9.KsFz-utk4nGOrYu-1D1_Tw.9u6SrGxx_AC7rAehmJz7t472irrMjx_1ia2vZQoRPwQ&amp;dib_tag=se&amp;keywords=SCF804%2F04&amp;qid=1769942667&amp;sprefix=scf804%2F04%2Caps%2C107&amp;sr=8-1</t>
        </is>
      </c>
      <c r="L1158" s="14" t="inlineStr">
        <is>
          <t>B07BJTD59Z</t>
        </is>
      </c>
      <c r="M1158" s="15" t="n"/>
      <c r="N1158" s="15" t="n"/>
      <c r="O1158" s="15" t="n">
        <v>16.75</v>
      </c>
      <c r="P1158" s="15">
        <f>O1158/1.19</f>
        <v/>
      </c>
      <c r="Q1158" s="15">
        <f>O1158-P1158</f>
        <v/>
      </c>
      <c r="R1158" s="15">
        <f>O1158*0.15</f>
        <v/>
      </c>
      <c r="S1158" s="15" t="n">
        <v>6.88</v>
      </c>
      <c r="T1158" s="15">
        <f>S1158*0.2</f>
        <v/>
      </c>
      <c r="U1158" s="15" t="n">
        <v>0.400000000000002</v>
      </c>
      <c r="V1158" s="15" t="n">
        <v>3</v>
      </c>
      <c r="W1158" s="15">
        <f>V1158*0.2</f>
        <v/>
      </c>
      <c r="X1158" s="21">
        <f>O1158-Q1158-R1158-S1158-U1158-V1158+T1158+W1158</f>
        <v/>
      </c>
      <c r="Y1158" s="14" t="n"/>
      <c r="Z1158" s="15">
        <f>O1158+1.5</f>
        <v/>
      </c>
      <c r="AA1158" s="15" t="n"/>
      <c r="AB1158" s="15" t="n"/>
      <c r="AC1158" s="14" t="n"/>
      <c r="AD1158" s="14" t="n"/>
      <c r="AE1158" s="13" t="inlineStr">
        <is>
          <t>NOT_UPLOADED</t>
        </is>
      </c>
    </row>
    <row r="1159" ht="16" customHeight="1">
      <c r="A1159" s="17" t="n">
        <v>8710103606611</v>
      </c>
      <c r="B1159" s="17" t="n">
        <v>8720689008280</v>
      </c>
      <c r="C1159" s="13" t="n"/>
      <c r="D1159" s="18" t="inlineStr">
        <is>
          <t>SCF297/05</t>
        </is>
      </c>
      <c r="E1159" s="18" t="inlineStr">
        <is>
          <t>IVE-8710103606611</t>
        </is>
      </c>
      <c r="F1159" s="17" t="inlineStr">
        <is>
          <t>00A.0109.001</t>
        </is>
      </c>
      <c r="G1159" s="18" t="inlineStr">
        <is>
          <t>IVENTAS</t>
        </is>
      </c>
      <c r="H1159" s="18" t="inlineStr">
        <is>
          <t>Philips AVENT</t>
        </is>
      </c>
      <c r="I1159" s="18" t="inlineStr">
        <is>
          <t>Philips AVENT Microwave Steam Steriliser Bags, Pack of 5</t>
        </is>
      </c>
      <c r="J1159" s="18" t="inlineStr">
        <is>
          <t>No</t>
        </is>
      </c>
      <c r="K1159" s="18" t="inlineStr">
        <is>
          <t>https://www.amazon.de/-/en/Philips-AVENT-Microwave-Steam-Steriliser/dp/B00DUEFZK8/ref=sr_1_1?crid=2S6FGF291GTJA&amp;dib=eyJ2IjoiMSJ9.8G_UkLS63kblB374uQpIwbnp1SHl-r6AC0_6SK5y53U.XWKiMOrAjHvXRNSriYaf1UH7T5HuGUYqo6w3sBo6k4E&amp;dib_tag=se&amp;keywords=SCF297%2F05&amp;qid=1769943158&amp;sprefix=scf297%2F05%2Caps%2C116&amp;sr=8-1&amp;th=1</t>
        </is>
      </c>
      <c r="L1159" s="18" t="inlineStr">
        <is>
          <t>B00DUEFZK8</t>
        </is>
      </c>
      <c r="M1159" s="19" t="n"/>
      <c r="N1159" s="19" t="n"/>
      <c r="O1159" s="19" t="n">
        <v>18.45</v>
      </c>
      <c r="P1159" s="19">
        <f>O1159/1.19</f>
        <v/>
      </c>
      <c r="Q1159" s="19">
        <f>O1159-P1159</f>
        <v/>
      </c>
      <c r="R1159" s="19">
        <f>O1159*0.15</f>
        <v/>
      </c>
      <c r="S1159" s="19" t="n">
        <v>9.49</v>
      </c>
      <c r="T1159" s="19">
        <f>S1159*0.2</f>
        <v/>
      </c>
      <c r="U1159" s="19" t="n">
        <v>0.400000000000002</v>
      </c>
      <c r="V1159" s="19" t="n">
        <v>2.4</v>
      </c>
      <c r="W1159" s="19">
        <f>V1159*0.2</f>
        <v/>
      </c>
      <c r="X1159" s="21">
        <f>O1159-Q1159-R1159-S1159-U1159-V1159+T1159+W1159</f>
        <v/>
      </c>
      <c r="Y1159" s="18" t="n"/>
      <c r="Z1159" s="19">
        <f>O1159+1.5</f>
        <v/>
      </c>
      <c r="AA1159" s="19" t="n"/>
      <c r="AB1159" s="19" t="n"/>
      <c r="AC1159" s="18" t="n"/>
      <c r="AD1159" s="18" t="n"/>
      <c r="AE1159" s="13" t="inlineStr">
        <is>
          <t>NOT_UPLOADED</t>
        </is>
      </c>
    </row>
    <row r="1160" ht="16" customHeight="1">
      <c r="A1160" s="12" t="n"/>
      <c r="B1160" s="12" t="n">
        <v>8720689008280</v>
      </c>
      <c r="C1160" s="13" t="n"/>
      <c r="D1160" s="14" t="n"/>
      <c r="E1160" s="14" t="n"/>
      <c r="F1160" s="12" t="inlineStr">
        <is>
          <t>SCF297/05</t>
        </is>
      </c>
      <c r="G1160" s="14" t="inlineStr">
        <is>
          <t>IVENTAS</t>
        </is>
      </c>
      <c r="H1160" s="14" t="inlineStr">
        <is>
          <t>Philips AVENT</t>
        </is>
      </c>
      <c r="I1160" s="14" t="inlineStr">
        <is>
          <t>Philips AVENT SCF297/05 Microwave Steam Sterilizer Bag</t>
        </is>
      </c>
      <c r="J1160" s="14" t="inlineStr">
        <is>
          <t>No</t>
        </is>
      </c>
      <c r="K1160" s="14" t="inlineStr">
        <is>
          <t>https://www.amazon.de/-/en/Philips-SCF297-05-Microwave-Sterilizer/dp/B014V1BVUG/ref=sr_1_2?crid=2S6FGF291GTJA&amp;dib=eyJ2IjoiMSJ9.8G_UkLS63kblB374uQpIwbnp1SHl-r6AC0_6SK5y53U.XWKiMOrAjHvXRNSriYaf1UH7T5HuGUYqo6w3sBo6k4E&amp;dib_tag=se&amp;keywords=SCF297%2F05&amp;qid=1769943158&amp;sprefix=scf297%2F05%2Caps%2C116&amp;sr=8-2</t>
        </is>
      </c>
      <c r="L1160" s="14" t="inlineStr">
        <is>
          <t>B014V1BVUG</t>
        </is>
      </c>
      <c r="M1160" s="15" t="n"/>
      <c r="N1160" s="15" t="n"/>
      <c r="O1160" s="15" t="n">
        <v>17.99</v>
      </c>
      <c r="P1160" s="15">
        <f>O1160/1.19</f>
        <v/>
      </c>
      <c r="Q1160" s="15">
        <f>O1160-P1160</f>
        <v/>
      </c>
      <c r="R1160" s="15">
        <f>O1160*0.15</f>
        <v/>
      </c>
      <c r="S1160" s="15" t="n">
        <v>9.49</v>
      </c>
      <c r="T1160" s="15">
        <f>S1160*0.2</f>
        <v/>
      </c>
      <c r="U1160" s="15" t="n">
        <v>0.400000000000002</v>
      </c>
      <c r="V1160" s="15" t="n">
        <v>2.4</v>
      </c>
      <c r="W1160" s="15">
        <f>V1160*0.2</f>
        <v/>
      </c>
      <c r="X1160" s="21">
        <f>O1160-Q1160-R1160-S1160-U1160-V1160+T1160+W1160</f>
        <v/>
      </c>
      <c r="Y1160" s="14" t="n"/>
      <c r="Z1160" s="15">
        <f>O1160+1.5</f>
        <v/>
      </c>
      <c r="AA1160" s="15" t="n"/>
      <c r="AB1160" s="15" t="n"/>
      <c r="AC1160" s="14" t="n"/>
      <c r="AD1160" s="14" t="n"/>
      <c r="AE1160" s="13" t="inlineStr">
        <is>
          <t>NOT_UPLOADED</t>
        </is>
      </c>
    </row>
    <row r="1161" ht="16" customHeight="1">
      <c r="A1161" s="17" t="n">
        <v>8710103943969</v>
      </c>
      <c r="B1161" s="17" t="n">
        <v>8710103943969</v>
      </c>
      <c r="C1161" s="13" t="n"/>
      <c r="D1161" s="18" t="inlineStr">
        <is>
          <t>SCF430/10</t>
        </is>
      </c>
      <c r="E1161" s="18" t="inlineStr">
        <is>
          <t>IVE-8710103943969</t>
        </is>
      </c>
      <c r="F1161" s="17" t="inlineStr">
        <is>
          <t>00A.0561.001</t>
        </is>
      </c>
      <c r="G1161" s="18" t="inlineStr">
        <is>
          <t>IVENTAS</t>
        </is>
      </c>
      <c r="H1161" s="18" t="inlineStr">
        <is>
          <t>Philips AVENT</t>
        </is>
      </c>
      <c r="I1161" s="18" t="inlineStr">
        <is>
          <t>Philips Avent Manual Breast Pump (Model SCF430/10)</t>
        </is>
      </c>
      <c r="J1161" s="18" t="inlineStr">
        <is>
          <t>No</t>
        </is>
      </c>
      <c r="K1161" s="18" t="inlineStr">
        <is>
          <t>https://www.amazon.de/-/en/Philips-Manual-Breast-SCF430-10/dp/B08TDBW1H2/ref=sr_1_2?crid=1413B1FAZ7EBI&amp;dib=eyJ2IjoiMSJ9.G7fLbfuuSlCtpDoAqggFlCt9yFRYO1B0KlDi-k0lONbGjHj071QN20LucGBJIEps.y8jNzhKuhpxWyynnA4JsIUWU7oQD-nz0pv9klDGvfzc&amp;dib_tag=se&amp;keywords=SCF430%2F10&amp;qid=1769944420&amp;sprefix=scf430%2F10%2Caps%2C209&amp;sr=8-2&amp;th=1</t>
        </is>
      </c>
      <c r="L1161" s="18" t="inlineStr">
        <is>
          <t>B08TDBW1H2</t>
        </is>
      </c>
      <c r="M1161" s="19" t="n"/>
      <c r="N1161" s="19" t="n"/>
      <c r="O1161" s="19" t="n">
        <v>56.56</v>
      </c>
      <c r="P1161" s="19">
        <f>O1161/1.19</f>
        <v/>
      </c>
      <c r="Q1161" s="19">
        <f>O1161-P1161</f>
        <v/>
      </c>
      <c r="R1161" s="19">
        <f>O1161*0.15</f>
        <v/>
      </c>
      <c r="S1161" s="19" t="n">
        <v>32.4</v>
      </c>
      <c r="T1161" s="19">
        <f>S1161*0.2</f>
        <v/>
      </c>
      <c r="U1161" s="19" t="n">
        <v>0.400000000000002</v>
      </c>
      <c r="V1161" s="19" t="n">
        <v>5.5</v>
      </c>
      <c r="W1161" s="19">
        <f>V1161*0.2</f>
        <v/>
      </c>
      <c r="X1161" s="21">
        <f>O1161-Q1161-R1161-S1161-U1161-V1161+T1161+W1161</f>
        <v/>
      </c>
      <c r="Y1161" s="18" t="n"/>
      <c r="Z1161" s="19">
        <f>O1161+1.5</f>
        <v/>
      </c>
      <c r="AA1161" s="19" t="n"/>
      <c r="AB1161" s="19" t="n"/>
      <c r="AC1161" s="18" t="n"/>
      <c r="AD1161" s="18" t="n"/>
      <c r="AE1161" s="13" t="inlineStr">
        <is>
          <t>NOT_UPLOADED</t>
        </is>
      </c>
    </row>
    <row r="1162" ht="16" customHeight="1">
      <c r="A1162" s="12" t="n"/>
      <c r="B1162" s="12" t="n">
        <v>8710103952664</v>
      </c>
      <c r="C1162" s="13" t="n"/>
      <c r="D1162" s="14" t="n"/>
      <c r="E1162" s="14" t="n"/>
      <c r="F1162" s="12" t="inlineStr">
        <is>
          <t>SCF430/16</t>
        </is>
      </c>
      <c r="G1162" s="14" t="inlineStr">
        <is>
          <t>IVENTAS</t>
        </is>
      </c>
      <c r="H1162" s="14" t="inlineStr">
        <is>
          <t>Philips AVENT</t>
        </is>
      </c>
      <c r="I1162" s="14" t="inlineStr">
        <is>
          <t>Philips Avent Manual Breast Pump Starter Set - Easy Pumping, Storing and Feeding with Natural Motion Technology, Includes Baby bottle, storage cup and transport bag (model SCF430/16)</t>
        </is>
      </c>
      <c r="J1162" s="14" t="inlineStr">
        <is>
          <t>No</t>
        </is>
      </c>
      <c r="K1162" s="14" t="inlineStr">
        <is>
          <t>https://www.amazon.de/-/en/Philips-Avent-Manual-Breast-Starter/dp/B091M96PZ2/ref=sr_1_3?crid=1413B1FAZ7EBI&amp;dib=eyJ2IjoiMSJ9.G7fLbfuuSlCtpDoAqggFlCt9yFRYO1B0KlDi-k0lONbGjHj071QN20LucGBJIEps.y8jNzhKuhpxWyynnA4JsIUWU7oQD-nz0pv9klDGvfzc&amp;dib_tag=se&amp;keywords=SCF430%2F10&amp;qid=1769944420&amp;sprefix=scf430%2F10%2Caps%2C209&amp;sr=8-3&amp;th=1</t>
        </is>
      </c>
      <c r="L1162" s="14" t="inlineStr">
        <is>
          <t>B091M96PZ2</t>
        </is>
      </c>
      <c r="M1162" s="15" t="n"/>
      <c r="N1162" s="15" t="n"/>
      <c r="O1162" s="15" t="n">
        <v>74.83</v>
      </c>
      <c r="P1162" s="15">
        <f>O1162/1.19</f>
        <v/>
      </c>
      <c r="Q1162" s="15">
        <f>O1162-P1162</f>
        <v/>
      </c>
      <c r="R1162" s="15">
        <f>O1162*0.15</f>
        <v/>
      </c>
      <c r="S1162" s="15" t="n">
        <v>42.22</v>
      </c>
      <c r="T1162" s="15">
        <f>S1162*0.2</f>
        <v/>
      </c>
      <c r="U1162" s="15" t="n">
        <v>0.400000000000002</v>
      </c>
      <c r="V1162" s="15" t="n">
        <v>8</v>
      </c>
      <c r="W1162" s="15">
        <f>V1162*0.2</f>
        <v/>
      </c>
      <c r="X1162" s="21">
        <f>O1162-Q1162-R1162-S1162-U1162-V1162+T1162+W1162</f>
        <v/>
      </c>
      <c r="Y1162" s="14" t="n"/>
      <c r="Z1162" s="15">
        <f>O1162+1.5</f>
        <v/>
      </c>
      <c r="AA1162" s="15" t="n"/>
      <c r="AB1162" s="15" t="n"/>
      <c r="AC1162" s="14" t="n"/>
      <c r="AD1162" s="14" t="n"/>
      <c r="AE1162" s="13" t="inlineStr">
        <is>
          <t>NOT_UPLOADED</t>
        </is>
      </c>
    </row>
    <row r="1163" ht="16" customHeight="1">
      <c r="A1163" s="17" t="n"/>
      <c r="B1163" s="17" t="n">
        <v>8720689033480</v>
      </c>
      <c r="C1163" s="13" t="n"/>
      <c r="D1163" s="18" t="n"/>
      <c r="E1163" s="18" t="n"/>
      <c r="F1163" s="17" t="inlineStr">
        <is>
          <t>SCD837/10</t>
        </is>
      </c>
      <c r="G1163" s="18" t="inlineStr">
        <is>
          <t>IVENTAS</t>
        </is>
      </c>
      <c r="H1163" s="18" t="inlineStr">
        <is>
          <t>Philips AVENT</t>
        </is>
      </c>
      <c r="I1163" s="18" t="inlineStr">
        <is>
          <t>Philips AVENT Natural Response Gift Set for Babies, Natural Response Baby Bottle 125 ml with Teat Size 2 (from Birth), Ultra Air Dummy, Model SCD837/10</t>
        </is>
      </c>
      <c r="J1163" s="18" t="inlineStr">
        <is>
          <t>No</t>
        </is>
      </c>
      <c r="K1163" s="18" t="inlineStr">
        <is>
          <t>https://www.amazon.de/-/en/Philips-Natural-Response-SCD837-10/dp/B0DCP4VWSV/ref=sr_1_1?crid=3RO97E3YUYK94&amp;dib=eyJ2IjoiMSJ9.DXiZXmA7bdKInL1wvFreoAnLvy4Vhq1zXwq7Zk9iYg4J_RmiTH0cP_8m_dHxrFn6LRJmAZN4Gpc0g6PNO-Ry4r7pBm-Ek0idYs1YsAlKCfo.CHaSyuR4vv2g6st-9F1o2v6Y8LD6VH_0IM-H1eZGYwc&amp;dib_tag=se&amp;keywords=SCD837%2F10&amp;qid=1769949491&amp;sprefix=scd837%2F10%2Caps%2C101&amp;sr=8-1&amp;th=1</t>
        </is>
      </c>
      <c r="L1163" s="18" t="inlineStr">
        <is>
          <t>B0DCP4VWSV</t>
        </is>
      </c>
      <c r="M1163" s="19" t="n"/>
      <c r="N1163" s="19" t="n"/>
      <c r="O1163" s="19" t="n">
        <v>20.59</v>
      </c>
      <c r="P1163" s="19">
        <f>O1163/1.19</f>
        <v/>
      </c>
      <c r="Q1163" s="19">
        <f>O1163-P1163</f>
        <v/>
      </c>
      <c r="R1163" s="19">
        <f>O1163*0.15</f>
        <v/>
      </c>
      <c r="S1163" s="19" t="n">
        <v>9.17</v>
      </c>
      <c r="T1163" s="19">
        <f>S1163*0.2</f>
        <v/>
      </c>
      <c r="U1163" s="19" t="n">
        <v>0.400000000000002</v>
      </c>
      <c r="V1163" s="19" t="n">
        <v>2.8</v>
      </c>
      <c r="W1163" s="19">
        <f>V1163*0.2</f>
        <v/>
      </c>
      <c r="X1163" s="21">
        <f>O1163-Q1163-R1163-S1163-U1163-V1163+T1163+W1163</f>
        <v/>
      </c>
      <c r="Y1163" s="18" t="n"/>
      <c r="Z1163" s="19">
        <f>O1163+1.5</f>
        <v/>
      </c>
      <c r="AA1163" s="19" t="n"/>
      <c r="AB1163" s="19" t="n"/>
      <c r="AC1163" s="18" t="n"/>
      <c r="AD1163" s="18" t="n"/>
      <c r="AE1163" s="13" t="inlineStr">
        <is>
          <t>NOT_UPLOADED</t>
        </is>
      </c>
    </row>
    <row r="1164" ht="16" customHeight="1">
      <c r="A1164" s="12" t="n"/>
      <c r="B1164" s="12" t="n">
        <v>8720689017565</v>
      </c>
      <c r="C1164" s="13" t="n"/>
      <c r="D1164" s="14" t="n"/>
      <c r="E1164" s="14" t="n"/>
      <c r="F1164" s="12" t="inlineStr">
        <is>
          <t>SCF085/61</t>
        </is>
      </c>
      <c r="G1164" s="14" t="inlineStr">
        <is>
          <t>IVENTAS</t>
        </is>
      </c>
      <c r="H1164" s="14" t="inlineStr">
        <is>
          <t>Philips AVENT</t>
        </is>
      </c>
      <c r="I1164" s="14" t="inlineStr">
        <is>
          <t>Philips AVENT ultra air dummy, pack of 2, BPA-free, breathable dummy for babies from 6-18 months, includes transport and sterilisation box, seahorse/puffer fish (model SCF085/61)</t>
        </is>
      </c>
      <c r="J1164" s="14" t="inlineStr">
        <is>
          <t>No</t>
        </is>
      </c>
      <c r="K1164" s="14" t="inlineStr">
        <is>
          <t>https://www.amazon.de/-/en/AVENT-breathable-sterilisation-SCF085-61/dp/B0CDLQF2PM/ref=sr_1_1?crid=3TT16UCQ4SSQB&amp;dib=eyJ2IjoiMSJ9.vT1v_un9wZljVJfkEeujhiHUds5XjZJdWKl0slZPWTdakEkxUw7lIqRukaWt20GbakX5dBvSVTMGOKtROv06DGfTO_ylYvXQN4hbTzCohPW8shdx2V3gxEDFrlYA-EqHcDguhlCIVIlefOlwZzL9PEEHjsheLMk33TaWdvruInL5ZjP9qcJIJ1CugcZQen6M.hjTA51rithoHV7UAUsI-sNBKqr1pTWsNGZcH7rFopRg&amp;dib_tag=se&amp;keywords=SCF085%2F61&amp;qid=1769950078&amp;sprefix=scf085%2F61%2Caps%2C130&amp;sr=8-1&amp;th=1</t>
        </is>
      </c>
      <c r="L1164" s="14" t="inlineStr">
        <is>
          <t>B0CDLQF2PM</t>
        </is>
      </c>
      <c r="M1164" s="15" t="n"/>
      <c r="N1164" s="15" t="n"/>
      <c r="O1164" s="15" t="n">
        <v>12.95</v>
      </c>
      <c r="P1164" s="15">
        <f>O1164/1.19</f>
        <v/>
      </c>
      <c r="Q1164" s="15">
        <f>O1164-P1164</f>
        <v/>
      </c>
      <c r="R1164" s="15">
        <f>O1164*0.15</f>
        <v/>
      </c>
      <c r="S1164" s="15" t="n">
        <v>5.53</v>
      </c>
      <c r="T1164" s="15">
        <f>S1164*0.2</f>
        <v/>
      </c>
      <c r="U1164" s="15" t="n">
        <v>0.400000000000002</v>
      </c>
      <c r="V1164" s="15" t="n">
        <v>2.3</v>
      </c>
      <c r="W1164" s="15">
        <f>V1164*0.2</f>
        <v/>
      </c>
      <c r="X1164" s="21">
        <f>O1164-Q1164-R1164-S1164-U1164-V1164+T1164+W1164</f>
        <v/>
      </c>
      <c r="Y1164" s="14" t="n"/>
      <c r="Z1164" s="15">
        <f>O1164+1.5</f>
        <v/>
      </c>
      <c r="AA1164" s="15" t="n"/>
      <c r="AB1164" s="15" t="n"/>
      <c r="AC1164" s="14" t="n"/>
      <c r="AD1164" s="14" t="n"/>
      <c r="AE1164" s="13" t="inlineStr">
        <is>
          <t>NOT_UPLOADED</t>
        </is>
      </c>
    </row>
    <row r="1165" ht="16" customHeight="1">
      <c r="A1165" s="17" t="n"/>
      <c r="B1165" s="17" t="n">
        <v>8720689017565</v>
      </c>
      <c r="C1165" s="13" t="n"/>
      <c r="D1165" s="18" t="n"/>
      <c r="E1165" s="18" t="n"/>
      <c r="F1165" s="17" t="inlineStr">
        <is>
          <t>SCF085/61</t>
        </is>
      </c>
      <c r="G1165" s="18" t="inlineStr">
        <is>
          <t>IVENTAS</t>
        </is>
      </c>
      <c r="H1165" s="18" t="inlineStr">
        <is>
          <t>Philips AVENT</t>
        </is>
      </c>
      <c r="I1165" s="18" t="inlineStr">
        <is>
          <t>Philips Avent Ultra Air Dummy - 2 x Lightweight, Breathable Dummies for 6-18 Months without Bisphenol A, Includes Steriliser Case (Model SCF085/61)</t>
        </is>
      </c>
      <c r="J1165" s="18" t="inlineStr">
        <is>
          <t>No</t>
        </is>
      </c>
      <c r="K1165" s="18" t="inlineStr">
        <is>
          <t>https://www.amazon.de/-/en/Philips-Avent-Ultra-Air-Dummy/dp/B0CDQH8KMB/ref=sr_1_6?crid=3TT16UCQ4SSQB&amp;dib=eyJ2IjoiMSJ9.vT1v_un9wZljVJfkEeujhiHUds5XjZJdWKl0slZPWTdakEkxUw7lIqRukaWt20GbakX5dBvSVTMGOKtROv06DGfTO_ylYvXQN4hbTzCohPW8shdx2V3gxEDFrlYA-EqHcDguhlCIVIlefOlwZzL9PEEHjsheLMk33TaWdvruInL5ZjP9qcJIJ1CugcZQen6M.hjTA51rithoHV7UAUsI-sNBKqr1pTWsNGZcH7rFopRg&amp;dib_tag=se&amp;keywords=SCF085%2F61&amp;qid=1769950078&amp;sprefix=scf085%2F61%2Caps%2C130&amp;sr=8-6</t>
        </is>
      </c>
      <c r="L1165" s="18" t="inlineStr">
        <is>
          <t>B0CDQH8KMB</t>
        </is>
      </c>
      <c r="M1165" s="19" t="n"/>
      <c r="N1165" s="19" t="n"/>
      <c r="O1165" s="19" t="n">
        <v>14.95</v>
      </c>
      <c r="P1165" s="19">
        <f>O1165/1.19</f>
        <v/>
      </c>
      <c r="Q1165" s="19">
        <f>O1165-P1165</f>
        <v/>
      </c>
      <c r="R1165" s="19">
        <f>O1165*0.15</f>
        <v/>
      </c>
      <c r="S1165" s="19" t="n">
        <v>5.53</v>
      </c>
      <c r="T1165" s="19">
        <f>S1165*0.2</f>
        <v/>
      </c>
      <c r="U1165" s="19" t="n">
        <v>0.400000000000002</v>
      </c>
      <c r="V1165" s="19" t="n">
        <v>2.3</v>
      </c>
      <c r="W1165" s="19">
        <f>V1165*0.2</f>
        <v/>
      </c>
      <c r="X1165" s="21">
        <f>O1165-Q1165-R1165-S1165-U1165-V1165+T1165+W1165</f>
        <v/>
      </c>
      <c r="Y1165" s="18" t="n"/>
      <c r="Z1165" s="19">
        <f>O1165+1.5</f>
        <v/>
      </c>
      <c r="AA1165" s="19" t="n"/>
      <c r="AB1165" s="19" t="n"/>
      <c r="AC1165" s="18" t="n"/>
      <c r="AD1165" s="18" t="n"/>
      <c r="AE1165" s="13" t="inlineStr">
        <is>
          <t>NOT_UPLOADED</t>
        </is>
      </c>
    </row>
    <row r="1166" ht="16" customHeight="1">
      <c r="A1166" s="12" t="n"/>
      <c r="B1166" s="12" t="n">
        <v>8720689028028</v>
      </c>
      <c r="C1166" s="13" t="n"/>
      <c r="D1166" s="14" t="n"/>
      <c r="E1166" s="14" t="n"/>
      <c r="F1166" s="12" t="inlineStr">
        <is>
          <t>SCF075/01</t>
        </is>
      </c>
      <c r="G1166" s="14" t="inlineStr">
        <is>
          <t>IVENTAS</t>
        </is>
      </c>
      <c r="H1166" s="14" t="inlineStr">
        <is>
          <t>Philips AVENT</t>
        </is>
      </c>
      <c r="I1166" s="14" t="inlineStr">
        <is>
          <t>Philips Avent ultra start Schnuller, kiefergerecht geformter Schnuller für Neugeborene im Alter von 0–2 Monaten, BPA-frei, mit Sterilisations-/Transportbehälter, Doppelpack, Lila/Orange, SCF075/01</t>
        </is>
      </c>
      <c r="J1166" s="14" t="inlineStr">
        <is>
          <t>No</t>
        </is>
      </c>
      <c r="K1166" s="14" t="inlineStr">
        <is>
          <t>https://www.amazon.de/-/en/Philips-kiefergerecht-Sterilisations-Transportbeh%C3%A4lter-SCF075/dp/B0DCP5Q7VB/ref=sr_1_2?crid=7IZDT0JHBGLZ&amp;dib=eyJ2IjoiMSJ9.fDp4ivqgudkzKh0Tv2wpfnZYnC_t2HYLI5F4i4P7F9tuJdBqquyot6L1olTeTohl.j7CSTsTgaIaoTfLthCWzNbedEpPgH6EUuDID54fmycg&amp;dib_tag=se&amp;keywords=SCF075%2F01&amp;qid=1769950279&amp;sprefix=scf075%2F01%2Caps%2C115&amp;sr=8-2&amp;th=1</t>
        </is>
      </c>
      <c r="L1166" s="14" t="inlineStr">
        <is>
          <t>B0DCP5Q7VB</t>
        </is>
      </c>
      <c r="M1166" s="15" t="n"/>
      <c r="N1166" s="15" t="n"/>
      <c r="O1166" s="15" t="n">
        <v>15.99</v>
      </c>
      <c r="P1166" s="15">
        <f>O1166/1.19</f>
        <v/>
      </c>
      <c r="Q1166" s="15">
        <f>O1166-P1166</f>
        <v/>
      </c>
      <c r="R1166" s="15">
        <f>O1166*0.15</f>
        <v/>
      </c>
      <c r="S1166" s="15" t="n">
        <v>5.53</v>
      </c>
      <c r="T1166" s="15">
        <f>S1166*0.2</f>
        <v/>
      </c>
      <c r="U1166" s="15" t="n">
        <v>0.400000000000002</v>
      </c>
      <c r="V1166" s="15" t="n">
        <v>2.3</v>
      </c>
      <c r="W1166" s="15">
        <f>V1166*0.2</f>
        <v/>
      </c>
      <c r="X1166" s="21">
        <f>O1166-Q1166-R1166-S1166-U1166-V1166+T1166+W1166</f>
        <v/>
      </c>
      <c r="Y1166" s="14" t="n"/>
      <c r="Z1166" s="15">
        <f>O1166+1.5</f>
        <v/>
      </c>
      <c r="AA1166" s="15" t="n"/>
      <c r="AB1166" s="15" t="n"/>
      <c r="AC1166" s="14" t="n"/>
      <c r="AD1166" s="14" t="n"/>
      <c r="AE1166" s="13" t="inlineStr">
        <is>
          <t>NOT_UPLOADED</t>
        </is>
      </c>
    </row>
    <row r="1167" ht="16" customHeight="1">
      <c r="A1167" s="17" t="n"/>
      <c r="B1167" s="17" t="n">
        <v>8720689028059</v>
      </c>
      <c r="C1167" s="13" t="n"/>
      <c r="D1167" s="18" t="n"/>
      <c r="E1167" s="18" t="n"/>
      <c r="F1167" s="17" t="inlineStr">
        <is>
          <t>SCF075/03</t>
        </is>
      </c>
      <c r="G1167" s="18" t="inlineStr">
        <is>
          <t>IVENTAS</t>
        </is>
      </c>
      <c r="H1167" s="18" t="inlineStr">
        <is>
          <t>Philips AVENT</t>
        </is>
      </c>
      <c r="I1167" s="18" t="inlineStr">
        <is>
          <t>Philips Avent ultra start Schnuller, kiefergerecht geformter Schnuller für Neugeborene im Alter von 0–2 Monaten, BPA-frei, mit Sterilisations-/Transportbehälter, Doppelpack, Lila/Orange, SCF075/03</t>
        </is>
      </c>
      <c r="J1167" s="18" t="inlineStr">
        <is>
          <t>No</t>
        </is>
      </c>
      <c r="K1167" s="18" t="inlineStr">
        <is>
          <t>https://www.amazon.de/-/en/Philips-kiefergerecht-Sterilisations-Transportbeh%C3%A4lter-SCF075/dp/B0DCP5K8WM/ref=sr_1_1?crid=1441XCO5HKC2Z&amp;dib=eyJ2IjoiMSJ9.oh5vzM5EYWCR5DwX63ov5VosF9h7mdBU8PIpRE4Arr9CG24unhh8dtjkk_-i_8D8gnT35DNEoxIJCpMLxNXUvNiT4QI6z7ree157FcPSuC3PsbzQbpmwrpjkwUiQTmxE.dv14IVCVyRuRCuMX1FihKAYVj2r9dlTVvNf39xZiRkw&amp;dib_tag=se&amp;keywords=SCF075%2F03&amp;qid=1769950384&amp;sprefix=scf075%2F03%2Caps%2C104&amp;sr=8-1&amp;th=1</t>
        </is>
      </c>
      <c r="L1167" s="18" t="inlineStr">
        <is>
          <t>B0DCP5K8WM</t>
        </is>
      </c>
      <c r="M1167" s="19" t="n"/>
      <c r="N1167" s="19" t="n"/>
      <c r="O1167" s="19" t="n">
        <v>14.95</v>
      </c>
      <c r="P1167" s="19">
        <f>O1167/1.19</f>
        <v/>
      </c>
      <c r="Q1167" s="19">
        <f>O1167-P1167</f>
        <v/>
      </c>
      <c r="R1167" s="19">
        <f>O1167*0.15</f>
        <v/>
      </c>
      <c r="S1167" s="19" t="n">
        <v>5.53</v>
      </c>
      <c r="T1167" s="19">
        <f>S1167*0.2</f>
        <v/>
      </c>
      <c r="U1167" s="19" t="n">
        <v>0.400000000000002</v>
      </c>
      <c r="V1167" s="19" t="n">
        <v>2.3</v>
      </c>
      <c r="W1167" s="19">
        <f>V1167*0.2</f>
        <v/>
      </c>
      <c r="X1167" s="21">
        <f>O1167-Q1167-R1167-S1167-U1167-V1167+T1167+W1167</f>
        <v/>
      </c>
      <c r="Y1167" s="18" t="n"/>
      <c r="Z1167" s="19">
        <f>O1167+1.5</f>
        <v/>
      </c>
      <c r="AA1167" s="19" t="n"/>
      <c r="AB1167" s="19" t="n"/>
      <c r="AC1167" s="18" t="n"/>
      <c r="AD1167" s="18" t="n"/>
      <c r="AE1167" s="13" t="inlineStr">
        <is>
          <t>NOT_UPLOADED</t>
        </is>
      </c>
    </row>
    <row r="1168" ht="16" customHeight="1">
      <c r="A1168" s="12" t="n"/>
      <c r="B1168" s="12" t="n">
        <v>8720689041744</v>
      </c>
      <c r="C1168" s="20" t="inlineStr">
        <is>
          <t>APPROVAL</t>
        </is>
      </c>
      <c r="D1168" s="14" t="inlineStr">
        <is>
          <t>NEW</t>
        </is>
      </c>
      <c r="E1168" s="14" t="n"/>
      <c r="F1168" s="12" t="inlineStr">
        <is>
          <t>SCF075/12</t>
        </is>
      </c>
      <c r="G1168" s="14" t="inlineStr">
        <is>
          <t>IVENTAS</t>
        </is>
      </c>
      <c r="H1168" s="14" t="inlineStr">
        <is>
          <t>Philips AVENT</t>
        </is>
      </c>
      <c r="I1168" s="14" t="inlineStr">
        <is>
          <t>Philips AVENT Ultra Start Soother - Orthodontic Design for Newborns, Soft, Symmetrical Silicone Teat, BPA-Free, with Sterilisation Container, Pack of 2, SCF075/12</t>
        </is>
      </c>
      <c r="J1168" s="14" t="inlineStr">
        <is>
          <t>No</t>
        </is>
      </c>
      <c r="K1168" s="14" t="inlineStr">
        <is>
          <t>https://www.amazon.de/-/en/Philips-AVENT-Ultra-Start-Soother/dp/B0FBWXJ651/ref=sr_1_1?crid=1IP2ZKG9C7T1G&amp;dib=eyJ2IjoiMSJ9.M2dqmNQYPWn6STSstF7rXg.Sz7SneTuPkseoPdEI3M0upFOoo-9JwnNQob4cdLLh3I&amp;dib_tag=se&amp;keywords=SCF075%2F12&amp;qid=1769950526&amp;sprefix=scf075%2F12%2Caps%2C105&amp;sr=8-1&amp;th=1</t>
        </is>
      </c>
      <c r="L1168" s="14" t="inlineStr">
        <is>
          <t>B0FBWXJ651</t>
        </is>
      </c>
      <c r="M1168" s="15" t="n"/>
      <c r="N1168" s="15" t="n"/>
      <c r="O1168" s="15" t="n">
        <v>14.95</v>
      </c>
      <c r="P1168" s="15">
        <f>O1168/1.19</f>
        <v/>
      </c>
      <c r="Q1168" s="15">
        <f>O1168-P1168</f>
        <v/>
      </c>
      <c r="R1168" s="15">
        <f>O1168*0.15</f>
        <v/>
      </c>
      <c r="S1168" s="15" t="n">
        <v>5.88</v>
      </c>
      <c r="T1168" s="15">
        <f>S1168*0.2</f>
        <v/>
      </c>
      <c r="U1168" s="15" t="n">
        <v>0.400000000000002</v>
      </c>
      <c r="V1168" s="15" t="n">
        <v>2.3</v>
      </c>
      <c r="W1168" s="15">
        <f>V1168*0.2</f>
        <v/>
      </c>
      <c r="X1168" s="21">
        <f>O1168-Q1168-R1168-S1168-U1168-V1168+T1168+W1168</f>
        <v/>
      </c>
      <c r="Y1168" s="14" t="n"/>
      <c r="Z1168" s="15">
        <f>O1168+1.5</f>
        <v/>
      </c>
      <c r="AA1168" s="15" t="n"/>
      <c r="AB1168" s="15" t="n"/>
      <c r="AC1168" s="14" t="n"/>
      <c r="AD1168" s="14" t="n"/>
      <c r="AE1168" s="13" t="inlineStr">
        <is>
          <t>NOT_UPLOADED</t>
        </is>
      </c>
    </row>
    <row r="1169" ht="16" customHeight="1">
      <c r="A1169" s="17" t="n"/>
      <c r="B1169" s="17" t="n">
        <v>8720689041959</v>
      </c>
      <c r="C1169" s="20" t="inlineStr">
        <is>
          <t>APPROVAL</t>
        </is>
      </c>
      <c r="D1169" s="18" t="n"/>
      <c r="E1169" s="18" t="n"/>
      <c r="F1169" s="17" t="inlineStr">
        <is>
          <t>SCF075/14</t>
        </is>
      </c>
      <c r="G1169" s="18" t="inlineStr">
        <is>
          <t>IVENTAS</t>
        </is>
      </c>
      <c r="H1169" s="18" t="inlineStr">
        <is>
          <t>Philips AVENT</t>
        </is>
      </c>
      <c r="I1169" s="18" t="inlineStr">
        <is>
          <t>SCF075/14 SOOTHER START 0-2D, N1 D, 2P</t>
        </is>
      </c>
      <c r="J1169" s="18" t="inlineStr">
        <is>
          <t>No</t>
        </is>
      </c>
      <c r="K1169" s="18" t="inlineStr">
        <is>
          <t>https://www.amazon.de/-/en/SCF075-14-SOOTHER-START-0-2D/dp/B0FBWX2GLM/ref=sr_1_1?crid=XHTMSDQ3JSYT&amp;dib=eyJ2IjoiMSJ9.GxwUi50tvZmp9Jtm7TCtfVdFB4AdqFLyfRdK8nY-rJs.IpypNJ1pdAuNGLSBVqFsAnDHg-70RTuLM2fQWYZkHcQ&amp;dib_tag=se&amp;keywords=SCF075%2F14&amp;qid=1769950778&amp;sprefix=scf075%2F14%2Caps%2C106&amp;sr=8-1&amp;th=1</t>
        </is>
      </c>
      <c r="L1169" s="18" t="inlineStr">
        <is>
          <t>B0FBWX2GLM</t>
        </is>
      </c>
      <c r="M1169" s="19" t="n"/>
      <c r="N1169" s="19" t="n"/>
      <c r="O1169" s="19" t="n">
        <v>14.45</v>
      </c>
      <c r="P1169" s="19">
        <f>O1169/1.19</f>
        <v/>
      </c>
      <c r="Q1169" s="19">
        <f>O1169-P1169</f>
        <v/>
      </c>
      <c r="R1169" s="19">
        <f>O1169*0.15</f>
        <v/>
      </c>
      <c r="S1169" s="19" t="n">
        <v>5.88</v>
      </c>
      <c r="T1169" s="19">
        <f>S1169*0.2</f>
        <v/>
      </c>
      <c r="U1169" s="19" t="n">
        <v>0.400000000000002</v>
      </c>
      <c r="V1169" s="19" t="n">
        <v>2.3</v>
      </c>
      <c r="W1169" s="19">
        <f>V1169*0.2</f>
        <v/>
      </c>
      <c r="X1169" s="21">
        <f>O1169-Q1169-R1169-S1169-U1169-V1169+T1169+W1169</f>
        <v/>
      </c>
      <c r="Y1169" s="18" t="n"/>
      <c r="Z1169" s="19">
        <f>O1169+1.5</f>
        <v/>
      </c>
      <c r="AA1169" s="19" t="n"/>
      <c r="AB1169" s="19" t="n"/>
      <c r="AC1169" s="18" t="n"/>
      <c r="AD1169" s="18" t="n"/>
      <c r="AE1169" s="13" t="inlineStr">
        <is>
          <t>NOT_UPLOADED</t>
        </is>
      </c>
    </row>
    <row r="1170" ht="16" customHeight="1">
      <c r="A1170" s="12" t="n"/>
      <c r="B1170" s="12" t="n">
        <v>8720689041997</v>
      </c>
      <c r="C1170" s="20" t="inlineStr">
        <is>
          <t>APPROVAL</t>
        </is>
      </c>
      <c r="D1170" s="14" t="n"/>
      <c r="E1170" s="14" t="n"/>
      <c r="F1170" s="12" t="inlineStr">
        <is>
          <t>SCF075/17</t>
        </is>
      </c>
      <c r="G1170" s="14" t="inlineStr">
        <is>
          <t>IVENTAS</t>
        </is>
      </c>
      <c r="H1170" s="14" t="inlineStr">
        <is>
          <t>Philips AVENT</t>
        </is>
      </c>
      <c r="I1170" s="14" t="inlineStr">
        <is>
          <t>Philips Avent Ultra Start Nighttime Pacifier - Orthodontic Shaped Design, Glow in the Dark, Soft, Symmetrical Silicone Teat, BPA Free, Pack of 2, SCF075/17</t>
        </is>
      </c>
      <c r="J1170" s="14" t="inlineStr">
        <is>
          <t>No</t>
        </is>
      </c>
      <c r="K1170" s="14" t="inlineStr">
        <is>
          <t>https://www.amazon.de/-/en/Philips-Avent-Ultra-Nighttime-Pacifier/dp/B0FBWYNXV9/ref=sr_1_1?crid=1YRBK4BOCD88R&amp;dib=eyJ2IjoiMSJ9.zMKOVB0usrukExShXKZvInH05x5AP14X-VtgocVFoGfGjHj071QN20LucGBJIEps.injQYFH0pY1ODNZCiWUsKuPESraWGNjSi81-ns5x7Yk&amp;dib_tag=se&amp;keywords=SCF075%2F17&amp;qid=1769950997&amp;sprefix=scf075%2F17%2Caps%2C111&amp;sr=8-1&amp;th=1</t>
        </is>
      </c>
      <c r="L1170" s="14" t="inlineStr">
        <is>
          <t>B0FBWYNXV9</t>
        </is>
      </c>
      <c r="M1170" s="15" t="n"/>
      <c r="N1170" s="15" t="n"/>
      <c r="O1170" s="15" t="n">
        <v>14.95</v>
      </c>
      <c r="P1170" s="15">
        <f>O1170/1.19</f>
        <v/>
      </c>
      <c r="Q1170" s="15">
        <f>O1170-P1170</f>
        <v/>
      </c>
      <c r="R1170" s="15">
        <f>O1170*0.15</f>
        <v/>
      </c>
      <c r="S1170" s="15" t="n">
        <v>6.2</v>
      </c>
      <c r="T1170" s="15">
        <f>S1170*0.2</f>
        <v/>
      </c>
      <c r="U1170" s="15" t="n">
        <v>0.400000000000002</v>
      </c>
      <c r="V1170" s="15" t="n">
        <v>2.3</v>
      </c>
      <c r="W1170" s="15">
        <f>V1170*0.2</f>
        <v/>
      </c>
      <c r="X1170" s="21">
        <f>O1170-Q1170-R1170-S1170-U1170-V1170+T1170+W1170</f>
        <v/>
      </c>
      <c r="Y1170" s="14" t="n"/>
      <c r="Z1170" s="15">
        <f>O1170+1.5</f>
        <v/>
      </c>
      <c r="AA1170" s="15" t="n"/>
      <c r="AB1170" s="15" t="n"/>
      <c r="AC1170" s="14" t="n"/>
      <c r="AD1170" s="14" t="n"/>
      <c r="AE1170" s="13" t="inlineStr">
        <is>
          <t>NOT_UPLOADED</t>
        </is>
      </c>
    </row>
    <row r="1171" ht="16" customHeight="1">
      <c r="A1171" s="17" t="n"/>
      <c r="B1171" s="17" t="n">
        <v>8720689042017</v>
      </c>
      <c r="C1171" s="20" t="inlineStr">
        <is>
          <t>APPROVAL</t>
        </is>
      </c>
      <c r="D1171" s="18" t="n"/>
      <c r="E1171" s="18" t="n"/>
      <c r="F1171" s="17" t="inlineStr">
        <is>
          <t>SCF075/18</t>
        </is>
      </c>
      <c r="G1171" s="18" t="inlineStr">
        <is>
          <t>IVENTAS</t>
        </is>
      </c>
      <c r="H1171" s="18" t="inlineStr">
        <is>
          <t>Philips AVENT</t>
        </is>
      </c>
      <c r="I1171" s="18" t="inlineStr">
        <is>
          <t>Philips Avent Ultra Start Nighttime Pacifier - Orthodontic Shaped Design, Glow in the Dark, Soft, Symmetrical Silicone Teat, BPA Free, Pack of 2, SCF075/18</t>
        </is>
      </c>
      <c r="J1171" s="18" t="inlineStr">
        <is>
          <t>No</t>
        </is>
      </c>
      <c r="K1171" s="18" t="inlineStr">
        <is>
          <t>https://www.amazon.de/-/en/Philips-Avent-Ultra-Nighttime-Pacifier/dp/B0FBWX9NVL/ref=sr_1_1?crid=38E7M7172LWMN&amp;dib=eyJ2IjoiMSJ9.CDHgLm560CqO6E6gyOdl8QaB2ysGFrQ6vPL35zHMvsLGjHj071QN20LucGBJIEps.po0kT4OUycuieeDaKVcy6GQRR5GsfgImiu9mCM2T4Ik&amp;dib_tag=se&amp;keywords=SCF075%2F18&amp;qid=1769951094&amp;sprefix=scf075%2F18%2Caps%2C102&amp;sr=8-1&amp;th=1</t>
        </is>
      </c>
      <c r="L1171" s="18" t="inlineStr">
        <is>
          <t>B0FBWX9NVL</t>
        </is>
      </c>
      <c r="M1171" s="19" t="n"/>
      <c r="N1171" s="19" t="n"/>
      <c r="O1171" s="19" t="n">
        <v>14.45</v>
      </c>
      <c r="P1171" s="19">
        <f>O1171/1.19</f>
        <v/>
      </c>
      <c r="Q1171" s="19">
        <f>O1171-P1171</f>
        <v/>
      </c>
      <c r="R1171" s="19">
        <f>O1171*0.15</f>
        <v/>
      </c>
      <c r="S1171" s="19" t="n">
        <v>6.2</v>
      </c>
      <c r="T1171" s="19">
        <f>S1171*0.2</f>
        <v/>
      </c>
      <c r="U1171" s="19" t="n">
        <v>0.400000000000002</v>
      </c>
      <c r="V1171" s="19" t="n">
        <v>2.3</v>
      </c>
      <c r="W1171" s="19">
        <f>V1171*0.2</f>
        <v/>
      </c>
      <c r="X1171" s="21">
        <f>O1171-Q1171-R1171-S1171-U1171-V1171+T1171+W1171</f>
        <v/>
      </c>
      <c r="Y1171" s="18" t="n"/>
      <c r="Z1171" s="19">
        <f>O1171+1.5</f>
        <v/>
      </c>
      <c r="AA1171" s="19" t="n"/>
      <c r="AB1171" s="19" t="n"/>
      <c r="AC1171" s="18" t="n"/>
      <c r="AD1171" s="18" t="n"/>
      <c r="AE1171" s="13" t="inlineStr">
        <is>
          <t>NOT_UPLOADED</t>
        </is>
      </c>
    </row>
    <row r="1172" ht="16" customHeight="1">
      <c r="A1172" s="12" t="n"/>
      <c r="B1172" s="12" t="n">
        <v>8720689042376</v>
      </c>
      <c r="C1172" s="20" t="inlineStr">
        <is>
          <t>APPROVAL</t>
        </is>
      </c>
      <c r="D1172" s="14" t="n"/>
      <c r="E1172" s="14" t="n"/>
      <c r="F1172" s="12" t="inlineStr">
        <is>
          <t>SCF080/23</t>
        </is>
      </c>
      <c r="G1172" s="14" t="inlineStr">
        <is>
          <t>IVENTAS</t>
        </is>
      </c>
      <c r="H1172" s="14" t="inlineStr">
        <is>
          <t>Philips AVENT</t>
        </is>
      </c>
      <c r="I1172" s="14" t="inlineStr">
        <is>
          <t>Philips Avent Ultra Air Pacifier - Orthodontic Design for Babies, 0-6 Months, Soft, Symmetrical Silicone Teat, BPA Free, with Sterilisation Container, Pack of 2, SCF080/23</t>
        </is>
      </c>
      <c r="J1172" s="14" t="inlineStr">
        <is>
          <t>No</t>
        </is>
      </c>
      <c r="K1172" s="14" t="inlineStr">
        <is>
          <t>https://www.amazon.de/-/en/Philips-Avent-Ultra-Pacifier-Sterilisation/dp/B0FBWVSL2R/ref=sr_1_1?crid=12IW80D7YJSH9&amp;dib=eyJ2IjoiMSJ9.v0G52OPikt_oMicsisH50w.QW3_HkLEWjaeR5ye60D2v-7lTOZoRWoI4CYJVasq7uA&amp;dib_tag=se&amp;keywords=SCF080%2F23&amp;qid=1769951244&amp;sprefix=scf080%2F23%2Caps%2C214&amp;sr=8-1&amp;th=1</t>
        </is>
      </c>
      <c r="L1172" s="14" t="inlineStr">
        <is>
          <t>B0FBWVSL2R</t>
        </is>
      </c>
      <c r="M1172" s="15" t="n"/>
      <c r="N1172" s="15" t="n"/>
      <c r="O1172" s="15" t="n">
        <v>13.95</v>
      </c>
      <c r="P1172" s="15">
        <f>O1172/1.19</f>
        <v/>
      </c>
      <c r="Q1172" s="15">
        <f>O1172-P1172</f>
        <v/>
      </c>
      <c r="R1172" s="15">
        <f>O1172*0.15</f>
        <v/>
      </c>
      <c r="S1172" s="15" t="n">
        <v>5.56</v>
      </c>
      <c r="T1172" s="15">
        <f>S1172*0.2</f>
        <v/>
      </c>
      <c r="U1172" s="15" t="n">
        <v>0.400000000000002</v>
      </c>
      <c r="V1172" s="15" t="n">
        <v>2.3</v>
      </c>
      <c r="W1172" s="15">
        <f>V1172*0.2</f>
        <v/>
      </c>
      <c r="X1172" s="21">
        <f>O1172-Q1172-R1172-S1172-U1172-V1172+T1172+W1172</f>
        <v/>
      </c>
      <c r="Y1172" s="14" t="n"/>
      <c r="Z1172" s="15">
        <f>O1172+1.5</f>
        <v/>
      </c>
      <c r="AA1172" s="15" t="n"/>
      <c r="AB1172" s="15" t="n"/>
      <c r="AC1172" s="14" t="n"/>
      <c r="AD1172" s="14" t="n"/>
      <c r="AE1172" s="13" t="inlineStr">
        <is>
          <t>NOT_UPLOADED</t>
        </is>
      </c>
    </row>
    <row r="1173" ht="16" customHeight="1">
      <c r="A1173" s="17" t="n"/>
      <c r="B1173" s="17" t="n">
        <v>8720689042826</v>
      </c>
      <c r="C1173" s="20" t="inlineStr">
        <is>
          <t>APPROVAL</t>
        </is>
      </c>
      <c r="D1173" s="18" t="n"/>
      <c r="E1173" s="18" t="n"/>
      <c r="F1173" s="17" t="inlineStr">
        <is>
          <t>SCF080/24</t>
        </is>
      </c>
      <c r="G1173" s="18" t="inlineStr">
        <is>
          <t>IVENTAS</t>
        </is>
      </c>
      <c r="H1173" s="18" t="inlineStr">
        <is>
          <t>Philips AVENT</t>
        </is>
      </c>
      <c r="I1173" s="18" t="inlineStr">
        <is>
          <t>Philips Avent Ultra Air Pacifier - Orthodontic Design for Babies, 0-6 Months, Soft, Symmetrical Silicone Teat, BPA Free, with Sterilisation Container, Pack of 2, SCF080/24</t>
        </is>
      </c>
      <c r="J1173" s="18" t="inlineStr">
        <is>
          <t>No</t>
        </is>
      </c>
      <c r="K1173" s="18" t="inlineStr">
        <is>
          <t>https://www.amazon.de/-/en/Philips-Avent-Ultra-Pacifier-Sterilisation/dp/B0FBWVQ7FZ/ref=sr_1_1?crid=24OBKPM1THOOL&amp;dib=eyJ2IjoiMSJ9.Mcm-g5tVqla25_MzOTwtAaFwpfHHPN6uJtLIoPgl4N8.Xh-K5PWScYCLv8sx0ESymWJ6vg_6MFXZPmrHaIa1dFA&amp;dib_tag=se&amp;keywords=SCF080%2F24&amp;qid=1769951368&amp;sprefix=scf080%2F24%2Caps%2C118&amp;sr=8-1&amp;th=1</t>
        </is>
      </c>
      <c r="L1173" s="18" t="inlineStr">
        <is>
          <t>B0FBWVQ7FZ</t>
        </is>
      </c>
      <c r="M1173" s="19" t="n"/>
      <c r="N1173" s="19" t="n"/>
      <c r="O1173" s="19" t="n">
        <v>13.95</v>
      </c>
      <c r="P1173" s="19">
        <f>O1173/1.19</f>
        <v/>
      </c>
      <c r="Q1173" s="19">
        <f>O1173-P1173</f>
        <v/>
      </c>
      <c r="R1173" s="19">
        <f>O1173*0.15</f>
        <v/>
      </c>
      <c r="S1173" s="19" t="n">
        <v>5.56</v>
      </c>
      <c r="T1173" s="19">
        <f>S1173*0.2</f>
        <v/>
      </c>
      <c r="U1173" s="19" t="n">
        <v>0.400000000000002</v>
      </c>
      <c r="V1173" s="19" t="n">
        <v>2.3</v>
      </c>
      <c r="W1173" s="19">
        <f>V1173*0.2</f>
        <v/>
      </c>
      <c r="X1173" s="21">
        <f>O1173-Q1173-R1173-S1173-U1173-V1173+T1173+W1173</f>
        <v/>
      </c>
      <c r="Y1173" s="18" t="n"/>
      <c r="Z1173" s="19">
        <f>O1173+1.5</f>
        <v/>
      </c>
      <c r="AA1173" s="19" t="n"/>
      <c r="AB1173" s="19" t="n"/>
      <c r="AC1173" s="18" t="n"/>
      <c r="AD1173" s="18" t="n"/>
      <c r="AE1173" s="13" t="inlineStr">
        <is>
          <t>NOT_UPLOADED</t>
        </is>
      </c>
    </row>
    <row r="1174" ht="16" customHeight="1">
      <c r="A1174" s="12" t="n"/>
      <c r="B1174" s="12" t="n">
        <v>8720689042383</v>
      </c>
      <c r="C1174" s="20" t="inlineStr">
        <is>
          <t>APPROVAL</t>
        </is>
      </c>
      <c r="D1174" s="14" t="n"/>
      <c r="E1174" s="14" t="n"/>
      <c r="F1174" s="12" t="inlineStr">
        <is>
          <t>SCF080/26</t>
        </is>
      </c>
      <c r="G1174" s="14" t="inlineStr">
        <is>
          <t>IVENTAS</t>
        </is>
      </c>
      <c r="H1174" s="14" t="inlineStr">
        <is>
          <t>Philips AVENT</t>
        </is>
      </c>
      <c r="I1174" s="14" t="inlineStr">
        <is>
          <t>Philips AVENT Ultra Air Pacifier - Orthodontic Design for Babies, 6-18 Months, Soft, Symmetrical Silicone Teat, BPA-Free, with Sterilisation Container, Pack of 2, SCF080/26</t>
        </is>
      </c>
      <c r="J1174" s="14" t="inlineStr">
        <is>
          <t>No</t>
        </is>
      </c>
      <c r="K1174" s="14" t="inlineStr">
        <is>
          <t>https://www.amazon.de/-/en/Philips-AVENT-Ultra-Pacifier-Sterilisation/dp/B0FBWWZG2Y/ref=sr_1_1?crid=E2TH6JYE1QFL&amp;dib=eyJ2IjoiMSJ9.k2CAm8aKl64Jb-h4UZJfsWtePvM14mxdiiSo6B3k7WBGra_MzdmoIWvz4jWJjT09.7iji5hw5ktHGC8Keku7e_MLWcG-2-UyPzLSe6WuU4-Q&amp;dib_tag=se&amp;keywords=SCF080%2F26&amp;qid=1769951469&amp;sprefix=scf080%2F26%2Caps%2C97&amp;sr=8-1&amp;th=1</t>
        </is>
      </c>
      <c r="L1174" s="14" t="inlineStr">
        <is>
          <t>B0FBWWZG2Y</t>
        </is>
      </c>
      <c r="M1174" s="15" t="n"/>
      <c r="N1174" s="15" t="n"/>
      <c r="O1174" s="15" t="n">
        <v>14.1</v>
      </c>
      <c r="P1174" s="15">
        <f>O1174/1.19</f>
        <v/>
      </c>
      <c r="Q1174" s="15">
        <f>O1174-P1174</f>
        <v/>
      </c>
      <c r="R1174" s="15">
        <f>O1174*0.15</f>
        <v/>
      </c>
      <c r="S1174" s="15" t="n">
        <v>5.56</v>
      </c>
      <c r="T1174" s="15">
        <f>S1174*0.2</f>
        <v/>
      </c>
      <c r="U1174" s="15" t="n">
        <v>0.400000000000002</v>
      </c>
      <c r="V1174" s="15" t="n">
        <v>2.3</v>
      </c>
      <c r="W1174" s="15">
        <f>V1174*0.2</f>
        <v/>
      </c>
      <c r="X1174" s="21">
        <f>O1174-Q1174-R1174-S1174-U1174-V1174+T1174+W1174</f>
        <v/>
      </c>
      <c r="Y1174" s="14" t="n"/>
      <c r="Z1174" s="15">
        <f>O1174+1.5</f>
        <v/>
      </c>
      <c r="AA1174" s="15" t="n"/>
      <c r="AB1174" s="15" t="n"/>
      <c r="AC1174" s="14" t="n"/>
      <c r="AD1174" s="14" t="n"/>
      <c r="AE1174" s="13" t="inlineStr">
        <is>
          <t>NOT_UPLOADED</t>
        </is>
      </c>
    </row>
    <row r="1175" ht="16" customHeight="1">
      <c r="A1175" s="17" t="n"/>
      <c r="B1175" s="17" t="n">
        <v>8720689042390</v>
      </c>
      <c r="C1175" s="20" t="inlineStr">
        <is>
          <t>APPROVAL</t>
        </is>
      </c>
      <c r="D1175" s="18" t="n"/>
      <c r="E1175" s="18" t="n"/>
      <c r="F1175" s="17" t="inlineStr">
        <is>
          <t>SCF080/27</t>
        </is>
      </c>
      <c r="G1175" s="18" t="inlineStr">
        <is>
          <t>IVENTAS</t>
        </is>
      </c>
      <c r="H1175" s="18" t="inlineStr">
        <is>
          <t>Philips AVENT</t>
        </is>
      </c>
      <c r="I1175" s="18" t="inlineStr">
        <is>
          <t>Philips Avent Ultra Air Pacifier - Orthodontic Design for Babies, 6-18 Months, Soft, Symmetrical Silicone Teat, BPA Free, with Sterilisation Container, Pack of 2, SCF080/27</t>
        </is>
      </c>
      <c r="J1175" s="18" t="inlineStr">
        <is>
          <t>No</t>
        </is>
      </c>
      <c r="K1175" s="18" t="inlineStr">
        <is>
          <t>https://www.amazon.de/-/en/Philips-Avent-Ultra-Pacifier-Sterilisation/dp/B0FBWXCZ77/ref=sr_1_1?crid=2CU2R4TCVBTTF&amp;dib=eyJ2IjoiMSJ9.WXUD4uu51RtC_vm5wo7TNdQDQ4tUIpzllFiry7guf2g9_LDGhAdNgLIWYO7IiwxPrdAJBjiJI8F3WmVNesWbqo_ieCRl9ZFyvvvJOSSD9Npfzm0m9QnSsEWagYWy8VYgJ2zYOpkYFhZQCC-iCBVGxejVMrIR_3D7lAmPPKl1kgyJ4WaHd-F8N79sTlyvzJ22YCi5LD1SMLKHFwzcv-Y6ocKw9lr3_2JF3XqNPGYmJwLpW-cXvcKYW4XdWMG2Kb7ukGYd_wDW8L5A0dSHz6Gyfd9AKiCqq_At0mrI01ixeIo.p9f0Sx716Gp8ztooseQWWcgE0RKysOxAbgHtImbI_7I&amp;dib_tag=se&amp;keywords=SCF080%2F27&amp;qid=1769951583&amp;sprefix=scf080%2F27%2Caps%2C184&amp;sr=8-1&amp;th=1</t>
        </is>
      </c>
      <c r="L1175" s="18" t="inlineStr">
        <is>
          <t>B0FBWXCZ77</t>
        </is>
      </c>
      <c r="M1175" s="19" t="n"/>
      <c r="N1175" s="19" t="n"/>
      <c r="O1175" s="19" t="n">
        <v>13.95</v>
      </c>
      <c r="P1175" s="19">
        <f>O1175/1.19</f>
        <v/>
      </c>
      <c r="Q1175" s="19">
        <f>O1175-P1175</f>
        <v/>
      </c>
      <c r="R1175" s="19">
        <f>O1175*0.15</f>
        <v/>
      </c>
      <c r="S1175" s="19" t="n">
        <v>5.56</v>
      </c>
      <c r="T1175" s="19">
        <f>S1175*0.2</f>
        <v/>
      </c>
      <c r="U1175" s="19" t="n">
        <v>0.400000000000002</v>
      </c>
      <c r="V1175" s="19" t="n">
        <v>2.3</v>
      </c>
      <c r="W1175" s="19">
        <f>V1175*0.2</f>
        <v/>
      </c>
      <c r="X1175" s="21">
        <f>O1175-Q1175-R1175-S1175-U1175-V1175+T1175+W1175</f>
        <v/>
      </c>
      <c r="Y1175" s="18" t="n"/>
      <c r="Z1175" s="19">
        <f>O1175+1.5</f>
        <v/>
      </c>
      <c r="AA1175" s="19" t="n"/>
      <c r="AB1175" s="19" t="n"/>
      <c r="AC1175" s="18" t="n"/>
      <c r="AD1175" s="18" t="n"/>
      <c r="AE1175" s="13" t="inlineStr">
        <is>
          <t>NOT_UPLOADED</t>
        </is>
      </c>
    </row>
    <row r="1176" ht="16" customHeight="1">
      <c r="A1176" s="12" t="n"/>
      <c r="B1176" s="12" t="n">
        <v>8720689042178</v>
      </c>
      <c r="C1176" s="13" t="n"/>
      <c r="D1176" s="14" t="inlineStr">
        <is>
          <t>SCF087/01</t>
        </is>
      </c>
      <c r="E1176" s="14" t="n"/>
      <c r="F1176" s="12" t="inlineStr">
        <is>
          <t>00A.0641.001</t>
        </is>
      </c>
      <c r="G1176" s="14" t="inlineStr">
        <is>
          <t>IVENTAS</t>
        </is>
      </c>
      <c r="H1176" s="14" t="inlineStr">
        <is>
          <t>Philips AVENT</t>
        </is>
      </c>
      <c r="I1176" s="14" t="inlineStr">
        <is>
          <t>Philips Avent Ultra Air Pacifier - Orthodontic Design for Babies, 0-6 Months, Soft, Symmetrical Silicone Teat, BPA Free, with Sterilisation Container, Pack of 2, SCF087/01</t>
        </is>
      </c>
      <c r="J1176" s="14" t="inlineStr">
        <is>
          <t>No</t>
        </is>
      </c>
      <c r="K1176" s="14" t="inlineStr">
        <is>
          <t>https://www.amazon.de/-/en/Philips-Avent-Ultra-Pacifier-Sterilisation/dp/B0FBWXHQ26/ref=sr_1_6?crid=24PLF3VNEPHZ6&amp;dib=eyJ2IjoiMSJ9.rdwTu9l4HbCKxg0xH2PFdgGeAWKcV6PkbUegcOdBU0Z4IC-brcxMVcKEY8IjhRCD0y_TXJmfP6qCpS_1XOIrTTm9JSfu6l8nX3Ws9itlpXw.pNOE9jrPT3mDYf7jCKZtFCxD2rNXRBN-X3yN6qItQxY&amp;dib_tag=se&amp;keywords=SCF087%2F10&amp;qid=1769952025&amp;sprefix=scf087%2F10%2Caps%2C107&amp;sr=8-6&amp;th=1</t>
        </is>
      </c>
      <c r="L1176" s="14" t="inlineStr">
        <is>
          <t>B0FBWVPR8G</t>
        </is>
      </c>
      <c r="M1176" s="15" t="n"/>
      <c r="N1176" s="15" t="n"/>
      <c r="O1176" s="15" t="n">
        <v>14.4</v>
      </c>
      <c r="P1176" s="15">
        <f>O1176/1.19</f>
        <v/>
      </c>
      <c r="Q1176" s="15">
        <f>O1176-P1176</f>
        <v/>
      </c>
      <c r="R1176" s="15">
        <f>O1176*0.15</f>
        <v/>
      </c>
      <c r="S1176" s="15" t="n">
        <v>5.88</v>
      </c>
      <c r="T1176" s="15">
        <f>S1176*0.2</f>
        <v/>
      </c>
      <c r="U1176" s="15" t="n">
        <v>0.400000000000002</v>
      </c>
      <c r="V1176" s="15" t="n">
        <v>2.3</v>
      </c>
      <c r="W1176" s="15">
        <f>V1176*0.2</f>
        <v/>
      </c>
      <c r="X1176" s="21">
        <f>O1176-Q1176-R1176-S1176-U1176-V1176+T1176+W1176</f>
        <v/>
      </c>
      <c r="Y1176" s="14" t="n"/>
      <c r="Z1176" s="15">
        <f>O1176+1.5</f>
        <v/>
      </c>
      <c r="AA1176" s="15" t="n"/>
      <c r="AB1176" s="15" t="n"/>
      <c r="AC1176" s="14" t="n"/>
      <c r="AD1176" s="14" t="n"/>
      <c r="AE1176" s="13" t="inlineStr">
        <is>
          <t>NOT_UPLOADED</t>
        </is>
      </c>
    </row>
    <row r="1177" ht="16" customHeight="1">
      <c r="A1177" s="17" t="n"/>
      <c r="B1177" s="17" t="n">
        <v>8720689043236</v>
      </c>
      <c r="C1177" s="13" t="n"/>
      <c r="D1177" s="18" t="inlineStr">
        <is>
          <t>PACK X 2</t>
        </is>
      </c>
      <c r="E1177" s="18" t="n"/>
      <c r="F1177" s="17" t="inlineStr">
        <is>
          <t>SCF087/10</t>
        </is>
      </c>
      <c r="G1177" s="18" t="inlineStr">
        <is>
          <t>IVENTAS</t>
        </is>
      </c>
      <c r="H1177" s="18" t="inlineStr">
        <is>
          <t>Philips AVENT</t>
        </is>
      </c>
      <c r="I1177" s="18" t="inlineStr">
        <is>
          <t>Philips Avent Ultra Air Pacifier - Orthodontic Design for Babies, 6-18 Months, Soft, Symmetrical Silicone Teat, BPA Free, 2 Sterilisation Containers, Pack of 4, SCF087/24</t>
        </is>
      </c>
      <c r="J1177" s="18" t="inlineStr">
        <is>
          <t>No</t>
        </is>
      </c>
      <c r="K1177" s="18" t="inlineStr">
        <is>
          <t>https://www.amazon.de/-/en/Philips-Avent-Ultra-Pacifier-Sterilisation/dp/B0FBWXHQ26/ref=sr_1_6?crid=24PLF3VNEPHZ6&amp;dib=eyJ2IjoiMSJ9.rdwTu9l4HbCKxg0xH2PFdgGeAWKcV6PkbUegcOdBU0Z4IC-brcxMVcKEY8IjhRCD0y_TXJmfP6qCpS_1XOIrTTm9JSfu6l8nX3Ws9itlpXw.pNOE9jrPT3mDYf7jCKZtFCxD2rNXRBN-X3yN6qItQxY&amp;dib_tag=se&amp;keywords=SCF087%2F10&amp;qid=1769952025&amp;sprefix=scf087%2F10%2Caps%2C107&amp;sr=8-6&amp;th=1</t>
        </is>
      </c>
      <c r="L1177" s="18" t="inlineStr">
        <is>
          <t>B0FBWXHQ26</t>
        </is>
      </c>
      <c r="M1177" s="19" t="n"/>
      <c r="N1177" s="19" t="n"/>
      <c r="O1177" s="19" t="n">
        <v>26.59</v>
      </c>
      <c r="P1177" s="19">
        <f>O1177/1.19</f>
        <v/>
      </c>
      <c r="Q1177" s="19">
        <f>O1177-P1177</f>
        <v/>
      </c>
      <c r="R1177" s="19">
        <f>O1177*0.15</f>
        <v/>
      </c>
      <c r="S1177" s="19" t="n">
        <v>11.76</v>
      </c>
      <c r="T1177" s="19">
        <f>S1177*0.2</f>
        <v/>
      </c>
      <c r="U1177" s="19" t="n">
        <v>0.400000000000002</v>
      </c>
      <c r="V1177" s="19" t="n">
        <v>3.2</v>
      </c>
      <c r="W1177" s="19">
        <f>V1177*0.2</f>
        <v/>
      </c>
      <c r="X1177" s="21">
        <f>O1177-Q1177-R1177-S1177-U1177-V1177+T1177+W1177</f>
        <v/>
      </c>
      <c r="Y1177" s="18" t="n"/>
      <c r="Z1177" s="19">
        <f>O1177+1.5</f>
        <v/>
      </c>
      <c r="AA1177" s="19" t="n"/>
      <c r="AB1177" s="19" t="n"/>
      <c r="AC1177" s="18" t="n"/>
      <c r="AD1177" s="18" t="n"/>
      <c r="AE1177" s="13" t="inlineStr">
        <is>
          <t>NOT_UPLOADED</t>
        </is>
      </c>
    </row>
    <row r="1178" ht="16" customHeight="1">
      <c r="A1178" s="12" t="n"/>
      <c r="B1178" s="12" t="n">
        <v>8720689043298</v>
      </c>
      <c r="C1178" s="13" t="n"/>
      <c r="D1178" s="14" t="inlineStr">
        <is>
          <t>PACK X 2</t>
        </is>
      </c>
      <c r="E1178" s="14" t="n"/>
      <c r="F1178" s="12" t="inlineStr">
        <is>
          <t>SCF087/03</t>
        </is>
      </c>
      <c r="G1178" s="14" t="inlineStr">
        <is>
          <t>IVENTAS</t>
        </is>
      </c>
      <c r="H1178" s="14" t="inlineStr">
        <is>
          <t>Philips AVENT</t>
        </is>
      </c>
      <c r="I1178" s="14" t="inlineStr">
        <is>
          <t>Philips AVENT Ultra Air Pacifier - Orthodontic Design for Babies, 0-6 Months, Soft, Symmetrical Silicone Teat, BPA-Free, 2 Sterilisation Containers, Pack of 4, SCF087/20</t>
        </is>
      </c>
      <c r="J1178" s="14" t="inlineStr">
        <is>
          <t>No</t>
        </is>
      </c>
      <c r="K1178" s="14" t="inlineStr">
        <is>
          <t>https://www.amazon.de/-/en/Philips-AVENT-Ultra-Pacifier-Sterilisation/dp/B0FBWVTB7D/ref=sr_1_5?crid=24PLF3VNEPHZ6&amp;dib=eyJ2IjoiMSJ9.rdwTu9l4HbCKxg0xH2PFdgGeAWKcV6PkbUegcOdBU0Z4IC-brcxMVcKEY8IjhRCD0y_TXJmfP6qCpS_1XOIrTTm9JSfu6l8nX3Ws9itlpXw.pNOE9jrPT3mDYf7jCKZtFCxD2rNXRBN-X3yN6qItQxY&amp;dib_tag=se&amp;keywords=SCF087%2F10&amp;qid=1769952025&amp;sprefix=scf087%2F10%2Caps%2C107&amp;sr=8-5&amp;th=1</t>
        </is>
      </c>
      <c r="L1178" s="14" t="inlineStr">
        <is>
          <t>B0FBWVTB7D</t>
        </is>
      </c>
      <c r="M1178" s="15" t="n"/>
      <c r="N1178" s="15" t="n"/>
      <c r="O1178" s="15" t="n">
        <v>26.59</v>
      </c>
      <c r="P1178" s="15">
        <f>O1178/1.19</f>
        <v/>
      </c>
      <c r="Q1178" s="15">
        <f>O1178-P1178</f>
        <v/>
      </c>
      <c r="R1178" s="15">
        <f>O1178*0.15</f>
        <v/>
      </c>
      <c r="S1178" s="15" t="n">
        <v>11.76</v>
      </c>
      <c r="T1178" s="15">
        <f>S1178*0.2</f>
        <v/>
      </c>
      <c r="U1178" s="15" t="n">
        <v>0.400000000000002</v>
      </c>
      <c r="V1178" s="15" t="n">
        <v>3.2</v>
      </c>
      <c r="W1178" s="15">
        <f>V1178*0.2</f>
        <v/>
      </c>
      <c r="X1178" s="21">
        <f>O1178-Q1178-R1178-S1178-U1178-V1178+T1178+W1178</f>
        <v/>
      </c>
      <c r="Y1178" s="14" t="n"/>
      <c r="Z1178" s="15">
        <f>O1178+1.5</f>
        <v/>
      </c>
      <c r="AA1178" s="15" t="n"/>
      <c r="AB1178" s="15" t="n"/>
      <c r="AC1178" s="14" t="n"/>
      <c r="AD1178" s="14" t="n"/>
      <c r="AE1178" s="13" t="inlineStr">
        <is>
          <t>NOT_UPLOADED</t>
        </is>
      </c>
    </row>
    <row r="1179" ht="16" customHeight="1">
      <c r="A1179" s="17" t="n"/>
      <c r="B1179" s="17" t="n">
        <v>8720689043052</v>
      </c>
      <c r="C1179" s="13" t="n"/>
      <c r="D1179" s="18" t="n"/>
      <c r="E1179" s="18" t="n"/>
      <c r="F1179" s="17" t="inlineStr">
        <is>
          <t>SCF087/13</t>
        </is>
      </c>
      <c r="G1179" s="18" t="inlineStr">
        <is>
          <t>IVENTAS</t>
        </is>
      </c>
      <c r="H1179" s="18" t="inlineStr">
        <is>
          <t>Philips AVENT</t>
        </is>
      </c>
      <c r="I1179" s="18" t="inlineStr">
        <is>
          <t>Philips AVENT Ultra Air Pacifier - Orthodontic Design for Babies, 6-18 Months, Soft, Symmetrical Silicone Teat, BPA-Free, with Sterilisation Container, Pack of 2, SCF087/13</t>
        </is>
      </c>
      <c r="J1179" s="18" t="inlineStr">
        <is>
          <t>No</t>
        </is>
      </c>
      <c r="K1179" s="18" t="inlineStr">
        <is>
          <t>https://www.amazon.de/-/en/Philips-AVENT-Ultra-Pacifier-Sterilisation/dp/B0FBWWG5BR/ref=sr_1_1?crid=3RE71WIXCMWI0&amp;dib=eyJ2IjoiMSJ9.UhjdmwPjrwlr8mv6xACKVw.q3-JVmr7V2uVLnzk3D4xYsfgNLZYsvKkb-xqbD2H8Eg&amp;dib_tag=se&amp;keywords=SCF087%2F13&amp;qid=1769952524&amp;sprefix=scf087%2F13%2Caps%2C112&amp;sr=8-1&amp;th=1</t>
        </is>
      </c>
      <c r="L1179" s="18" t="inlineStr">
        <is>
          <t>B0FBWWG5BR</t>
        </is>
      </c>
      <c r="M1179" s="19" t="n"/>
      <c r="N1179" s="19" t="n"/>
      <c r="O1179" s="19" t="n">
        <v>13.95</v>
      </c>
      <c r="P1179" s="19">
        <f>O1179/1.19</f>
        <v/>
      </c>
      <c r="Q1179" s="19">
        <f>O1179-P1179</f>
        <v/>
      </c>
      <c r="R1179" s="19">
        <f>O1179*0.15</f>
        <v/>
      </c>
      <c r="S1179" s="19" t="n">
        <v>5.88</v>
      </c>
      <c r="T1179" s="19">
        <f>S1179*0.2</f>
        <v/>
      </c>
      <c r="U1179" s="19" t="n">
        <v>0.400000000000002</v>
      </c>
      <c r="V1179" s="19" t="n">
        <v>2.3</v>
      </c>
      <c r="W1179" s="19">
        <f>V1179*0.2</f>
        <v/>
      </c>
      <c r="X1179" s="21">
        <f>O1179-Q1179-R1179-S1179-U1179-V1179+T1179+W1179</f>
        <v/>
      </c>
      <c r="Y1179" s="18" t="n"/>
      <c r="Z1179" s="19">
        <f>O1179+1.5</f>
        <v/>
      </c>
      <c r="AA1179" s="19" t="n"/>
      <c r="AB1179" s="19" t="n"/>
      <c r="AC1179" s="18" t="n"/>
      <c r="AD1179" s="18" t="n"/>
      <c r="AE1179" s="13" t="inlineStr">
        <is>
          <t>NOT_UPLOADED</t>
        </is>
      </c>
    </row>
    <row r="1180" ht="16" customHeight="1">
      <c r="A1180" s="12" t="n"/>
      <c r="B1180" s="12" t="n">
        <v>8720689043069</v>
      </c>
      <c r="C1180" s="13" t="n"/>
      <c r="D1180" s="14" t="inlineStr">
        <is>
          <t>PACK X 2</t>
        </is>
      </c>
      <c r="E1180" s="14" t="n"/>
      <c r="F1180" s="12" t="inlineStr">
        <is>
          <t>SCF087/17</t>
        </is>
      </c>
      <c r="G1180" s="14" t="inlineStr">
        <is>
          <t>IVENTAS</t>
        </is>
      </c>
      <c r="H1180" s="14" t="inlineStr">
        <is>
          <t>Philips AVENT</t>
        </is>
      </c>
      <c r="I1180" s="14" t="inlineStr">
        <is>
          <t>Philips Avent Ultra Air Pacifier - Orthodontic Design for Babies, 6-18 Months, Soft, Symmetrical Silicone Teat, BPA Free, 2 Sterilisation Containers, Pack of 4, SCF087/26</t>
        </is>
      </c>
      <c r="J1180" s="14" t="inlineStr">
        <is>
          <t>No</t>
        </is>
      </c>
      <c r="K1180" s="14" t="inlineStr">
        <is>
          <t>https://www.amazon.de/-/en/Philips-AVENT-Ultra-Pacifier-Sterilisation/dp/B0FBWWLJP9/ref=sr_1_1?crid=3RE71WIXCMWI0&amp;dib=eyJ2IjoiMSJ9.UhjdmwPjrwlr8mv6xACKVw.q3-JVmr7V2uVLnzk3D4xYsfgNLZYsvKkb-xqbD2H8Eg&amp;dib_tag=se&amp;keywords=SCF087%2F13&amp;qid=1769952524&amp;sprefix=scf087%2F13%2Caps%2C112&amp;sr=8-1&amp;th=1</t>
        </is>
      </c>
      <c r="L1180" s="14" t="inlineStr">
        <is>
          <t>B0FBWWLJP9</t>
        </is>
      </c>
      <c r="M1180" s="15" t="n"/>
      <c r="N1180" s="15" t="n"/>
      <c r="O1180" s="15" t="n">
        <v>26.59</v>
      </c>
      <c r="P1180" s="15">
        <f>O1180/1.19</f>
        <v/>
      </c>
      <c r="Q1180" s="15">
        <f>O1180-P1180</f>
        <v/>
      </c>
      <c r="R1180" s="15">
        <f>O1180*0.15</f>
        <v/>
      </c>
      <c r="S1180" s="15" t="n">
        <v>11.76</v>
      </c>
      <c r="T1180" s="15">
        <f>S1180*0.2</f>
        <v/>
      </c>
      <c r="U1180" s="15" t="n">
        <v>0.400000000000002</v>
      </c>
      <c r="V1180" s="15" t="n">
        <v>3.2</v>
      </c>
      <c r="W1180" s="15">
        <f>V1180*0.2</f>
        <v/>
      </c>
      <c r="X1180" s="21">
        <f>O1180-Q1180-R1180-S1180-U1180-V1180+T1180+W1180</f>
        <v/>
      </c>
      <c r="Y1180" s="14" t="n"/>
      <c r="Z1180" s="15">
        <f>O1180+1.5</f>
        <v/>
      </c>
      <c r="AA1180" s="15" t="n"/>
      <c r="AB1180" s="15" t="n"/>
      <c r="AC1180" s="14" t="n"/>
      <c r="AD1180" s="14" t="n"/>
      <c r="AE1180" s="13" t="inlineStr">
        <is>
          <t>NOT_UPLOADED</t>
        </is>
      </c>
    </row>
    <row r="1181" ht="16" customHeight="1">
      <c r="A1181" s="17" t="n"/>
      <c r="B1181" s="17" t="n">
        <v>8720689042482</v>
      </c>
      <c r="C1181" s="13" t="n"/>
      <c r="D1181" s="18" t="inlineStr">
        <is>
          <t>SCF349/47</t>
        </is>
      </c>
      <c r="E1181" s="18" t="n"/>
      <c r="F1181" s="17" t="inlineStr">
        <is>
          <t>00A.0654.001</t>
        </is>
      </c>
      <c r="G1181" s="18" t="inlineStr">
        <is>
          <t>IVENTAS</t>
        </is>
      </c>
      <c r="H1181" s="18" t="inlineStr">
        <is>
          <t>Philips AVENT</t>
        </is>
      </c>
      <c r="I1181" s="18" t="inlineStr">
        <is>
          <t>Philips Avent Ultra Air Nighttime Pacifier - Orthodontic Shaped Design for Babies 0-6 Months, Glow in the Dark, Soft, Symmetrical Silicone Teat, BPA Free, Pack of 2, SCF376/25</t>
        </is>
      </c>
      <c r="J1181" s="18" t="inlineStr">
        <is>
          <t>No</t>
        </is>
      </c>
      <c r="K1181" s="18" t="inlineStr">
        <is>
          <t>https://www.amazon.de/-/en/Philips-Avent-Ultra-Nighttime-Pacifier/dp/B0FBWXDV6S/ref=sr_1_1?crid=1SXP7WNRCJ91T&amp;dib=eyJ2IjoiMSJ9.ft9O-brWGrImEhcT5jcHpg.9VEC72bI9Xylr8zsqq7SdvDz_4fhjeAh1Dugfb85oOA&amp;dib_tag=se&amp;keywords=SCF376%2F25&amp;qid=1769953181&amp;sprefix=scf376%2F25%2Caps%2C105&amp;sr=8-1&amp;th=1</t>
        </is>
      </c>
      <c r="L1181" s="18" t="inlineStr">
        <is>
          <t>B0FBWXDV6S</t>
        </is>
      </c>
      <c r="M1181" s="19" t="n"/>
      <c r="N1181" s="19" t="n"/>
      <c r="O1181" s="19" t="n">
        <v>14.9</v>
      </c>
      <c r="P1181" s="19">
        <f>O1181/1.19</f>
        <v/>
      </c>
      <c r="Q1181" s="19">
        <f>O1181-P1181</f>
        <v/>
      </c>
      <c r="R1181" s="19">
        <f>O1181*0.15</f>
        <v/>
      </c>
      <c r="S1181" s="19" t="n">
        <v>6.2</v>
      </c>
      <c r="T1181" s="19">
        <f>S1181*0.2</f>
        <v/>
      </c>
      <c r="U1181" s="19" t="n">
        <v>0.400000000000002</v>
      </c>
      <c r="V1181" s="19" t="n">
        <v>2.3</v>
      </c>
      <c r="W1181" s="19">
        <f>V1181*0.2</f>
        <v/>
      </c>
      <c r="X1181" s="21">
        <f>O1181-Q1181-R1181-S1181-U1181-V1181+T1181+W1181</f>
        <v/>
      </c>
      <c r="Y1181" s="18" t="n"/>
      <c r="Z1181" s="19">
        <f>O1181+1.5</f>
        <v/>
      </c>
      <c r="AA1181" s="19" t="n"/>
      <c r="AB1181" s="19" t="n"/>
      <c r="AC1181" s="18" t="n"/>
      <c r="AD1181" s="18" t="n"/>
      <c r="AE1181" s="13" t="inlineStr">
        <is>
          <t>NOT_UPLOADED</t>
        </is>
      </c>
    </row>
    <row r="1182" ht="16" customHeight="1">
      <c r="A1182" s="12" t="n"/>
      <c r="B1182" s="12" t="n">
        <v>8720689042109</v>
      </c>
      <c r="C1182" s="13" t="n"/>
      <c r="D1182" s="14" t="inlineStr">
        <is>
          <t>SCF376/25</t>
        </is>
      </c>
      <c r="E1182" s="14" t="n"/>
      <c r="F1182" s="12" t="inlineStr">
        <is>
          <t>00A.0657.001</t>
        </is>
      </c>
      <c r="G1182" s="14" t="inlineStr">
        <is>
          <t>IVENTAS</t>
        </is>
      </c>
      <c r="H1182" s="14" t="inlineStr">
        <is>
          <t>Philips AVENT</t>
        </is>
      </c>
      <c r="I1182" s="14" t="inlineStr">
        <is>
          <t>Philips Avent Ultra Air Nighttime Pacifier - Orthodontic Shaped Design for Babies 0-6 Months, Glow in the Dark, Soft, Symmetrical Silicone Teat, BPA Free, Pack of 2, SCF376/25</t>
        </is>
      </c>
      <c r="J1182" s="14" t="inlineStr">
        <is>
          <t>No</t>
        </is>
      </c>
      <c r="K1182" s="14" t="inlineStr">
        <is>
          <t>https://www.amazon.de/-/en/Philips-Avent-Ultra-Nighttime-Pacifier/dp/B0FBWXDV6S/ref=sr_1_1?crid=25JAYZJ2XFVNX&amp;dib=eyJ2IjoiMSJ9.ft9O-brWGrImEhcT5jcHpg.9VEC72bI9Xylr8zsqq7SdvDz_4fhjeAh1Dugfb85oOA&amp;dib_tag=se&amp;keywords=SCF376%2F25&amp;qid=1769983289&amp;sprefix=scf376%2F25%2Caps%2C106&amp;sr=8-1&amp;th=1</t>
        </is>
      </c>
      <c r="L1182" s="14" t="inlineStr">
        <is>
          <t>B0FBWXDV6S</t>
        </is>
      </c>
      <c r="M1182" s="15" t="n"/>
      <c r="N1182" s="15" t="n"/>
      <c r="O1182" s="15" t="n">
        <v>14.9</v>
      </c>
      <c r="P1182" s="15">
        <f>O1182/1.19</f>
        <v/>
      </c>
      <c r="Q1182" s="15">
        <f>O1182-P1182</f>
        <v/>
      </c>
      <c r="R1182" s="15">
        <f>O1182*0.15</f>
        <v/>
      </c>
      <c r="S1182" s="15" t="n">
        <v>6.2</v>
      </c>
      <c r="T1182" s="15">
        <f>S1182*0.2</f>
        <v/>
      </c>
      <c r="U1182" s="15" t="n">
        <v>0.400000000000002</v>
      </c>
      <c r="V1182" s="15" t="n">
        <v>2.3</v>
      </c>
      <c r="W1182" s="15">
        <f>V1182*0.2</f>
        <v/>
      </c>
      <c r="X1182" s="21">
        <f>O1182-Q1182-R1182-S1182-U1182-V1182+T1182+W1182</f>
        <v/>
      </c>
      <c r="Y1182" s="14" t="n"/>
      <c r="Z1182" s="15">
        <f>O1182+1.5</f>
        <v/>
      </c>
      <c r="AA1182" s="15" t="n"/>
      <c r="AB1182" s="15" t="n"/>
      <c r="AC1182" s="14" t="n"/>
      <c r="AD1182" s="14" t="n"/>
      <c r="AE1182" s="13" t="inlineStr">
        <is>
          <t>NOT_UPLOADED</t>
        </is>
      </c>
    </row>
    <row r="1183" ht="16" customHeight="1">
      <c r="A1183" s="17" t="n"/>
      <c r="B1183" s="17" t="n">
        <v>8720689042529</v>
      </c>
      <c r="C1183" s="13" t="n"/>
      <c r="D1183" s="18" t="inlineStr">
        <is>
          <t>SCF376/29</t>
        </is>
      </c>
      <c r="E1183" s="18" t="n"/>
      <c r="F1183" s="17" t="inlineStr">
        <is>
          <t>00A.0660.001</t>
        </is>
      </c>
      <c r="G1183" s="18" t="inlineStr">
        <is>
          <t>IVENTAS</t>
        </is>
      </c>
      <c r="H1183" s="18" t="inlineStr">
        <is>
          <t>Philips AVENT</t>
        </is>
      </c>
      <c r="I1183" s="18" t="inlineStr">
        <is>
          <t>Philips Avent Ultra Air Nighttime Pacifier - Orthodontic Shaped Design for Babies 6-18 Months, Glow in the Dark, Soft, Symmetrical Silicone Teat, BPA Free, Pack of 2, SCF376/29</t>
        </is>
      </c>
      <c r="J1183" s="18" t="inlineStr">
        <is>
          <t>No</t>
        </is>
      </c>
      <c r="K1183" s="18" t="inlineStr">
        <is>
          <t>https://www.amazon.de/-/en/Philips-Avent-Ultra-Nighttime-Pacifier/dp/B0FBWWW4FR/ref=sr_1_1?crid=29ZPX4WBVGKX8&amp;dib=eyJ2IjoiMSJ9.boyvNiJ54vcAE7RXYm3GSA.8BFvFNropdkk-21nlQPggguNbfDn_UyloYzqFuNBKkY&amp;dib_tag=se&amp;keywords=SCF376%2F29&amp;qid=1769953382&amp;sprefix=scf376%2F29%2Caps%2C110&amp;sr=8-1&amp;th=1</t>
        </is>
      </c>
      <c r="L1183" s="18" t="inlineStr">
        <is>
          <t>B0FBWWW4FR</t>
        </is>
      </c>
      <c r="M1183" s="19" t="n"/>
      <c r="N1183" s="19" t="n"/>
      <c r="O1183" s="19" t="n">
        <v>14.9</v>
      </c>
      <c r="P1183" s="19">
        <f>O1183/1.19</f>
        <v/>
      </c>
      <c r="Q1183" s="19">
        <f>O1183-P1183</f>
        <v/>
      </c>
      <c r="R1183" s="19">
        <f>O1183*0.15</f>
        <v/>
      </c>
      <c r="S1183" s="19" t="n">
        <v>6.2</v>
      </c>
      <c r="T1183" s="19">
        <f>S1183*0.2</f>
        <v/>
      </c>
      <c r="U1183" s="19" t="n">
        <v>0.400000000000002</v>
      </c>
      <c r="V1183" s="19" t="n">
        <v>2.3</v>
      </c>
      <c r="W1183" s="19">
        <f>V1183*0.2</f>
        <v/>
      </c>
      <c r="X1183" s="21">
        <f>O1183-Q1183-R1183-S1183-U1183-V1183+T1183+W1183</f>
        <v/>
      </c>
      <c r="Y1183" s="18" t="n"/>
      <c r="Z1183" s="19">
        <f>O1183+1.5</f>
        <v/>
      </c>
      <c r="AA1183" s="19" t="n"/>
      <c r="AB1183" s="19" t="n"/>
      <c r="AC1183" s="18" t="n"/>
      <c r="AD1183" s="18" t="n"/>
      <c r="AE1183" s="13" t="inlineStr">
        <is>
          <t>NOT_UPLOADED</t>
        </is>
      </c>
    </row>
    <row r="1184" ht="16" customHeight="1">
      <c r="A1184" s="12" t="n"/>
      <c r="B1184" s="12" t="n">
        <v>8720689034890</v>
      </c>
      <c r="C1184" s="13" t="n"/>
      <c r="D1184" s="14" t="inlineStr">
        <is>
          <t>SCY960/03</t>
        </is>
      </c>
      <c r="E1184" s="14" t="n"/>
      <c r="F1184" s="12" t="inlineStr">
        <is>
          <t>00A.0589.001</t>
        </is>
      </c>
      <c r="G1184" s="14" t="inlineStr">
        <is>
          <t>IVENTAS</t>
        </is>
      </c>
      <c r="H1184" s="14" t="inlineStr">
        <is>
          <t>Philips AVENT</t>
        </is>
      </c>
      <c r="I1184" s="14" t="inlineStr">
        <is>
          <t>Philips Avent Natural Response Mix &amp; Match Teat Set, 3 Natural Response Teats with Different Flow Rates - Medium (D 3), Fast (D 4) and Extra Fast (D 5), 3 Pack, SCY960/03</t>
        </is>
      </c>
      <c r="J1184" s="14" t="inlineStr">
        <is>
          <t>No</t>
        </is>
      </c>
      <c r="K1184" s="14" t="inlineStr">
        <is>
          <t>https://www.amazon.de/-/en/Philips-Avent-Natural-Response-Different/dp/B0DWTCZ1WM/ref=sr_1_1?crid=18STQGTTHA0ST&amp;dib=eyJ2IjoiMSJ9.oZI_wbBLyQg2qvDk8zSWlw.6uMFlVkcWJqPOLoMbD4iClsCjHXPidNaUM7DTWj9sH4&amp;dib_tag=se&amp;keywords=SCY960%2F03&amp;qid=1770992745&amp;sprefix=scy960%2F03%2Caps%2C166&amp;sr=8-1&amp;th=1</t>
        </is>
      </c>
      <c r="L1184" s="14" t="inlineStr">
        <is>
          <t>B0DWTCZ1WM</t>
        </is>
      </c>
      <c r="M1184" s="15" t="n"/>
      <c r="N1184" s="15" t="n"/>
      <c r="O1184" s="15" t="n"/>
      <c r="P1184" s="15" t="n"/>
      <c r="Q1184" s="15" t="n"/>
      <c r="R1184" s="15" t="n"/>
      <c r="S1184" s="15" t="n">
        <v>8.15</v>
      </c>
      <c r="T1184" s="15">
        <f>S1184*0.2</f>
        <v/>
      </c>
      <c r="U1184" s="15" t="n">
        <v>0.400000000000002</v>
      </c>
      <c r="V1184" s="15" t="n">
        <v>2.3</v>
      </c>
      <c r="W1184" s="15">
        <f>V1184*0.2</f>
        <v/>
      </c>
      <c r="X1184" s="22" t="n"/>
      <c r="Y1184" s="14" t="n"/>
      <c r="Z1184" s="15" t="n"/>
      <c r="AA1184" s="15" t="n"/>
      <c r="AB1184" s="15" t="n"/>
      <c r="AC1184" s="14" t="n"/>
      <c r="AD1184" s="14" t="n"/>
      <c r="AE1184" s="13" t="inlineStr">
        <is>
          <t>NOT_UPLOADED</t>
        </is>
      </c>
    </row>
    <row r="1185" ht="16" customHeight="1">
      <c r="A1185" s="17" t="n"/>
      <c r="B1185" s="17" t="n">
        <v>8710103985174</v>
      </c>
      <c r="C1185" s="13" t="n"/>
      <c r="D1185" s="18" t="inlineStr">
        <is>
          <t>SCY966/02</t>
        </is>
      </c>
      <c r="E1185" s="18" t="n"/>
      <c r="F1185" s="17" t="inlineStr">
        <is>
          <t>00A.0595.001</t>
        </is>
      </c>
      <c r="G1185" s="18" t="inlineStr">
        <is>
          <t>IVENTAS</t>
        </is>
      </c>
      <c r="H1185" s="18" t="inlineStr">
        <is>
          <t>Philips AVENT</t>
        </is>
      </c>
      <c r="I1185" s="18" t="inlineStr">
        <is>
          <t>Philips Avent Natural Response Sauger – 2x Sauger für Babyflaschen mit Durchflussstärke 6, BPA-frei, für Babys ab 6 Monaten (Modell SCY966/02)</t>
        </is>
      </c>
      <c r="J1185" s="18" t="inlineStr">
        <is>
          <t>No</t>
        </is>
      </c>
      <c r="K1185" s="18" t="inlineStr">
        <is>
          <t>https://www.amazon.de/-/en/Philips-Avent-Natural-Response-Sauger/dp/B0BWFPZ7D7/ref=sr_1_1?crid=3MC4SQ5H81ZZJ&amp;dib=eyJ2IjoiMSJ9.aQGU3kAv5ps_v1xMZkAo3CbXYiYGWuUvGj0Q4GtziTM.F_jiMbRYNMyjYLEkdC2rGIdYXKOYutcwvhDZbh-RDVU&amp;dib_tag=se&amp;keywords=SCY966%2F02&amp;qid=1770993098&amp;sprefix=scy966%2F02%2Caps%2C163&amp;sr=8-1</t>
        </is>
      </c>
      <c r="L1185" s="18" t="inlineStr">
        <is>
          <t>B0BWFPZ7D7</t>
        </is>
      </c>
      <c r="M1185" s="19" t="n"/>
      <c r="N1185" s="19" t="n"/>
      <c r="O1185" s="19" t="n"/>
      <c r="P1185" s="19" t="n"/>
      <c r="Q1185" s="19" t="n"/>
      <c r="R1185" s="19" t="n"/>
      <c r="S1185" s="19" t="n">
        <v>6.45</v>
      </c>
      <c r="T1185" s="19">
        <f>S1185*0.2</f>
        <v/>
      </c>
      <c r="U1185" s="19" t="n">
        <v>0.400000000000002</v>
      </c>
      <c r="V1185" s="19" t="n">
        <v>2.3</v>
      </c>
      <c r="W1185" s="19">
        <f>V1185*0.2</f>
        <v/>
      </c>
      <c r="X1185" s="22" t="n"/>
      <c r="Y1185" s="18" t="n"/>
      <c r="Z1185" s="19" t="n"/>
      <c r="AA1185" s="19" t="n"/>
      <c r="AB1185" s="19" t="n"/>
      <c r="AC1185" s="18" t="n"/>
      <c r="AD1185" s="18" t="n"/>
      <c r="AE1185" s="13" t="inlineStr">
        <is>
          <t>NOT_UPLOADED</t>
        </is>
      </c>
    </row>
    <row r="1186" ht="16" customHeight="1">
      <c r="A1186" s="12" t="n"/>
      <c r="B1186" s="12" t="n">
        <v>8720689041300</v>
      </c>
      <c r="C1186" s="13" t="n"/>
      <c r="D1186" s="14" t="inlineStr">
        <is>
          <t>SCF091/43</t>
        </is>
      </c>
      <c r="E1186" s="14" t="n"/>
      <c r="F1186" s="12" t="inlineStr">
        <is>
          <t>00A.0664.001</t>
        </is>
      </c>
      <c r="G1186" s="14" t="inlineStr">
        <is>
          <t>IVENTAS</t>
        </is>
      </c>
      <c r="H1186" s="14" t="inlineStr">
        <is>
          <t>Philips AVENT</t>
        </is>
      </c>
      <c r="I1186" s="14" t="inlineStr">
        <is>
          <t>Philips Avent SCF091/43 Ultra Soft Pacifier - Orthodontic Shaped Design for Babies 6-18 Months Flexible Teat Shield Symmetrical Silicone Teat BPA Free Pack of 2</t>
        </is>
      </c>
      <c r="J1186" s="14" t="inlineStr">
        <is>
          <t>No</t>
        </is>
      </c>
      <c r="K1186" s="14" t="inlineStr">
        <is>
          <t>https://www.amazon.de/-/en/Philips-Avent-SCF091-43-Pacifier/dp/B0FBWXBVWF/ref=sr_1_1?crid=1Z6RFGQVA4BKU&amp;dib=eyJ2IjoiMSJ9.DIIk5rlJtQw8FUY4EeCGdhM_OX71BDV3PCtMcTVY9dI.6L0xRBpYf-sH4xe0YDVZjy9daladVp3u6dmPA6TwMhs&amp;dib_tag=se&amp;keywords=SCF091%2F43&amp;qid=1770994261&amp;sprefix=scf091%2F43%2Caps%2C195&amp;sr=8-1&amp;th=1</t>
        </is>
      </c>
      <c r="L1186" s="14" t="inlineStr">
        <is>
          <t>B0FBWXBVWF</t>
        </is>
      </c>
      <c r="M1186" s="15" t="n"/>
      <c r="N1186" s="15" t="n"/>
      <c r="O1186" s="15" t="n"/>
      <c r="P1186" s="15" t="n"/>
      <c r="Q1186" s="15" t="n"/>
      <c r="R1186" s="15" t="n"/>
      <c r="S1186" s="15" t="n">
        <v>6.8</v>
      </c>
      <c r="T1186" s="15">
        <f>S1186*0.2</f>
        <v/>
      </c>
      <c r="U1186" s="15" t="n">
        <v>0.400000000000002</v>
      </c>
      <c r="V1186" s="15" t="n"/>
      <c r="W1186" s="15" t="n"/>
      <c r="X1186" s="22" t="n"/>
      <c r="Y1186" s="14" t="n"/>
      <c r="Z1186" s="15" t="n"/>
      <c r="AA1186" s="15" t="n"/>
      <c r="AB1186" s="15" t="n"/>
      <c r="AC1186" s="14" t="n"/>
      <c r="AD1186" s="14" t="n"/>
      <c r="AE1186" s="13" t="inlineStr">
        <is>
          <t>NOT_UPLOADED</t>
        </is>
      </c>
    </row>
    <row r="1187" ht="16" customHeight="1">
      <c r="A1187" s="17" t="n"/>
      <c r="B1187" s="17" t="n">
        <v>8720689041577</v>
      </c>
      <c r="C1187" s="13" t="n"/>
      <c r="D1187" s="18" t="inlineStr">
        <is>
          <t>SCF093/03</t>
        </is>
      </c>
      <c r="E1187" s="18" t="n"/>
      <c r="F1187" s="17" t="inlineStr">
        <is>
          <t>00A.0669.001</t>
        </is>
      </c>
      <c r="G1187" s="18" t="inlineStr">
        <is>
          <t>IVENTAS</t>
        </is>
      </c>
      <c r="H1187" s="18" t="inlineStr">
        <is>
          <t>Philips AVENT</t>
        </is>
      </c>
      <c r="I1187" s="18" t="inlineStr">
        <is>
          <t>Philips Avent SCF093/03 Ultra Soft Dummy, Orthodontic Shaped Dummies for Babies from 18 Months, Flexible Teat Shield, Extra Strong Silicone Teat, BPA-Free, Pack of 2, Red and Orange</t>
        </is>
      </c>
      <c r="J1187" s="18" t="inlineStr">
        <is>
          <t>No</t>
        </is>
      </c>
      <c r="K1187" s="18" t="inlineStr">
        <is>
          <t>https://www.amazon.de/-/en/SCF093-03-Orthodontic-Flexible-Silicone/dp/B0FBWVBK8Y/ref=sr_1_1?crid=RWMSAHMSLG1W&amp;dib=eyJ2IjoiMSJ9.VX1X6YBJ_BLzdc1efyp87vtAiTj9NBnQfQDR5xs30GjGjHj071QN20LucGBJIEps.GXqPiqwV8x2ghdi7ot1Y8ZMF65GbjOJHhmxOsJ028lg&amp;dib_tag=se&amp;keywords=SCF093%2F03&amp;qid=1770994764&amp;sprefix=scf093%2F03%2Caps%2C193&amp;sr=8-1&amp;th=1</t>
        </is>
      </c>
      <c r="L1187" s="18" t="inlineStr">
        <is>
          <t>B0FBWVBK8Y</t>
        </is>
      </c>
      <c r="M1187" s="19" t="n"/>
      <c r="N1187" s="19" t="n"/>
      <c r="O1187" s="19" t="n"/>
      <c r="P1187" s="19" t="n"/>
      <c r="Q1187" s="19" t="n"/>
      <c r="R1187" s="19" t="n"/>
      <c r="S1187" s="19" t="n">
        <v>6.8</v>
      </c>
      <c r="T1187" s="19">
        <f>S1187*0.2</f>
        <v/>
      </c>
      <c r="U1187" s="19" t="n">
        <v>0.400000000000002</v>
      </c>
      <c r="V1187" s="19" t="n"/>
      <c r="W1187" s="19" t="n"/>
      <c r="X1187" s="22" t="n"/>
      <c r="Y1187" s="18" t="n"/>
      <c r="Z1187" s="19" t="n"/>
      <c r="AA1187" s="19" t="n"/>
      <c r="AB1187" s="19" t="n"/>
      <c r="AC1187" s="18" t="n"/>
      <c r="AD1187" s="18" t="n"/>
      <c r="AE1187" s="13" t="inlineStr">
        <is>
          <t>NOT_UPLOADED</t>
        </is>
      </c>
    </row>
    <row r="1188" ht="16" customHeight="1">
      <c r="A1188" s="12" t="n"/>
      <c r="B1188" s="12" t="n">
        <v>8720689043250</v>
      </c>
      <c r="C1188" s="13" t="n"/>
      <c r="D1188" s="14" t="inlineStr">
        <is>
          <t>SCF099/26</t>
        </is>
      </c>
      <c r="E1188" s="14" t="n"/>
      <c r="F1188" s="12" t="inlineStr">
        <is>
          <t>00A.0670.001</t>
        </is>
      </c>
      <c r="G1188" s="14" t="inlineStr">
        <is>
          <t>IVENTAS</t>
        </is>
      </c>
      <c r="H1188" s="14" t="inlineStr">
        <is>
          <t>Philips AVENT</t>
        </is>
      </c>
      <c r="I1188" s="14" t="inlineStr">
        <is>
          <t>Philips AVENT Soothie Pacifier, Orthodontic Shaped Pacifier for Newborns, 0-6 Months, One Piece Design, Flexible Silicone Teat Reduces Pressure, BPA-Free, Pack of 2, Blue, SCF099/26</t>
        </is>
      </c>
      <c r="J1188" s="14" t="inlineStr">
        <is>
          <t>No</t>
        </is>
      </c>
      <c r="K1188" s="14" t="inlineStr">
        <is>
          <t>https://www.amazon.de/-/en/AVENT-Pacifier-Orthodontic-SCF099-26/dp/B0FHBNQY9P/ref=sr_1_1?crid=V2SS6TTUFYVG&amp;dib=eyJ2IjoiMSJ9.MVicFkF1PPluXZ5xgA9gX3mD9pwRRRR1G8TPrTBSWoM.74OdxTktEXTa-ZIykd2iscOw9EVBX5MdqnA0O3M8cEk&amp;dib_tag=se&amp;keywords=SCF099%2F26&amp;qid=1770994987&amp;sprefix=scf099%2F26%2Caps%2C142&amp;sr=8-1&amp;th=1</t>
        </is>
      </c>
      <c r="L1188" s="14" t="inlineStr">
        <is>
          <t>B0FHBNQY9P</t>
        </is>
      </c>
      <c r="M1188" s="15" t="n"/>
      <c r="N1188" s="15" t="n"/>
      <c r="O1188" s="15" t="n"/>
      <c r="P1188" s="15" t="n"/>
      <c r="Q1188" s="15" t="n"/>
      <c r="R1188" s="15" t="n"/>
      <c r="S1188" s="15" t="n">
        <v>7.8</v>
      </c>
      <c r="T1188" s="15">
        <f>S1188*0.2</f>
        <v/>
      </c>
      <c r="U1188" s="15" t="n">
        <v>0.400000000000002</v>
      </c>
      <c r="V1188" s="15" t="n"/>
      <c r="W1188" s="15" t="n"/>
      <c r="X1188" s="22" t="n"/>
      <c r="Y1188" s="14" t="n"/>
      <c r="Z1188" s="15" t="n"/>
      <c r="AA1188" s="15" t="n"/>
      <c r="AB1188" s="15" t="n"/>
      <c r="AC1188" s="14" t="n"/>
      <c r="AD1188" s="14" t="n"/>
      <c r="AE1188" s="13" t="inlineStr">
        <is>
          <t>NOT_UPLOADED</t>
        </is>
      </c>
    </row>
    <row r="1189" ht="16" customHeight="1">
      <c r="A1189" s="17" t="n"/>
      <c r="B1189" s="17" t="n">
        <v>5012909006941</v>
      </c>
      <c r="C1189" s="13" t="n"/>
      <c r="D1189" s="18" t="inlineStr">
        <is>
          <t>SCF135/06</t>
        </is>
      </c>
      <c r="E1189" s="18" t="n"/>
      <c r="F1189" s="17" t="inlineStr">
        <is>
          <t>00A.0038.001</t>
        </is>
      </c>
      <c r="G1189" s="18" t="inlineStr">
        <is>
          <t>IVENTAS</t>
        </is>
      </c>
      <c r="H1189" s="18" t="inlineStr">
        <is>
          <t>Philips AVENT</t>
        </is>
      </c>
      <c r="I1189" s="18" t="inlineStr">
        <is>
          <t>Philips Avent Milk Powder Dispenser</t>
        </is>
      </c>
      <c r="J1189" s="18" t="inlineStr">
        <is>
          <t>No</t>
        </is>
      </c>
      <c r="K1189" s="18" t="inlineStr">
        <is>
          <t>https://www.amazon.de/-/en/Philips-Avent-Milk-Powder-Dispenser/dp/B000MMQO7O/ref=sr_1_1?crid=184SMQAWC0D22&amp;dib=eyJ2IjoiMSJ9.3-NAKSSYouWG4gxfx89h8A.YorfBbRyKUj_BAzFwlaSGsgEgeF8Z253cnUUJxrq-_g&amp;dib_tag=se&amp;keywords=SCF135%2F06&amp;qid=1770997140&amp;sprefix=scf135%2F06%2Caps%2C149&amp;sr=8-1&amp;th=1</t>
        </is>
      </c>
      <c r="L1189" s="18" t="inlineStr">
        <is>
          <t xml:space="preserve"> B000MMQO7O</t>
        </is>
      </c>
      <c r="M1189" s="19" t="n"/>
      <c r="N1189" s="19" t="n"/>
      <c r="O1189" s="19" t="n"/>
      <c r="P1189" s="19" t="n"/>
      <c r="Q1189" s="19" t="n"/>
      <c r="R1189" s="19" t="n"/>
      <c r="S1189" s="19" t="n">
        <v>5.76</v>
      </c>
      <c r="T1189" s="19">
        <f>S1189*0.2</f>
        <v/>
      </c>
      <c r="U1189" s="19" t="n">
        <v>0.400000000000002</v>
      </c>
      <c r="V1189" s="19" t="n"/>
      <c r="W1189" s="19" t="n"/>
      <c r="X1189" s="22" t="n"/>
      <c r="Y1189" s="18" t="n"/>
      <c r="Z1189" s="19" t="n"/>
      <c r="AA1189" s="19" t="n"/>
      <c r="AB1189" s="19" t="n"/>
      <c r="AC1189" s="18" t="n"/>
      <c r="AD1189" s="18" t="n"/>
      <c r="AE1189" s="13" t="inlineStr">
        <is>
          <t>NOT_UPLOADED</t>
        </is>
      </c>
    </row>
    <row r="1190" ht="16" customHeight="1">
      <c r="A1190" s="12" t="n"/>
      <c r="B1190" s="12" t="n">
        <v>8720689021951</v>
      </c>
      <c r="C1190" s="13" t="n"/>
      <c r="D1190" s="14" t="inlineStr">
        <is>
          <t>SCH401/00</t>
        </is>
      </c>
      <c r="E1190" s="14" t="n"/>
      <c r="F1190" s="12" t="inlineStr">
        <is>
          <t>00A.0409.001</t>
        </is>
      </c>
      <c r="G1190" s="14" t="inlineStr">
        <is>
          <t>IVENTAS</t>
        </is>
      </c>
      <c r="H1190" s="14" t="inlineStr">
        <is>
          <t>Philips AVENT</t>
        </is>
      </c>
      <c r="I1190" s="14" t="inlineStr">
        <is>
          <t>Philips AVENT Baby Care Kit - Starter Set with 9 Accessories: Nail Clippers, Scissors, 3 Nail Files, Comb, Hair Brush, Nasal Aspirator and Finger Toothbrush (Model SCH401/00)</t>
        </is>
      </c>
      <c r="J1190" s="14" t="inlineStr">
        <is>
          <t>No</t>
        </is>
      </c>
      <c r="K1190" s="14" t="inlineStr">
        <is>
          <t>https://www.amazon.de/-/en/Philips-AVENT-Baby-Care-Kit/dp/B0CDXYWVGQ/ref=sr_1_1?crid=25BLBQQGHXQDZ&amp;dib=eyJ2IjoiMSJ9.mVx0HNM8KFg7J4RxG4ljvglsyEVm0QJTvsmhV7w_synU8A2H93vS193I-DTdwYxuB6yh8fvt1Xw4gBao-C8Z9w.u3ZW9LDdlTLTlMvoeo9CNEGGb4RSnKma8yWTFs2lwsI&amp;dib_tag=se&amp;keywords=SCH401%2F00&amp;qid=1770997276&amp;sprefix=sch401%2F00%2Caps%2C247&amp;sr=8-1&amp;th=1</t>
        </is>
      </c>
      <c r="L1190" s="14" t="inlineStr">
        <is>
          <t>B0CDXYWVGQ</t>
        </is>
      </c>
      <c r="M1190" s="15" t="n"/>
      <c r="N1190" s="15" t="n"/>
      <c r="O1190" s="15" t="n"/>
      <c r="P1190" s="15" t="n"/>
      <c r="Q1190" s="15" t="n"/>
      <c r="R1190" s="15" t="n"/>
      <c r="S1190" s="15" t="n">
        <v>23.52</v>
      </c>
      <c r="T1190" s="15">
        <f>S1190*0.2</f>
        <v/>
      </c>
      <c r="U1190" s="15" t="n">
        <v>0.400000000000002</v>
      </c>
      <c r="V1190" s="15" t="n"/>
      <c r="W1190" s="15" t="n"/>
      <c r="X1190" s="22" t="n"/>
      <c r="Y1190" s="14" t="n"/>
      <c r="Z1190" s="15" t="n"/>
      <c r="AA1190" s="15" t="n"/>
      <c r="AB1190" s="15" t="n"/>
      <c r="AC1190" s="14" t="n"/>
      <c r="AD1190" s="14" t="n"/>
      <c r="AE1190" s="13" t="inlineStr">
        <is>
          <t>NOT_UPLOADED</t>
        </is>
      </c>
    </row>
    <row r="1191" ht="16" customHeight="1">
      <c r="A1191" s="17" t="n"/>
      <c r="B1191" s="17" t="n">
        <v>8720689021951</v>
      </c>
      <c r="C1191" s="13" t="n"/>
      <c r="D1191" s="18" t="inlineStr">
        <is>
          <t>SCH401/00</t>
        </is>
      </c>
      <c r="E1191" s="18" t="n"/>
      <c r="F1191" s="17" t="inlineStr">
        <is>
          <t>00A.0409.001</t>
        </is>
      </c>
      <c r="G1191" s="18" t="inlineStr">
        <is>
          <t>IVENTAS</t>
        </is>
      </c>
      <c r="H1191" s="18" t="inlineStr">
        <is>
          <t>Philips AVENT</t>
        </is>
      </c>
      <c r="I1191" s="18" t="inlineStr">
        <is>
          <t>Philips Avent Baby Care Set 9-Piece Starter Set for Baby Care - Nail Clippers, Scissors, 3 Nail Files, Comb, Brush, Nasal Aspirator and Thimble (Model SCH401/00)</t>
        </is>
      </c>
      <c r="J1191" s="18" t="inlineStr">
        <is>
          <t>No</t>
        </is>
      </c>
      <c r="K1191" s="18" t="inlineStr">
        <is>
          <t>https://www.amazon.de/-/en/Philips-Avent-Baby-9-Piece-Starter/dp/B0CDXVV2JP/ref=sr_1_2?crid=25BLBQQGHXQDZ&amp;dib=eyJ2IjoiMSJ9.mVx0HNM8KFg7J4RxG4ljvglsyEVm0QJTvsmhV7w_synU8A2H93vS193I-DTdwYxuB6yh8fvt1Xw4gBao-C8Z9w.u3ZW9LDdlTLTlMvoeo9CNEGGb4RSnKma8yWTFs2lwsI&amp;dib_tag=se&amp;keywords=SCH401%2F00&amp;qid=1770997276&amp;sprefix=sch401%2F00%2Caps%2C247&amp;sr=8-2</t>
        </is>
      </c>
      <c r="L1191" s="18" t="inlineStr">
        <is>
          <t>B0CDXVV2JP</t>
        </is>
      </c>
      <c r="M1191" s="19" t="n"/>
      <c r="N1191" s="19" t="n"/>
      <c r="O1191" s="19" t="n"/>
      <c r="P1191" s="19" t="n"/>
      <c r="Q1191" s="19" t="n"/>
      <c r="R1191" s="19" t="n"/>
      <c r="S1191" s="19" t="n"/>
      <c r="T1191" s="19" t="n"/>
      <c r="U1191" s="19" t="n">
        <v>0.400000000000002</v>
      </c>
      <c r="V1191" s="19" t="n"/>
      <c r="W1191" s="19" t="n"/>
      <c r="X1191" s="22" t="n"/>
      <c r="Y1191" s="18" t="n"/>
      <c r="Z1191" s="19" t="n"/>
      <c r="AA1191" s="19" t="n"/>
      <c r="AB1191" s="19" t="n"/>
      <c r="AC1191" s="18" t="n"/>
      <c r="AD1191" s="18" t="n"/>
      <c r="AE1191" s="13" t="inlineStr">
        <is>
          <t>NOT_UPLOADED</t>
        </is>
      </c>
    </row>
    <row r="1192" ht="16" customHeight="1">
      <c r="A1192" s="12" t="n"/>
      <c r="B1192" s="12" t="n">
        <v>8720689021951</v>
      </c>
      <c r="C1192" s="13" t="n"/>
      <c r="D1192" s="14" t="inlineStr">
        <is>
          <t>SCH401/00</t>
        </is>
      </c>
      <c r="E1192" s="14" t="n"/>
      <c r="F1192" s="12" t="inlineStr">
        <is>
          <t>00A.0409.001</t>
        </is>
      </c>
      <c r="G1192" s="14" t="inlineStr">
        <is>
          <t>IVENTAS</t>
        </is>
      </c>
      <c r="H1192" s="14" t="inlineStr">
        <is>
          <t>Philips AVENT</t>
        </is>
      </c>
      <c r="I1192" s="14" t="inlineStr">
        <is>
          <t>Philips Avent Baby Care Set, Nail Clippers, Scissors, 3 Files, Comb, Hair Brush, Nasal Aspirator and Finger Toothbrush (Model SCH401/00)</t>
        </is>
      </c>
      <c r="J1192" s="14" t="inlineStr">
        <is>
          <t>No</t>
        </is>
      </c>
      <c r="K1192" s="14" t="inlineStr">
        <is>
          <t>https://www.amazon.de/-/en/Philips-Aspirator-Toothbrush-SCH401-00/dp/B0CF21731L/ref=sr_1_3?crid=25BLBQQGHXQDZ&amp;dib=eyJ2IjoiMSJ9.mVx0HNM8KFg7J4RxG4ljvglsyEVm0QJTvsmhV7w_synU8A2H93vS193I-DTdwYxuB6yh8fvt1Xw4gBao-C8Z9w.u3ZW9LDdlTLTlMvoeo9CNEGGb4RSnKma8yWTFs2lwsI&amp;dib_tag=se&amp;keywords=SCH401%2F00&amp;qid=1770997276&amp;sprefix=sch401%2F00%2Caps%2C247&amp;sr=8-3</t>
        </is>
      </c>
      <c r="L1192" s="14" t="inlineStr">
        <is>
          <t>B0CF21731L</t>
        </is>
      </c>
      <c r="M1192" s="15" t="n"/>
      <c r="N1192" s="15" t="n"/>
      <c r="O1192" s="15" t="n"/>
      <c r="P1192" s="15" t="n"/>
      <c r="Q1192" s="15" t="n"/>
      <c r="R1192" s="15" t="n"/>
      <c r="S1192" s="15" t="n"/>
      <c r="T1192" s="15" t="n"/>
      <c r="U1192" s="15" t="n">
        <v>0.400000000000002</v>
      </c>
      <c r="V1192" s="15" t="n"/>
      <c r="W1192" s="15" t="n"/>
      <c r="X1192" s="22" t="n"/>
      <c r="Y1192" s="14" t="n"/>
      <c r="Z1192" s="15" t="n"/>
      <c r="AA1192" s="15" t="n"/>
      <c r="AB1192" s="15" t="n"/>
      <c r="AC1192" s="14" t="n"/>
      <c r="AD1192" s="14" t="n"/>
      <c r="AE1192" s="13" t="inlineStr">
        <is>
          <t>NOT_UPLOADED</t>
        </is>
      </c>
    </row>
    <row r="1193" ht="16" customHeight="1">
      <c r="A1193" s="17" t="n"/>
      <c r="B1193" s="17" t="n">
        <v>8710103647478</v>
      </c>
      <c r="C1193" s="13" t="n"/>
      <c r="D1193" s="18" t="inlineStr">
        <is>
          <t>SCF149/00</t>
        </is>
      </c>
      <c r="E1193" s="18" t="n"/>
      <c r="F1193" s="17" t="inlineStr">
        <is>
          <t>00A.0605.001</t>
        </is>
      </c>
      <c r="G1193" s="18" t="inlineStr">
        <is>
          <t>IVENTAS</t>
        </is>
      </c>
      <c r="H1193" s="18" t="inlineStr">
        <is>
          <t>Philips AVENT</t>
        </is>
      </c>
      <c r="I1193" s="18" t="inlineStr">
        <is>
          <t>Philips Avent Drying Rack Drying stand single white/blue</t>
        </is>
      </c>
      <c r="J1193" s="18" t="inlineStr">
        <is>
          <t>No</t>
        </is>
      </c>
      <c r="K1193" s="18" t="inlineStr">
        <is>
          <t>https://www.amazon.de/-/en/Philips-Avent-Drying-stand-single/dp/B00GN0S81Y/ref=sr_1_1?crid=2TBY8TA6ITC3E&amp;dib=eyJ2IjoiMSJ9.hK6I6sIwxW3vu6pyekqEsSSS7i_z6ZEKztcPf5hu2uA.56pyZsf1GhhVKkaFDBkCP39sqM1TFroi8-EaZIEgViU&amp;dib_tag=se&amp;keywords=SCF149%2F00&amp;qid=1770997441&amp;sprefix=scf149%2F00%2Caps%2C133&amp;sr=8-1&amp;th=1</t>
        </is>
      </c>
      <c r="L1193" s="18" t="inlineStr">
        <is>
          <t>B00GN0S81Y</t>
        </is>
      </c>
      <c r="M1193" s="19" t="n"/>
      <c r="N1193" s="19" t="n"/>
      <c r="O1193" s="19" t="n"/>
      <c r="P1193" s="19" t="n"/>
      <c r="Q1193" s="19" t="n"/>
      <c r="R1193" s="19" t="n"/>
      <c r="S1193" s="19" t="n">
        <v>15.35</v>
      </c>
      <c r="T1193" s="19">
        <f>S1193*0.2</f>
        <v/>
      </c>
      <c r="U1193" s="19" t="n">
        <v>0.400000000000002</v>
      </c>
      <c r="V1193" s="19" t="n"/>
      <c r="W1193" s="19" t="n"/>
      <c r="X1193" s="22" t="n"/>
      <c r="Y1193" s="18" t="n"/>
      <c r="Z1193" s="19" t="n"/>
      <c r="AA1193" s="19" t="n"/>
      <c r="AB1193" s="19" t="n"/>
      <c r="AC1193" s="18" t="n"/>
      <c r="AD1193" s="18" t="n"/>
      <c r="AE1193" s="13" t="inlineStr">
        <is>
          <t>NOT_UPLOADED</t>
        </is>
      </c>
    </row>
    <row r="1194" ht="16" customHeight="1">
      <c r="A1194" s="12" t="n">
        <v>8710103989684</v>
      </c>
      <c r="B1194" s="12" t="n">
        <v>8710103989677</v>
      </c>
      <c r="C1194" s="13" t="n"/>
      <c r="D1194" s="14" t="inlineStr">
        <is>
          <t>SCY903/21</t>
        </is>
      </c>
      <c r="E1194" s="14" t="inlineStr">
        <is>
          <t>IVE-8710103989684</t>
        </is>
      </c>
      <c r="F1194" s="12" t="inlineStr">
        <is>
          <t>00A.0574.001</t>
        </is>
      </c>
      <c r="G1194" s="14" t="inlineStr">
        <is>
          <t>IVENTAS</t>
        </is>
      </c>
      <c r="H1194" s="14" t="inlineStr">
        <is>
          <t>Philips AVENT</t>
        </is>
      </c>
      <c r="I1194" s="14" t="inlineStr">
        <is>
          <t>Philips Natural 3.0 Bottle 260 ml Blue Avent</t>
        </is>
      </c>
      <c r="J1194" s="14" t="inlineStr">
        <is>
          <t>No</t>
        </is>
      </c>
      <c r="K1194" s="14" t="inlineStr">
        <is>
          <t>https://www.amazon.de/-/en/Philips-Natural-Bottle-Blue-Avent/dp/B0CGJGZ1P4/ref=sr_1_14?crid=MD9XP2ZHG8X5&amp;dib=eyJ2IjoiMSJ9.8u6tP1J4JbSw1G1p8QEKr-uW7i_g7qcwN49J6zQmG0Fo6iW344rEAlEvVHyGYlA5z5DLd5-fFoTONrG_wLKaALRjvmq_x1kfUAOs8tJtgR5ADLrVn73zLOlSlwQidqopBAf32KFZQQjQBHjGeFCCJwQkmJHT1El8FpJEx5o41qr9pz969Z6ZhtMyv4YbN-Ja-fOO64J9yYfM4crE7xRlFaE5ed1g1MTJ17nPYY698Nj_9wdbDI-wcIsa2IsYzve-wxDqOpUDW_MNgFHai4-aHJe1jCKl38nLT5QFgBEgjuI.AOxCnoxqBgTv6iOCbO2mzQohcwyiNFJuTdbPkOzsbXQ&amp;dib_tag=se&amp;keywords=AVENT+SCY903%2F21&amp;qid=1769806039&amp;sprefix=avent+scy903%2F21%2Caps%2C114&amp;sr=8-14</t>
        </is>
      </c>
      <c r="L1194" s="14" t="inlineStr">
        <is>
          <t>B0CGJGZ1P4</t>
        </is>
      </c>
      <c r="M1194" s="15" t="n"/>
      <c r="N1194" s="15" t="n"/>
      <c r="O1194" s="15" t="n">
        <v>17.9</v>
      </c>
      <c r="P1194" s="15">
        <f>O1194/1.19</f>
        <v/>
      </c>
      <c r="Q1194" s="15">
        <f>O1194-P1194</f>
        <v/>
      </c>
      <c r="R1194" s="15">
        <f>O1194*0.15</f>
        <v/>
      </c>
      <c r="S1194" s="15" t="n">
        <v>8.470000000000001</v>
      </c>
      <c r="T1194" s="15">
        <f>S1194*0.2</f>
        <v/>
      </c>
      <c r="U1194" s="15" t="n">
        <v>0.400000000000002</v>
      </c>
      <c r="V1194" s="15" t="n">
        <v>2.5</v>
      </c>
      <c r="W1194" s="15">
        <f>V1194*0.2</f>
        <v/>
      </c>
      <c r="X1194" s="21">
        <f>O1194-Q1194-R1194-S1194-U1194-V1194+T1194+W1194</f>
        <v/>
      </c>
      <c r="Y1194" s="14" t="n"/>
      <c r="Z1194" s="15">
        <f>O1194+1.5</f>
        <v/>
      </c>
      <c r="AA1194" s="15" t="n"/>
      <c r="AB1194" s="15" t="n"/>
      <c r="AC1194" s="14" t="n"/>
      <c r="AD1194" s="14" t="n"/>
      <c r="AE1194" s="13" t="inlineStr">
        <is>
          <t>NOT_UPLOADED</t>
        </is>
      </c>
    </row>
    <row r="1195" ht="16" customHeight="1">
      <c r="A1195" s="17" t="n">
        <v>8710103990345</v>
      </c>
      <c r="B1195" s="17" t="n">
        <v>8710103990338</v>
      </c>
      <c r="C1195" s="13" t="n"/>
      <c r="D1195" s="18" t="n"/>
      <c r="E1195" s="18" t="inlineStr">
        <is>
          <t>IVE-8710103990345</t>
        </is>
      </c>
      <c r="F1195" s="17" t="inlineStr">
        <is>
          <t>SCY670/01</t>
        </is>
      </c>
      <c r="G1195" s="18" t="inlineStr">
        <is>
          <t>IVENTAS</t>
        </is>
      </c>
      <c r="H1195" s="18" t="inlineStr">
        <is>
          <t>Philips AVENT</t>
        </is>
      </c>
      <c r="I1195" s="18" t="inlineStr">
        <is>
          <t>Philips Avent Babyflaschen Natural Response – Babyfläschchen mit AirFree Ventil, 125 ml, BPA-frei, für Neugeborene ab 0 Monaten (Modell SCY670/01)</t>
        </is>
      </c>
      <c r="J1195" s="18" t="inlineStr">
        <is>
          <t>No</t>
        </is>
      </c>
      <c r="K1195" s="18" t="inlineStr">
        <is>
          <t>https://www.amazon.de/-/en/Philips-Avent-Babyflaschen-Natural-Response/dp/B0BWFLKLV7/ref=sr_1_1?crid=3UHR83QLFH17&amp;dib=eyJ2IjoiMSJ9.dBo6Zk3_LZFo0i85i9YOxmdgQqZIdoxjRKtRTdXZBFLndfj2n1Wd_6M00BJUg4dvDJeW5TRoTDMdfeLOoqaIbN_OvsT_RyO0nKc64y6tnpHwq5J1Mrc8fKYWtzosdqm57HlPFOelL08Y3-rBipGg9VZm3aBuKukB8sysds6BY_Mr84YLmYp5Z8VD9AdYaBKQflRpALGGDpraf3luznF-gxhO1xhvrPoxHwEZg2JTRuex0htoB0_SQ4gKlR7-NAcHS9sqOkztqYs4LPp1O5K7HsaMePTvVA3bQu5wYEkgSmw.uSJkgBEPdjnOjKgamB4-gcA_ddtD3zfflMNvcDiZWSk&amp;dib_tag=se&amp;keywords=AVENT%2BSCY670%2F01&amp;qid=1762957526&amp;sprefix=avent%2Bscy670%2F01%2Caps%2C170&amp;sr=8-1&amp;th=1</t>
        </is>
      </c>
      <c r="L1195" s="18" t="inlineStr">
        <is>
          <t>B0BWFLKLV7</t>
        </is>
      </c>
      <c r="M1195" s="19" t="n"/>
      <c r="N1195" s="19" t="n"/>
      <c r="O1195" s="19" t="n">
        <v>14.99</v>
      </c>
      <c r="P1195" s="19">
        <f>O1195/1.19</f>
        <v/>
      </c>
      <c r="Q1195" s="19">
        <f>O1195-P1195</f>
        <v/>
      </c>
      <c r="R1195" s="19">
        <f>O1195*0.15</f>
        <v/>
      </c>
      <c r="S1195" s="19" t="n">
        <v>7.82</v>
      </c>
      <c r="T1195" s="19">
        <f>S1195*0.2</f>
        <v/>
      </c>
      <c r="U1195" s="19" t="n">
        <v>0.400000000000002</v>
      </c>
      <c r="V1195" s="19" t="n">
        <v>2.2</v>
      </c>
      <c r="W1195" s="19">
        <f>V1195*0.2</f>
        <v/>
      </c>
      <c r="X1195" s="16">
        <f>O1195-Q1195-R1195-S1195-U1195-V1195+T1195+W1195</f>
        <v/>
      </c>
      <c r="Y1195" s="18" t="n"/>
      <c r="Z1195" s="19">
        <f>O1195+1.5</f>
        <v/>
      </c>
      <c r="AA1195" s="19" t="n"/>
      <c r="AB1195" s="19" t="n"/>
      <c r="AC1195" s="18" t="n"/>
      <c r="AD1195" s="18" t="n"/>
      <c r="AE1195" s="13" t="inlineStr">
        <is>
          <t>NOT_UPLOADED</t>
        </is>
      </c>
    </row>
    <row r="1196" ht="16" customHeight="1">
      <c r="A1196" s="12" t="n">
        <v>8710103989660</v>
      </c>
      <c r="B1196" s="12" t="n">
        <v>8710103989653</v>
      </c>
      <c r="C1196" s="13" t="n"/>
      <c r="D1196" s="14" t="n"/>
      <c r="E1196" s="14" t="inlineStr">
        <is>
          <t>IVE-8710103989660</t>
        </is>
      </c>
      <c r="F1196" s="12" t="inlineStr">
        <is>
          <t>SCY903/11</t>
        </is>
      </c>
      <c r="G1196" s="14" t="inlineStr">
        <is>
          <t>IVENTAS</t>
        </is>
      </c>
      <c r="H1196" s="14" t="inlineStr">
        <is>
          <t>Philips AVENT</t>
        </is>
      </c>
      <c r="I1196" s="14" t="inlineStr">
        <is>
          <t>AVENT Philips Scy903/11 anti-colic bottle 260 ml</t>
        </is>
      </c>
      <c r="J1196" s="14" t="inlineStr">
        <is>
          <t>No</t>
        </is>
      </c>
      <c r="K1196" s="14" t="inlineStr">
        <is>
          <t>https://www.amazon.de/-/en/AVENT-Philips-Scy903-anti-colic-bottle/dp/B0CGJRNNB7/ref=sr_1_1?crid=16O726QW5KS7W&amp;dib=eyJ2IjoiMSJ9.hZRByieNn8r55Ms4eOo5l1Z9bolxmYU_-EKO8xMP-p5-4iHztLvD6jPNIgYby1OM3Hn-kKp69McW1B8Zde56iNT6tjxaMNNhOvqVpfwipxYVrZeJqoExrdXN14zUbEo1TBtOYSvOl5nZR_cIDRfhM_v7IQE8_Sp1Gd5pqYubCiev-xD1Z69vCh-mWPg4MckAtAKbZGRyAki3XN0xu_itKMw2RlIgco9R7888okRF9_9aJVgkL1hvr88OHVfSXdDe8onpu73S-dMyIRp_6pUteLTuZJP7HuSqpo0IwYSD3Z0.wgxv4fp_HIVA3WozJURj1sJrUmzuMMfvhudJJxKri4w&amp;dib_tag=se&amp;keywords=AVENT+SCY903%2F11&amp;qid=1762957933&amp;sprefix=avent+scy903%2F11%2Caps%2C117&amp;sr=8-1</t>
        </is>
      </c>
      <c r="L1196" s="14" t="inlineStr">
        <is>
          <t>B0CGJRNNB7</t>
        </is>
      </c>
      <c r="M1196" s="15" t="n"/>
      <c r="N1196" s="15" t="n"/>
      <c r="O1196" s="15" t="n">
        <v>16.9</v>
      </c>
      <c r="P1196" s="15">
        <f>O1196/1.19</f>
        <v/>
      </c>
      <c r="Q1196" s="15">
        <f>O1196-P1196</f>
        <v/>
      </c>
      <c r="R1196" s="15">
        <f>O1196*0.15</f>
        <v/>
      </c>
      <c r="S1196" s="15" t="n">
        <v>8.470000000000001</v>
      </c>
      <c r="T1196" s="15">
        <f>S1196*0.2</f>
        <v/>
      </c>
      <c r="U1196" s="15" t="n">
        <v>0.400000000000002</v>
      </c>
      <c r="V1196" s="15" t="n">
        <v>2.2</v>
      </c>
      <c r="W1196" s="15">
        <f>V1196*0.2</f>
        <v/>
      </c>
      <c r="X1196" s="21">
        <f>O1196-Q1196-R1196-S1196-U1196-V1196+T1196+W1196</f>
        <v/>
      </c>
      <c r="Y1196" s="14" t="n"/>
      <c r="Z1196" s="15">
        <f>O1196+1.5</f>
        <v/>
      </c>
      <c r="AA1196" s="15" t="n"/>
      <c r="AB1196" s="15" t="n"/>
      <c r="AC1196" s="14" t="n"/>
      <c r="AD1196" s="14" t="n"/>
      <c r="AE1196" s="13" t="inlineStr">
        <is>
          <t>NOT_UPLOADED</t>
        </is>
      </c>
    </row>
    <row r="1197" ht="16" customHeight="1">
      <c r="A1197" s="17" t="n">
        <v>8710103990390</v>
      </c>
      <c r="B1197" s="17" t="n">
        <v>8710103990383</v>
      </c>
      <c r="C1197" s="13" t="n"/>
      <c r="D1197" s="18" t="n"/>
      <c r="E1197" s="18" t="inlineStr">
        <is>
          <t>IVE-8710103990390</t>
        </is>
      </c>
      <c r="F1197" s="17" t="inlineStr">
        <is>
          <t>SCY673/01</t>
        </is>
      </c>
      <c r="G1197" s="18" t="inlineStr">
        <is>
          <t>IVENTAS</t>
        </is>
      </c>
      <c r="H1197" s="18" t="inlineStr">
        <is>
          <t>Philips AVENT</t>
        </is>
      </c>
      <c r="I1197" s="18" t="inlineStr">
        <is>
          <t>Philips Avent Babyflasche Natural Response – Babyflasche mit AirFree Ventil, 260 ml, BPA-frei, für Neugeborene ab 1 Monat (Modell SCY673/01)</t>
        </is>
      </c>
      <c r="J1197" s="18" t="inlineStr">
        <is>
          <t>No</t>
        </is>
      </c>
      <c r="K1197" s="18" t="inlineStr">
        <is>
          <t>https://www.amazon.de/-/en/Philips-Avent-Babyflasche-Natural-Response/dp/B0BWFN9QCB/ref=sr_1_1?crid=3BAH3J4FZQJ26&amp;dib=eyJ2IjoiMSJ9.4i0ETPlDmzMd3QC9_LiM51257J34d1RBEuFzPOb0Kx7nh_NCQiahE7qvK-fR8b9jeCy0O_QhEDKhCVvK7BIP5ogYdfIVWcOHqvyxApcpYEDdNciOxxdpGaL8baGf_8kgQNx9FTiADV3506oBeLvlQDdDM8mLsfE4EOluyO7UhaJx_z-LM1hYUjABKn-IVbeaRmtD-zp0Hl9Iy3SXmZf3u99FczxiaVKS53yuc69WmNvMOf9dxwBcvpVFORZGND_ZQgnAC_uYLNyYhVLO26ZzTfnMPwN-rFuWctkRPfyq8ew.E2Sz-IZdc4EGO1jX6NSlWlWQe84EbFSYE0XsdBGSq0k&amp;dib_tag=se&amp;keywords=AVENT%2BSCY673%2F01&amp;qid=1762958748&amp;sprefix=avent%2Bscy673%2F01%2Caps%2C121&amp;sr=8-1&amp;th=1</t>
        </is>
      </c>
      <c r="L1197" s="18" t="inlineStr">
        <is>
          <t>B0BWFN9QCB</t>
        </is>
      </c>
      <c r="M1197" s="19" t="n"/>
      <c r="N1197" s="19" t="n"/>
      <c r="O1197" s="19" t="n">
        <v>17.9</v>
      </c>
      <c r="P1197" s="19">
        <f>O1197/1.19</f>
        <v/>
      </c>
      <c r="Q1197" s="19">
        <f>O1197-P1197</f>
        <v/>
      </c>
      <c r="R1197" s="19">
        <f>O1197*0.15</f>
        <v/>
      </c>
      <c r="S1197" s="19" t="n">
        <v>8.470000000000001</v>
      </c>
      <c r="T1197" s="19">
        <f>S1197*0.2</f>
        <v/>
      </c>
      <c r="U1197" s="19" t="n">
        <v>0.400000000000002</v>
      </c>
      <c r="V1197" s="19" t="n">
        <v>2.5</v>
      </c>
      <c r="W1197" s="19">
        <f>V1197*0.2</f>
        <v/>
      </c>
      <c r="X1197" s="21">
        <f>O1197-Q1197-R1197-S1197-U1197-V1197+T1197+W1197</f>
        <v/>
      </c>
      <c r="Y1197" s="18" t="n"/>
      <c r="Z1197" s="19">
        <f>O1197+1.5</f>
        <v/>
      </c>
      <c r="AA1197" s="19" t="n"/>
      <c r="AB1197" s="19" t="n"/>
      <c r="AC1197" s="18" t="n"/>
      <c r="AD1197" s="18" t="n"/>
      <c r="AE1197" s="13" t="inlineStr">
        <is>
          <t>NOT_UPLOADED</t>
        </is>
      </c>
    </row>
    <row r="1198" ht="16" customHeight="1">
      <c r="A1198" s="12" t="n"/>
      <c r="B1198" s="12" t="n">
        <v>8710103990383</v>
      </c>
      <c r="C1198" s="13" t="n"/>
      <c r="D1198" s="14" t="n"/>
      <c r="E1198" s="14" t="n"/>
      <c r="F1198" s="12" t="inlineStr">
        <is>
          <t>SCY673/01</t>
        </is>
      </c>
      <c r="G1198" s="14" t="inlineStr">
        <is>
          <t>IVENTAS</t>
        </is>
      </c>
      <c r="H1198" s="14" t="inlineStr">
        <is>
          <t>Philips AVENT</t>
        </is>
      </c>
      <c r="I1198" s="14" t="inlineStr">
        <is>
          <t>Philips Avent Glass Bottle Natural with Responsive Dummy and AirFree Anti-Colic Attachment 260 ml, Pack of 1 (Model SCY673/01)</t>
        </is>
      </c>
      <c r="J1198" s="14" t="inlineStr">
        <is>
          <t>No</t>
        </is>
      </c>
      <c r="K1198" s="14" t="inlineStr">
        <is>
          <t>https://www.amazon.de/-/en/Responsive-Anti-Colic-Attachment-SCY673-01-transparent/dp/B0BXF1GC9V/ref=sr_1_6?crid=3BAH3J4FZQJ26&amp;dib=eyJ2IjoiMSJ9.4i0ETPlDmzMd3QC9_LiM51257J34d1RBEuFzPOb0Kx7nh_NCQiahE7qvK-fR8b9jeCy0O_QhEDKhCVvK7BIP5ogYdfIVWcOHqvyxApcpYEDdNciOxxdpGaL8baGf_8kgQNx9FTiADV3506oBeLvlQDdDM8mLsfE4EOluyO7UhaJx_z-LM1hYUjABKn-IVbeaRmtD-zp0Hl9Iy3SXmZf3u99FczxiaVKS53yuc69WmNvMOf9dxwBcvpVFORZGND_ZQgnAC_uYLNyYhVLO26ZzTfnMPwN-rFuWctkRPfyq8ew.E2Sz-IZdc4EGO1jX6NSlWlWQe84EbFSYE0XsdBGSq0k&amp;dib_tag=se&amp;keywords=AVENT+SCY673%2F01&amp;qid=1762958748&amp;sprefix=avent+scy673%2F01%2Caps%2C121&amp;sr=8-6</t>
        </is>
      </c>
      <c r="L1198" s="14" t="inlineStr">
        <is>
          <t>B0BXF1GC9V</t>
        </is>
      </c>
      <c r="M1198" s="15" t="n"/>
      <c r="N1198" s="15" t="n"/>
      <c r="O1198" s="15" t="n">
        <v>18.9</v>
      </c>
      <c r="P1198" s="15">
        <f>O1198/1.19</f>
        <v/>
      </c>
      <c r="Q1198" s="15">
        <f>O1198-P1198</f>
        <v/>
      </c>
      <c r="R1198" s="15">
        <f>O1198*0.15</f>
        <v/>
      </c>
      <c r="S1198" s="15" t="n">
        <v>8.470000000000001</v>
      </c>
      <c r="T1198" s="15">
        <f>S1198*0.2</f>
        <v/>
      </c>
      <c r="U1198" s="15" t="n">
        <v>0.400000000000002</v>
      </c>
      <c r="V1198" s="15" t="n">
        <v>2.5</v>
      </c>
      <c r="W1198" s="15">
        <f>V1198*0.2</f>
        <v/>
      </c>
      <c r="X1198" s="21">
        <f>O1198-Q1198-R1198-S1198-U1198-V1198+T1198+W1198</f>
        <v/>
      </c>
      <c r="Y1198" s="14" t="n"/>
      <c r="Z1198" s="15">
        <f>O1198+1.5</f>
        <v/>
      </c>
      <c r="AA1198" s="15" t="n"/>
      <c r="AB1198" s="15" t="n"/>
      <c r="AC1198" s="14" t="n"/>
      <c r="AD1198" s="14" t="n"/>
      <c r="AE1198" s="13" t="inlineStr">
        <is>
          <t>NOT_UPLOADED</t>
        </is>
      </c>
    </row>
    <row r="1199" ht="16" customHeight="1">
      <c r="A1199" s="17" t="n"/>
      <c r="B1199" s="17" t="n"/>
      <c r="C1199" s="13" t="n"/>
      <c r="D1199" s="18" t="n">
        <v>0</v>
      </c>
      <c r="E1199" s="18" t="n"/>
      <c r="F1199" s="17" t="n">
        <v>9876204</v>
      </c>
      <c r="G1199" s="18" t="inlineStr">
        <is>
          <t>UVEX</t>
        </is>
      </c>
      <c r="H1199" s="18" t="inlineStr">
        <is>
          <t>UVEX</t>
        </is>
      </c>
      <c r="I1199" s="18" t="n"/>
      <c r="J1199" s="18" t="inlineStr">
        <is>
          <t>No</t>
        </is>
      </c>
      <c r="K1199" s="18" t="inlineStr">
        <is>
          <t>https://www.amazon.de/Uvex-Metal-8972-Mens-Trousers/dp/B07M91D66G?ref_=ast_sto_dp&amp;th=1&amp;psc=1</t>
        </is>
      </c>
      <c r="L1199" s="18" t="inlineStr">
        <is>
          <t>B07M91D66G</t>
        </is>
      </c>
      <c r="M1199" s="19" t="n">
        <v>171.41</v>
      </c>
      <c r="N1199" s="19" t="n"/>
      <c r="O1199" s="19" t="n">
        <v>160</v>
      </c>
      <c r="P1199" s="19">
        <f>O1199/1.19</f>
        <v/>
      </c>
      <c r="Q1199" s="19">
        <f>O1199-P1199</f>
        <v/>
      </c>
      <c r="R1199" s="19">
        <f>O1199*0.15</f>
        <v/>
      </c>
      <c r="S1199" s="19" t="n">
        <v>30.6</v>
      </c>
      <c r="T1199" s="19">
        <f>S1199*0.2</f>
        <v/>
      </c>
      <c r="U1199" s="19" t="n">
        <v>0.400000000000002</v>
      </c>
      <c r="V1199" s="19" t="n">
        <v>5.16</v>
      </c>
      <c r="W1199" s="19">
        <f>V1199*0.2</f>
        <v/>
      </c>
      <c r="X1199" s="21">
        <f>O1199-Q1199-R1199-S1199-U1199-V1199+T1199+W1199</f>
        <v/>
      </c>
      <c r="Y1199" s="18" t="n"/>
      <c r="Z1199" s="19">
        <f>O1199+1.5</f>
        <v/>
      </c>
      <c r="AA1199" s="19" t="n"/>
      <c r="AB1199" s="19" t="n"/>
      <c r="AC1199" s="18" t="n"/>
      <c r="AD1199" s="18" t="n"/>
      <c r="AE1199" s="13" t="inlineStr">
        <is>
          <t>NOT_UPLOADED</t>
        </is>
      </c>
    </row>
    <row r="1200" ht="16" customHeight="1">
      <c r="A1200" s="12" t="n"/>
      <c r="B1200" s="12" t="n"/>
      <c r="C1200" s="13" t="n"/>
      <c r="D1200" s="14" t="n">
        <v>0</v>
      </c>
      <c r="E1200" s="14" t="n"/>
      <c r="F1200" s="12" t="n">
        <v>1626906</v>
      </c>
      <c r="G1200" s="14" t="inlineStr">
        <is>
          <t>UVEX</t>
        </is>
      </c>
      <c r="H1200" s="14" t="inlineStr">
        <is>
          <t>UVEX</t>
        </is>
      </c>
      <c r="I1200" s="14" t="n"/>
      <c r="J1200" s="14" t="inlineStr">
        <is>
          <t>No</t>
        </is>
      </c>
      <c r="K1200" s="14" t="inlineStr">
        <is>
          <t>https://www.amazon.de/Uvex-Perfect-Work-Jacket-Waistband/dp/B00UYMUHWK?ref_=ast_sto_dp&amp;th=1&amp;psc=1</t>
        </is>
      </c>
      <c r="L1200" s="14" t="inlineStr">
        <is>
          <t>B00UYMUHWK</t>
        </is>
      </c>
      <c r="M1200" s="15" t="n">
        <v>83.23999999999999</v>
      </c>
      <c r="N1200" s="15" t="n"/>
      <c r="O1200" s="15" t="n">
        <v>70</v>
      </c>
      <c r="P1200" s="15">
        <f>O1200/1.19</f>
        <v/>
      </c>
      <c r="Q1200" s="15">
        <f>O1200-P1200</f>
        <v/>
      </c>
      <c r="R1200" s="15">
        <f>O1200*0.15</f>
        <v/>
      </c>
      <c r="S1200" s="15" t="n">
        <v>13.6</v>
      </c>
      <c r="T1200" s="15">
        <f>S1200*0.2</f>
        <v/>
      </c>
      <c r="U1200" s="15" t="n">
        <v>0.400000000000002</v>
      </c>
      <c r="V1200" s="15" t="n">
        <v>5.16</v>
      </c>
      <c r="W1200" s="15">
        <f>V1200*0.2</f>
        <v/>
      </c>
      <c r="X1200" s="21">
        <f>O1200-Q1200-R1200-S1200-U1200-V1200+T1200+W1200</f>
        <v/>
      </c>
      <c r="Y1200" s="14" t="n"/>
      <c r="Z1200" s="15">
        <f>O1200+1.5</f>
        <v/>
      </c>
      <c r="AA1200" s="15" t="n"/>
      <c r="AB1200" s="15" t="n"/>
      <c r="AC1200" s="14" t="n"/>
      <c r="AD1200" s="14" t="n"/>
      <c r="AE1200" s="13" t="inlineStr">
        <is>
          <t>NOT_UPLOADED</t>
        </is>
      </c>
    </row>
    <row r="1201" ht="16" customHeight="1">
      <c r="A1201" s="17" t="n"/>
      <c r="B1201" s="17" t="n"/>
      <c r="C1201" s="13" t="n"/>
      <c r="D1201" s="18" t="n">
        <v>0</v>
      </c>
      <c r="E1201" s="18" t="n"/>
      <c r="F1201" s="17" t="n">
        <v>1713408</v>
      </c>
      <c r="G1201" s="18" t="inlineStr">
        <is>
          <t>UVEX</t>
        </is>
      </c>
      <c r="H1201" s="18" t="inlineStr">
        <is>
          <t>UVEX</t>
        </is>
      </c>
      <c r="I1201" s="18" t="n"/>
      <c r="J1201" s="18" t="inlineStr">
        <is>
          <t>No</t>
        </is>
      </c>
      <c r="K1201" s="18" t="inlineStr">
        <is>
          <t>https://www.amazon.de/Uvex-High-Vis-Work-Jacket/dp/B07N7DHZ4X?ref_=ast_sto_dp&amp;th=1&amp;psc=1</t>
        </is>
      </c>
      <c r="L1201" s="18" t="inlineStr">
        <is>
          <t>B07N7DHZ4X</t>
        </is>
      </c>
      <c r="M1201" s="19" t="n">
        <v>249.57</v>
      </c>
      <c r="N1201" s="19" t="n"/>
      <c r="O1201" s="19" t="n">
        <v>230</v>
      </c>
      <c r="P1201" s="19">
        <f>O1201/1.19</f>
        <v/>
      </c>
      <c r="Q1201" s="19">
        <f>O1201-P1201</f>
        <v/>
      </c>
      <c r="R1201" s="19">
        <f>O1201*0.15</f>
        <v/>
      </c>
      <c r="S1201" s="19" t="n">
        <v>45.1</v>
      </c>
      <c r="T1201" s="19">
        <f>S1201*0.2</f>
        <v/>
      </c>
      <c r="U1201" s="19" t="n">
        <v>0.400000000000002</v>
      </c>
      <c r="V1201" s="19" t="n">
        <v>5.16</v>
      </c>
      <c r="W1201" s="19">
        <f>V1201*0.2</f>
        <v/>
      </c>
      <c r="X1201" s="21">
        <f>O1201-Q1201-R1201-S1201-U1201-V1201+T1201+W1201</f>
        <v/>
      </c>
      <c r="Y1201" s="18" t="n"/>
      <c r="Z1201" s="19">
        <f>O1201+1.5</f>
        <v/>
      </c>
      <c r="AA1201" s="19" t="n"/>
      <c r="AB1201" s="19" t="n"/>
      <c r="AC1201" s="18" t="n"/>
      <c r="AD1201" s="18" t="n"/>
      <c r="AE1201" s="13" t="inlineStr">
        <is>
          <t>NOT_UPLOADED</t>
        </is>
      </c>
    </row>
    <row r="1202" ht="16" customHeight="1">
      <c r="A1202" s="12" t="n"/>
      <c r="B1202" s="12" t="n"/>
      <c r="C1202" s="13" t="n"/>
      <c r="D1202" s="14" t="n">
        <v>0</v>
      </c>
      <c r="E1202" s="14" t="n"/>
      <c r="F1202" s="12" t="n">
        <v>1719104</v>
      </c>
      <c r="G1202" s="14" t="inlineStr">
        <is>
          <t>UVEX</t>
        </is>
      </c>
      <c r="H1202" s="14" t="inlineStr">
        <is>
          <t>UVEX</t>
        </is>
      </c>
      <c r="I1202" s="14" t="n"/>
      <c r="J1202" s="14" t="inlineStr">
        <is>
          <t>No</t>
        </is>
      </c>
      <c r="K1202" s="14" t="inlineStr">
        <is>
          <t>https://www.amazon.de/Perfexxion-Trousers-Stretch-Waistband-Multiple/dp/B07N7HZHR2?ref_=ast_sto_dp&amp;th=1&amp;psc=1</t>
        </is>
      </c>
      <c r="L1202" s="14" t="inlineStr">
        <is>
          <t>B07N7HZHR2</t>
        </is>
      </c>
      <c r="M1202" s="15" t="n">
        <v>107.9</v>
      </c>
      <c r="N1202" s="15" t="n"/>
      <c r="O1202" s="15" t="n">
        <v>90</v>
      </c>
      <c r="P1202" s="15">
        <f>O1202/1.19</f>
        <v/>
      </c>
      <c r="Q1202" s="15">
        <f>O1202-P1202</f>
        <v/>
      </c>
      <c r="R1202" s="15">
        <f>O1202*0.15</f>
        <v/>
      </c>
      <c r="S1202" s="15" t="n">
        <v>17.1</v>
      </c>
      <c r="T1202" s="15">
        <f>S1202*0.2</f>
        <v/>
      </c>
      <c r="U1202" s="15" t="n">
        <v>0.400000000000002</v>
      </c>
      <c r="V1202" s="15" t="n">
        <v>5.16</v>
      </c>
      <c r="W1202" s="15">
        <f>V1202*0.2</f>
        <v/>
      </c>
      <c r="X1202" s="21">
        <f>O1202-Q1202-R1202-S1202-U1202-V1202+T1202+W1202</f>
        <v/>
      </c>
      <c r="Y1202" s="14" t="n"/>
      <c r="Z1202" s="15">
        <f>O1202+1.5</f>
        <v/>
      </c>
      <c r="AA1202" s="15" t="n"/>
      <c r="AB1202" s="15" t="n"/>
      <c r="AC1202" s="14" t="n"/>
      <c r="AD1202" s="14" t="n"/>
      <c r="AE1202" s="13" t="inlineStr">
        <is>
          <t>NOT_UPLOADED</t>
        </is>
      </c>
    </row>
    <row r="1203" ht="16" customHeight="1">
      <c r="A1203" s="17" t="n"/>
      <c r="B1203" s="17" t="n"/>
      <c r="C1203" s="13" t="n"/>
      <c r="D1203" s="18" t="n">
        <v>1</v>
      </c>
      <c r="E1203" s="18" t="n"/>
      <c r="F1203" s="17" t="n">
        <v>1719904</v>
      </c>
      <c r="G1203" s="18" t="inlineStr">
        <is>
          <t>UVEX</t>
        </is>
      </c>
      <c r="H1203" s="18" t="inlineStr">
        <is>
          <t>UVEX</t>
        </is>
      </c>
      <c r="I1203" s="18" t="n"/>
      <c r="J1203" s="18" t="inlineStr">
        <is>
          <t>No</t>
        </is>
      </c>
      <c r="K1203" s="18" t="inlineStr">
        <is>
          <t>https://www.amazon.de/Uvex-Perfexxion-Premium-Dungarees-Slate/dp/B07N7NVRTD?ref_=ast_sto_dp&amp;th=1&amp;psc=1</t>
        </is>
      </c>
      <c r="L1203" s="18" t="inlineStr">
        <is>
          <t>B07N7NVRTD</t>
        </is>
      </c>
      <c r="M1203" s="19" t="n">
        <v>99.17</v>
      </c>
      <c r="N1203" s="19" t="n"/>
      <c r="O1203" s="19" t="n">
        <v>80</v>
      </c>
      <c r="P1203" s="19">
        <f>O1203/1.19</f>
        <v/>
      </c>
      <c r="Q1203" s="19">
        <f>O1203-P1203</f>
        <v/>
      </c>
      <c r="R1203" s="19">
        <f>O1203*0.15</f>
        <v/>
      </c>
      <c r="S1203" s="19" t="n">
        <v>20.3</v>
      </c>
      <c r="T1203" s="19">
        <f>S1203*0.2</f>
        <v/>
      </c>
      <c r="U1203" s="19" t="n">
        <v>0.400000000000002</v>
      </c>
      <c r="V1203" s="19" t="n">
        <v>5.16</v>
      </c>
      <c r="W1203" s="19">
        <f>V1203*0.2</f>
        <v/>
      </c>
      <c r="X1203" s="21">
        <f>O1203-Q1203-R1203-S1203-U1203-V1203+T1203+W1203</f>
        <v/>
      </c>
      <c r="Y1203" s="18" t="n"/>
      <c r="Z1203" s="19">
        <f>O1203+1.5</f>
        <v/>
      </c>
      <c r="AA1203" s="19" t="n"/>
      <c r="AB1203" s="19" t="n"/>
      <c r="AC1203" s="18" t="n"/>
      <c r="AD1203" s="18" t="n"/>
      <c r="AE1203" s="13" t="inlineStr">
        <is>
          <t>NOT_UPLOADED</t>
        </is>
      </c>
    </row>
    <row r="1204" ht="16" customHeight="1">
      <c r="A1204" s="12" t="n"/>
      <c r="B1204" s="12" t="n"/>
      <c r="C1204" s="13" t="n"/>
      <c r="D1204" s="14" t="n">
        <v>0</v>
      </c>
      <c r="E1204" s="14" t="n"/>
      <c r="F1204" s="12" t="n">
        <v>1720004</v>
      </c>
      <c r="G1204" s="14" t="inlineStr">
        <is>
          <t>UVEX</t>
        </is>
      </c>
      <c r="H1204" s="14" t="inlineStr">
        <is>
          <t>UVEX</t>
        </is>
      </c>
      <c r="I1204" s="14" t="n"/>
      <c r="J1204" s="14" t="inlineStr">
        <is>
          <t>No</t>
        </is>
      </c>
      <c r="K1204" s="14" t="inlineStr">
        <is>
          <t>https://www.amazon.de/Uvex-Perfexxion-shorts-pockets-Premium/dp/B07N7NXVW6?ref_=ast_sto_dp&amp;th=1&amp;psc=1</t>
        </is>
      </c>
      <c r="L1204" s="14" t="inlineStr">
        <is>
          <t>B07N7NXVW6</t>
        </is>
      </c>
      <c r="M1204" s="15" t="n">
        <v>74.31</v>
      </c>
      <c r="N1204" s="15" t="n"/>
      <c r="O1204" s="15" t="n">
        <v>60</v>
      </c>
      <c r="P1204" s="15">
        <f>O1204/1.19</f>
        <v/>
      </c>
      <c r="Q1204" s="15">
        <f>O1204-P1204</f>
        <v/>
      </c>
      <c r="R1204" s="15">
        <f>O1204*0.15</f>
        <v/>
      </c>
      <c r="S1204" s="15" t="n">
        <v>12.5</v>
      </c>
      <c r="T1204" s="15">
        <f>S1204*0.2</f>
        <v/>
      </c>
      <c r="U1204" s="15" t="n">
        <v>0.400000000000002</v>
      </c>
      <c r="V1204" s="15" t="n">
        <v>5.16</v>
      </c>
      <c r="W1204" s="15">
        <f>V1204*0.2</f>
        <v/>
      </c>
      <c r="X1204" s="21">
        <f>O1204-Q1204-R1204-S1204-U1204-V1204+T1204+W1204</f>
        <v/>
      </c>
      <c r="Y1204" s="14" t="n"/>
      <c r="Z1204" s="15">
        <f>O1204+1.5</f>
        <v/>
      </c>
      <c r="AA1204" s="15" t="n"/>
      <c r="AB1204" s="15" t="n"/>
      <c r="AC1204" s="14" t="n"/>
      <c r="AD1204" s="14" t="n"/>
      <c r="AE1204" s="13" t="inlineStr">
        <is>
          <t>NOT_UPLOADED</t>
        </is>
      </c>
    </row>
    <row r="1205" ht="16" customHeight="1">
      <c r="A1205" s="17" t="n"/>
      <c r="B1205" s="17" t="n"/>
      <c r="C1205" s="13" t="n"/>
      <c r="D1205" s="18" t="n">
        <v>0</v>
      </c>
      <c r="E1205" s="18" t="n"/>
      <c r="F1205" s="17" t="n">
        <v>1720708</v>
      </c>
      <c r="G1205" s="18" t="inlineStr">
        <is>
          <t>UVEX</t>
        </is>
      </c>
      <c r="H1205" s="18" t="inlineStr">
        <is>
          <t>UVEX</t>
        </is>
      </c>
      <c r="I1205" s="18" t="n"/>
      <c r="J1205" s="18" t="inlineStr">
        <is>
          <t>No</t>
        </is>
      </c>
      <c r="K1205" s="18" t="inlineStr">
        <is>
          <t>https://www.amazon.de/Uvex-Perfexxion-Work-Jacket-Softshell/dp/B07M5KFJ9N?ref_=ast_sto_dp&amp;th=1&amp;psc=1</t>
        </is>
      </c>
      <c r="L1205" s="18" t="inlineStr">
        <is>
          <t>B07M5KFJ9N</t>
        </is>
      </c>
      <c r="M1205" s="19" t="n">
        <v>118.01</v>
      </c>
      <c r="N1205" s="19" t="n"/>
      <c r="O1205" s="19" t="n">
        <v>100</v>
      </c>
      <c r="P1205" s="19">
        <f>O1205/1.19</f>
        <v/>
      </c>
      <c r="Q1205" s="19">
        <f>O1205-P1205</f>
        <v/>
      </c>
      <c r="R1205" s="19">
        <f>O1205*0.15</f>
        <v/>
      </c>
      <c r="S1205" s="19" t="n">
        <v>20.3</v>
      </c>
      <c r="T1205" s="19">
        <f>S1205*0.2</f>
        <v/>
      </c>
      <c r="U1205" s="19" t="n">
        <v>0.400000000000002</v>
      </c>
      <c r="V1205" s="19" t="n">
        <v>5.16</v>
      </c>
      <c r="W1205" s="19">
        <f>V1205*0.2</f>
        <v/>
      </c>
      <c r="X1205" s="21">
        <f>O1205-Q1205-R1205-S1205-U1205-V1205+T1205+W1205</f>
        <v/>
      </c>
      <c r="Y1205" s="18" t="n"/>
      <c r="Z1205" s="19">
        <f>O1205+1.5</f>
        <v/>
      </c>
      <c r="AA1205" s="19" t="n"/>
      <c r="AB1205" s="19" t="n"/>
      <c r="AC1205" s="18" t="n"/>
      <c r="AD1205" s="18" t="n"/>
      <c r="AE1205" s="13" t="inlineStr">
        <is>
          <t>NOT_UPLOADED</t>
        </is>
      </c>
    </row>
    <row r="1206" ht="16" customHeight="1">
      <c r="A1206" s="12" t="n"/>
      <c r="B1206" s="12" t="n"/>
      <c r="C1206" s="13" t="n"/>
      <c r="D1206" s="14" t="n">
        <v>2</v>
      </c>
      <c r="E1206" s="14" t="n"/>
      <c r="F1206" s="12" t="n">
        <v>1722208</v>
      </c>
      <c r="G1206" s="14" t="inlineStr">
        <is>
          <t>UVEX</t>
        </is>
      </c>
      <c r="H1206" s="14" t="inlineStr">
        <is>
          <t>UVEX</t>
        </is>
      </c>
      <c r="I1206" s="14" t="n"/>
      <c r="J1206" s="14" t="inlineStr">
        <is>
          <t>No</t>
        </is>
      </c>
      <c r="K1206" s="14" t="inlineStr">
        <is>
          <t>https://www.amazon.de/Uvex-Perfexxion-Mens-Work-Jacket/dp/B07M8G9TWH?ref_=ast_sto_dp&amp;th=1&amp;psc=1</t>
        </is>
      </c>
      <c r="L1206" s="14" t="inlineStr">
        <is>
          <t>B07M8G9TWH</t>
        </is>
      </c>
      <c r="M1206" s="15" t="n">
        <v>76.15000000000001</v>
      </c>
      <c r="N1206" s="15" t="n"/>
      <c r="O1206" s="15" t="n">
        <v>70</v>
      </c>
      <c r="P1206" s="15">
        <f>O1206/1.19</f>
        <v/>
      </c>
      <c r="Q1206" s="15">
        <f>O1206-P1206</f>
        <v/>
      </c>
      <c r="R1206" s="15">
        <f>O1206*0.15</f>
        <v/>
      </c>
      <c r="S1206" s="15" t="n">
        <v>15</v>
      </c>
      <c r="T1206" s="15">
        <f>S1206*0.2</f>
        <v/>
      </c>
      <c r="U1206" s="15" t="n">
        <v>0.400000000000002</v>
      </c>
      <c r="V1206" s="15" t="n">
        <v>5.16</v>
      </c>
      <c r="W1206" s="15">
        <f>V1206*0.2</f>
        <v/>
      </c>
      <c r="X1206" s="21">
        <f>O1206-Q1206-R1206-S1206-U1206-V1206+T1206+W1206</f>
        <v/>
      </c>
      <c r="Y1206" s="14" t="n"/>
      <c r="Z1206" s="15">
        <f>O1206+1.5</f>
        <v/>
      </c>
      <c r="AA1206" s="15" t="n"/>
      <c r="AB1206" s="15" t="n"/>
      <c r="AC1206" s="14" t="n"/>
      <c r="AD1206" s="14" t="n"/>
      <c r="AE1206" s="13" t="inlineStr">
        <is>
          <t>NOT_UPLOADED</t>
        </is>
      </c>
    </row>
    <row r="1207" ht="16" customHeight="1">
      <c r="A1207" s="17" t="n"/>
      <c r="B1207" s="17" t="n"/>
      <c r="C1207" s="13" t="n"/>
      <c r="D1207" s="18" t="n">
        <v>0</v>
      </c>
      <c r="E1207" s="18" t="n"/>
      <c r="F1207" s="17" t="n">
        <v>7011108</v>
      </c>
      <c r="G1207" s="18" t="inlineStr">
        <is>
          <t>UVEX</t>
        </is>
      </c>
      <c r="H1207" s="18" t="inlineStr">
        <is>
          <t>UVEX</t>
        </is>
      </c>
      <c r="I1207" s="18" t="n"/>
      <c r="J1207" s="18" t="inlineStr">
        <is>
          <t>No</t>
        </is>
      </c>
      <c r="K1207" s="18" t="inlineStr">
        <is>
          <t>https://www.amazon.de/uvex-Collection-Womens-Sweat-Jacket/dp/B0DJM8BR3D?ref_=ast_sto_dp</t>
        </is>
      </c>
      <c r="L1207" s="18" t="inlineStr">
        <is>
          <t>B0DJM8BR3D</t>
        </is>
      </c>
      <c r="M1207" s="19" t="n">
        <v>38.99</v>
      </c>
      <c r="N1207" s="19" t="n"/>
      <c r="O1207" s="19" t="n">
        <v>35</v>
      </c>
      <c r="P1207" s="19">
        <f>O1207/1.19</f>
        <v/>
      </c>
      <c r="Q1207" s="19">
        <f>O1207-P1207</f>
        <v/>
      </c>
      <c r="R1207" s="19">
        <f>O1207*0.15</f>
        <v/>
      </c>
      <c r="S1207" s="19" t="n">
        <v>16.6</v>
      </c>
      <c r="T1207" s="19">
        <f>S1207*0.2</f>
        <v/>
      </c>
      <c r="U1207" s="19" t="n">
        <v>0.400000000000002</v>
      </c>
      <c r="V1207" s="19" t="n">
        <v>5.16</v>
      </c>
      <c r="W1207" s="19">
        <f>V1207*0.2</f>
        <v/>
      </c>
      <c r="X1207" s="21">
        <f>O1207-Q1207-R1207-S1207-U1207-V1207+T1207+W1207</f>
        <v/>
      </c>
      <c r="Y1207" s="18" t="n"/>
      <c r="Z1207" s="19">
        <f>O1207+1.5</f>
        <v/>
      </c>
      <c r="AA1207" s="19" t="n"/>
      <c r="AB1207" s="19" t="n"/>
      <c r="AC1207" s="18" t="n"/>
      <c r="AD1207" s="18" t="n"/>
      <c r="AE1207" s="13" t="inlineStr">
        <is>
          <t>NOT_UPLOADED</t>
        </is>
      </c>
    </row>
    <row r="1208" ht="16" customHeight="1">
      <c r="A1208" s="12" t="n"/>
      <c r="B1208" s="12" t="n"/>
      <c r="C1208" s="13" t="n"/>
      <c r="D1208" s="14" t="n">
        <v>0</v>
      </c>
      <c r="E1208" s="14" t="n"/>
      <c r="F1208" s="12" t="n">
        <v>1721008</v>
      </c>
      <c r="G1208" s="14" t="inlineStr">
        <is>
          <t>UVEX</t>
        </is>
      </c>
      <c r="H1208" s="14" t="inlineStr">
        <is>
          <t>UVEX</t>
        </is>
      </c>
      <c r="I1208" s="14" t="n"/>
      <c r="J1208" s="14" t="inlineStr">
        <is>
          <t>No</t>
        </is>
      </c>
      <c r="K1208" s="14" t="inlineStr">
        <is>
          <t>https://www.amazon.de/Uvex-Perfexxion-Work-Jacket-Waistband/dp/B07M5KDJ82?ref_=ast_sto_dp&amp;th=1&amp;psc=1</t>
        </is>
      </c>
      <c r="L1208" s="14" t="inlineStr">
        <is>
          <t>B07M5KDJ82</t>
        </is>
      </c>
      <c r="M1208" s="15" t="n">
        <v>92.08</v>
      </c>
      <c r="N1208" s="15" t="n"/>
      <c r="O1208" s="15" t="n">
        <v>80</v>
      </c>
      <c r="P1208" s="15">
        <f>O1208/1.19</f>
        <v/>
      </c>
      <c r="Q1208" s="15">
        <f>O1208-P1208</f>
        <v/>
      </c>
      <c r="R1208" s="15">
        <f>O1208*0.15</f>
        <v/>
      </c>
      <c r="S1208" s="15" t="n">
        <v>15.6</v>
      </c>
      <c r="T1208" s="15">
        <f>S1208*0.2</f>
        <v/>
      </c>
      <c r="U1208" s="15" t="n">
        <v>0.400000000000002</v>
      </c>
      <c r="V1208" s="15" t="n">
        <v>5.16</v>
      </c>
      <c r="W1208" s="15">
        <f>V1208*0.2</f>
        <v/>
      </c>
      <c r="X1208" s="21">
        <f>O1208-Q1208-R1208-S1208-U1208-V1208+T1208+W1208</f>
        <v/>
      </c>
      <c r="Y1208" s="14" t="n"/>
      <c r="Z1208" s="15">
        <f>O1208+1.5</f>
        <v/>
      </c>
      <c r="AA1208" s="15" t="n"/>
      <c r="AB1208" s="15" t="n"/>
      <c r="AC1208" s="14" t="n"/>
      <c r="AD1208" s="14" t="n"/>
      <c r="AE1208" s="13" t="inlineStr">
        <is>
          <t>NOT_UPLOADED</t>
        </is>
      </c>
    </row>
    <row r="1209" ht="16" customHeight="1">
      <c r="A1209" s="17" t="n"/>
      <c r="B1209" s="17" t="n"/>
      <c r="C1209" s="13" t="n"/>
      <c r="D1209" s="18" t="n">
        <v>0</v>
      </c>
      <c r="E1209" s="18" t="n"/>
      <c r="F1209" s="17" t="n">
        <v>1719204</v>
      </c>
      <c r="G1209" s="18" t="inlineStr">
        <is>
          <t>UVEX</t>
        </is>
      </c>
      <c r="H1209" s="18" t="inlineStr">
        <is>
          <t>UVEX</t>
        </is>
      </c>
      <c r="I1209" s="18" t="n"/>
      <c r="J1209" s="18" t="inlineStr">
        <is>
          <t>No</t>
        </is>
      </c>
      <c r="K1209" s="18" t="inlineStr">
        <is>
          <t>https://www.amazon.de/Uvex-Perfexxion-Premium-3852-Trousers/dp/B07N7F1YNW?ref_=ast_sto_dp&amp;th=1&amp;psc=1</t>
        </is>
      </c>
      <c r="L1209" s="18" t="inlineStr">
        <is>
          <t>B07N7F1YNW</t>
        </is>
      </c>
      <c r="M1209" s="19" t="n">
        <v>101.38</v>
      </c>
      <c r="N1209" s="19" t="n"/>
      <c r="O1209" s="19" t="n">
        <v>85</v>
      </c>
      <c r="P1209" s="19">
        <f>O1209/1.19</f>
        <v/>
      </c>
      <c r="Q1209" s="19">
        <f>O1209-P1209</f>
        <v/>
      </c>
      <c r="R1209" s="19">
        <f>O1209*0.15</f>
        <v/>
      </c>
      <c r="S1209" s="19" t="n">
        <v>17.1</v>
      </c>
      <c r="T1209" s="19">
        <f>S1209*0.2</f>
        <v/>
      </c>
      <c r="U1209" s="19" t="n">
        <v>0.400000000000002</v>
      </c>
      <c r="V1209" s="19" t="n">
        <v>5.16</v>
      </c>
      <c r="W1209" s="19">
        <f>V1209*0.2</f>
        <v/>
      </c>
      <c r="X1209" s="21">
        <f>O1209-Q1209-R1209-S1209-U1209-V1209+T1209+W1209</f>
        <v/>
      </c>
      <c r="Y1209" s="18" t="n"/>
      <c r="Z1209" s="19">
        <f>O1209+1.5</f>
        <v/>
      </c>
      <c r="AA1209" s="19" t="n"/>
      <c r="AB1209" s="19" t="n"/>
      <c r="AC1209" s="18" t="n"/>
      <c r="AD1209" s="18" t="n"/>
      <c r="AE1209" s="13" t="inlineStr">
        <is>
          <t>NOT_UPLOADED</t>
        </is>
      </c>
    </row>
    <row r="1210" ht="16" customHeight="1">
      <c r="A1210" s="12" t="n"/>
      <c r="B1210" s="12" t="n"/>
      <c r="C1210" s="13" t="n"/>
      <c r="D1210" s="14" t="n">
        <v>3</v>
      </c>
      <c r="E1210" s="14" t="n"/>
      <c r="F1210" s="12" t="n">
        <v>1722808</v>
      </c>
      <c r="G1210" s="14" t="inlineStr">
        <is>
          <t>UVEX</t>
        </is>
      </c>
      <c r="H1210" s="14" t="inlineStr">
        <is>
          <t>UVEX</t>
        </is>
      </c>
      <c r="I1210" s="14" t="n"/>
      <c r="J1210" s="14" t="inlineStr">
        <is>
          <t>No</t>
        </is>
      </c>
      <c r="K1210" s="14" t="inlineStr">
        <is>
          <t>https://www.amazon.de/Uvex-Perfexxion-Work-Vest-Softshell/dp/B07M8QXBMH?ref_=ast_sto_dp&amp;th=1&amp;psc=1</t>
        </is>
      </c>
      <c r="L1210" s="14" t="inlineStr">
        <is>
          <t>B07M8QXBMH</t>
        </is>
      </c>
      <c r="M1210" s="15" t="n">
        <v>109.87</v>
      </c>
      <c r="N1210" s="15" t="n"/>
      <c r="O1210" s="15" t="n">
        <v>90</v>
      </c>
      <c r="P1210" s="15">
        <f>O1210/1.19</f>
        <v/>
      </c>
      <c r="Q1210" s="15">
        <f>O1210-P1210</f>
        <v/>
      </c>
      <c r="R1210" s="15">
        <f>O1210*0.15</f>
        <v/>
      </c>
      <c r="S1210" s="15" t="n">
        <v>18.7</v>
      </c>
      <c r="T1210" s="15">
        <f>S1210*0.2</f>
        <v/>
      </c>
      <c r="U1210" s="15" t="n">
        <v>0.400000000000002</v>
      </c>
      <c r="V1210" s="15" t="n">
        <v>5.16</v>
      </c>
      <c r="W1210" s="15">
        <f>V1210*0.2</f>
        <v/>
      </c>
      <c r="X1210" s="21">
        <f>O1210-Q1210-R1210-S1210-U1210-V1210+T1210+W1210</f>
        <v/>
      </c>
      <c r="Y1210" s="14" t="n"/>
      <c r="Z1210" s="15">
        <f>O1210+1.5</f>
        <v/>
      </c>
      <c r="AA1210" s="15" t="n"/>
      <c r="AB1210" s="15" t="n"/>
      <c r="AC1210" s="14" t="n"/>
      <c r="AD1210" s="14" t="n"/>
      <c r="AE1210" s="13" t="inlineStr">
        <is>
          <t>NOT_UPLOADED</t>
        </is>
      </c>
    </row>
    <row r="1211" ht="16" customHeight="1">
      <c r="A1211" s="17" t="n"/>
      <c r="B1211" s="17" t="n"/>
      <c r="C1211" s="13" t="n"/>
      <c r="D1211" s="18" t="n">
        <v>1</v>
      </c>
      <c r="E1211" s="18" t="n"/>
      <c r="F1211" s="17" t="n">
        <v>1727106</v>
      </c>
      <c r="G1211" s="18" t="inlineStr">
        <is>
          <t>UVEX</t>
        </is>
      </c>
      <c r="H1211" s="18" t="inlineStr">
        <is>
          <t>UVEX</t>
        </is>
      </c>
      <c r="I1211" s="18" t="n"/>
      <c r="J1211" s="18" t="inlineStr">
        <is>
          <t>No</t>
        </is>
      </c>
      <c r="K1211" s="18" t="inlineStr">
        <is>
          <t>https://www.amazon.de/Uvex-Worker-4990-Work-Jacket/dp/B07N7BMN6Y?ref_=ast_sto_dp&amp;th=1&amp;psc=1</t>
        </is>
      </c>
      <c r="L1211" s="18" t="inlineStr">
        <is>
          <t>B07N7BMN6Y</t>
        </is>
      </c>
      <c r="M1211" s="19" t="n">
        <v>107.47</v>
      </c>
      <c r="N1211" s="19" t="n"/>
      <c r="O1211" s="19" t="n">
        <v>80</v>
      </c>
      <c r="P1211" s="19">
        <f>O1211/1.19</f>
        <v/>
      </c>
      <c r="Q1211" s="19">
        <f>O1211-P1211</f>
        <v/>
      </c>
      <c r="R1211" s="19">
        <f>O1211*0.15</f>
        <v/>
      </c>
      <c r="S1211" s="19" t="n">
        <v>16.1</v>
      </c>
      <c r="T1211" s="19">
        <f>S1211*0.2</f>
        <v/>
      </c>
      <c r="U1211" s="19" t="n">
        <v>0.400000000000002</v>
      </c>
      <c r="V1211" s="19" t="n">
        <v>5.16</v>
      </c>
      <c r="W1211" s="19">
        <f>V1211*0.2</f>
        <v/>
      </c>
      <c r="X1211" s="21">
        <f>O1211-Q1211-R1211-S1211-U1211-V1211+T1211+W1211</f>
        <v/>
      </c>
      <c r="Y1211" s="18" t="n"/>
      <c r="Z1211" s="19">
        <f>O1211+1.5</f>
        <v/>
      </c>
      <c r="AA1211" s="19" t="n"/>
      <c r="AB1211" s="19" t="n"/>
      <c r="AC1211" s="18" t="n"/>
      <c r="AD1211" s="18" t="n"/>
      <c r="AE1211" s="13" t="inlineStr">
        <is>
          <t>NOT_UPLOADED</t>
        </is>
      </c>
    </row>
    <row r="1212" ht="16" customHeight="1">
      <c r="A1212" s="12" t="n"/>
      <c r="B1212" s="12" t="n"/>
      <c r="C1212" s="13" t="n"/>
      <c r="D1212" s="14" t="n">
        <v>0</v>
      </c>
      <c r="E1212" s="14" t="n"/>
      <c r="F1212" s="12" t="n">
        <v>7010200</v>
      </c>
      <c r="G1212" s="14" t="inlineStr">
        <is>
          <t>UVEX</t>
        </is>
      </c>
      <c r="H1212" s="14" t="inlineStr">
        <is>
          <t>UVEX</t>
        </is>
      </c>
      <c r="I1212" s="14" t="n"/>
      <c r="J1212" s="14" t="inlineStr">
        <is>
          <t>No</t>
        </is>
      </c>
      <c r="K1212" s="14" t="inlineStr">
        <is>
          <t>https://www.amazon.de/Collection-Womens-Chino-Trousers-34-7010200/dp/B0DJH2RF4Z?ref_=ast_sto_dp</t>
        </is>
      </c>
      <c r="L1212" s="14" t="inlineStr">
        <is>
          <t>B0DJH2RF4Z</t>
        </is>
      </c>
      <c r="M1212" s="15" t="n">
        <v>39.19</v>
      </c>
      <c r="N1212" s="15" t="n"/>
      <c r="O1212" s="15" t="n">
        <v>35</v>
      </c>
      <c r="P1212" s="15">
        <f>O1212/1.19</f>
        <v/>
      </c>
      <c r="Q1212" s="15">
        <f>O1212-P1212</f>
        <v/>
      </c>
      <c r="R1212" s="15">
        <f>O1212*0.15</f>
        <v/>
      </c>
      <c r="S1212" s="15" t="n">
        <v>14.4</v>
      </c>
      <c r="T1212" s="15">
        <f>S1212*0.2</f>
        <v/>
      </c>
      <c r="U1212" s="15" t="n">
        <v>0.400000000000002</v>
      </c>
      <c r="V1212" s="15" t="n">
        <v>5.16</v>
      </c>
      <c r="W1212" s="15">
        <f>V1212*0.2</f>
        <v/>
      </c>
      <c r="X1212" s="21">
        <f>O1212-Q1212-R1212-S1212-U1212-V1212+T1212+W1212</f>
        <v/>
      </c>
      <c r="Y1212" s="14" t="n"/>
      <c r="Z1212" s="15">
        <f>O1212+1.5</f>
        <v/>
      </c>
      <c r="AA1212" s="15" t="n"/>
      <c r="AB1212" s="15" t="n"/>
      <c r="AC1212" s="14" t="n"/>
      <c r="AD1212" s="14" t="n"/>
      <c r="AE1212" s="13" t="inlineStr">
        <is>
          <t>NOT_UPLOADED</t>
        </is>
      </c>
    </row>
    <row r="1213" ht="16" customHeight="1">
      <c r="A1213" s="17" t="n"/>
      <c r="B1213" s="17" t="n"/>
      <c r="C1213" s="13" t="n"/>
      <c r="D1213" s="18" t="n">
        <v>0</v>
      </c>
      <c r="E1213" s="18" t="n"/>
      <c r="F1213" s="17" t="n">
        <v>7010304</v>
      </c>
      <c r="G1213" s="18" t="inlineStr">
        <is>
          <t>UVEX</t>
        </is>
      </c>
      <c r="H1213" s="18" t="inlineStr">
        <is>
          <t>UVEX</t>
        </is>
      </c>
      <c r="I1213" s="18" t="n"/>
      <c r="J1213" s="18" t="inlineStr">
        <is>
          <t>No</t>
        </is>
      </c>
      <c r="K1213" s="18" t="inlineStr">
        <is>
          <t>https://www.amazon.de/uvex-Collection-Chino-Trousers-42-7010304/dp/B0DJFPMT14?ref_=ast_sto_dp</t>
        </is>
      </c>
      <c r="L1213" s="18" t="inlineStr">
        <is>
          <t>B0DJFPMT14</t>
        </is>
      </c>
      <c r="M1213" s="19" t="n">
        <v>41.59</v>
      </c>
      <c r="N1213" s="19" t="n"/>
      <c r="O1213" s="19" t="n">
        <v>35</v>
      </c>
      <c r="P1213" s="19">
        <f>O1213/1.19</f>
        <v/>
      </c>
      <c r="Q1213" s="19">
        <f>O1213-P1213</f>
        <v/>
      </c>
      <c r="R1213" s="19">
        <f>O1213*0.15</f>
        <v/>
      </c>
      <c r="S1213" s="19" t="n">
        <v>15.7</v>
      </c>
      <c r="T1213" s="19">
        <f>S1213*0.2</f>
        <v/>
      </c>
      <c r="U1213" s="19" t="n">
        <v>0.400000000000002</v>
      </c>
      <c r="V1213" s="19" t="n">
        <v>5.16</v>
      </c>
      <c r="W1213" s="19">
        <f>V1213*0.2</f>
        <v/>
      </c>
      <c r="X1213" s="21">
        <f>O1213-Q1213-R1213-S1213-U1213-V1213+T1213+W1213</f>
        <v/>
      </c>
      <c r="Y1213" s="18" t="n"/>
      <c r="Z1213" s="19">
        <f>O1213+1.5</f>
        <v/>
      </c>
      <c r="AA1213" s="19" t="n"/>
      <c r="AB1213" s="19" t="n"/>
      <c r="AC1213" s="18" t="n"/>
      <c r="AD1213" s="18" t="n"/>
      <c r="AE1213" s="13" t="inlineStr">
        <is>
          <t>NOT_UPLOADED</t>
        </is>
      </c>
    </row>
    <row r="1214" ht="16" customHeight="1">
      <c r="A1214" s="12" t="n"/>
      <c r="B1214" s="12" t="n"/>
      <c r="C1214" s="13" t="n"/>
      <c r="D1214" s="14" t="n">
        <v>0</v>
      </c>
      <c r="E1214" s="14" t="n"/>
      <c r="F1214" s="12" t="n">
        <v>7010408</v>
      </c>
      <c r="G1214" s="14" t="inlineStr">
        <is>
          <t>UVEX</t>
        </is>
      </c>
      <c r="H1214" s="14" t="inlineStr">
        <is>
          <t>UVEX</t>
        </is>
      </c>
      <c r="I1214" s="14" t="n"/>
      <c r="J1214" s="14" t="inlineStr">
        <is>
          <t>No</t>
        </is>
      </c>
      <c r="K1214" s="14" t="inlineStr">
        <is>
          <t>https://www.amazon.de/uvex-Collection-26-Womens-Jacket/dp/B0DJM85QKS?ref_=ast_sto_dp</t>
        </is>
      </c>
      <c r="L1214" s="14" t="inlineStr">
        <is>
          <t>B0DJM85QKS</t>
        </is>
      </c>
      <c r="M1214" s="15" t="n">
        <v>43.59</v>
      </c>
      <c r="N1214" s="15" t="n"/>
      <c r="O1214" s="15" t="n">
        <v>40</v>
      </c>
      <c r="P1214" s="15">
        <f>O1214/1.19</f>
        <v/>
      </c>
      <c r="Q1214" s="15">
        <f>O1214-P1214</f>
        <v/>
      </c>
      <c r="R1214" s="15">
        <f>O1214*0.15</f>
        <v/>
      </c>
      <c r="S1214" s="15" t="n">
        <v>17.7</v>
      </c>
      <c r="T1214" s="15">
        <f>S1214*0.2</f>
        <v/>
      </c>
      <c r="U1214" s="15" t="n">
        <v>0.400000000000002</v>
      </c>
      <c r="V1214" s="15" t="n">
        <v>5.16</v>
      </c>
      <c r="W1214" s="15">
        <f>V1214*0.2</f>
        <v/>
      </c>
      <c r="X1214" s="21">
        <f>O1214-Q1214-R1214-S1214-U1214-V1214+T1214+W1214</f>
        <v/>
      </c>
      <c r="Y1214" s="14" t="n"/>
      <c r="Z1214" s="15">
        <f>O1214+1.5</f>
        <v/>
      </c>
      <c r="AA1214" s="15" t="n"/>
      <c r="AB1214" s="15" t="n"/>
      <c r="AC1214" s="14" t="n"/>
      <c r="AD1214" s="14" t="n"/>
      <c r="AE1214" s="13" t="inlineStr">
        <is>
          <t>NOT_UPLOADED</t>
        </is>
      </c>
    </row>
    <row r="1215" ht="16" customHeight="1">
      <c r="A1215" s="17" t="n"/>
      <c r="B1215" s="17" t="n"/>
      <c r="C1215" s="13" t="n"/>
      <c r="D1215" s="18" t="n">
        <v>0</v>
      </c>
      <c r="E1215" s="18" t="n"/>
      <c r="F1215" s="17" t="n">
        <v>7010609</v>
      </c>
      <c r="G1215" s="18" t="inlineStr">
        <is>
          <t>UVEX</t>
        </is>
      </c>
      <c r="H1215" s="18" t="inlineStr">
        <is>
          <t>UVEX</t>
        </is>
      </c>
      <c r="I1215" s="18" t="n"/>
      <c r="J1215" s="18" t="inlineStr">
        <is>
          <t>No</t>
        </is>
      </c>
      <c r="K1215" s="18" t="inlineStr">
        <is>
          <t>https://www.amazon.de/uvex-Collection-Mens-Sweat-Jacket/dp/B0DJFHVFLP?ref_=ast_sto_dp</t>
        </is>
      </c>
      <c r="L1215" s="18" t="inlineStr">
        <is>
          <t>B0DJFHVFLP</t>
        </is>
      </c>
      <c r="M1215" s="19" t="n">
        <v>55.69</v>
      </c>
      <c r="N1215" s="19" t="n"/>
      <c r="O1215" s="19" t="n">
        <v>45</v>
      </c>
      <c r="P1215" s="19">
        <f>O1215/1.19</f>
        <v/>
      </c>
      <c r="Q1215" s="19">
        <f>O1215-P1215</f>
        <v/>
      </c>
      <c r="R1215" s="19">
        <f>O1215*0.15</f>
        <v/>
      </c>
      <c r="S1215" s="19" t="n">
        <v>24.4</v>
      </c>
      <c r="T1215" s="19">
        <f>S1215*0.2</f>
        <v/>
      </c>
      <c r="U1215" s="19" t="n">
        <v>0.400000000000002</v>
      </c>
      <c r="V1215" s="19" t="n">
        <v>5.16</v>
      </c>
      <c r="W1215" s="19">
        <f>V1215*0.2</f>
        <v/>
      </c>
      <c r="X1215" s="21">
        <f>O1215-Q1215-R1215-S1215-U1215-V1215+T1215+W1215</f>
        <v/>
      </c>
      <c r="Y1215" s="18" t="n"/>
      <c r="Z1215" s="19">
        <f>O1215+1.5</f>
        <v/>
      </c>
      <c r="AA1215" s="19" t="n"/>
      <c r="AB1215" s="19" t="n"/>
      <c r="AC1215" s="18" t="n"/>
      <c r="AD1215" s="18" t="n"/>
      <c r="AE1215" s="13" t="inlineStr">
        <is>
          <t>NOT_UPLOADED</t>
        </is>
      </c>
    </row>
    <row r="1216" ht="16" customHeight="1">
      <c r="A1216" s="12" t="n"/>
      <c r="B1216" s="12" t="n"/>
      <c r="C1216" s="13" t="n"/>
      <c r="D1216" s="14" t="n">
        <v>0</v>
      </c>
      <c r="E1216" s="14" t="n"/>
      <c r="F1216" s="12" t="n">
        <v>7011300</v>
      </c>
      <c r="G1216" s="14" t="inlineStr">
        <is>
          <t>UVEX</t>
        </is>
      </c>
      <c r="H1216" s="14" t="inlineStr">
        <is>
          <t>UVEX</t>
        </is>
      </c>
      <c r="I1216" s="14" t="n"/>
      <c r="J1216" s="14" t="inlineStr">
        <is>
          <t>No</t>
        </is>
      </c>
      <c r="K1216" s="14" t="inlineStr">
        <is>
          <t>https://www.amazon.de/Collection-Womens-Long-Sleeved-Blouse-34-7011300/dp/B0DJKVWGSH?ref_=ast_sto_dp</t>
        </is>
      </c>
      <c r="L1216" s="14" t="inlineStr">
        <is>
          <t>B0DJKVWGSH</t>
        </is>
      </c>
      <c r="M1216" s="15" t="n">
        <v>29.89</v>
      </c>
      <c r="N1216" s="15" t="n"/>
      <c r="O1216" s="15" t="n">
        <v>25</v>
      </c>
      <c r="P1216" s="15">
        <f>O1216/1.19</f>
        <v/>
      </c>
      <c r="Q1216" s="15">
        <f>O1216-P1216</f>
        <v/>
      </c>
      <c r="R1216" s="15">
        <f>O1216*0.15</f>
        <v/>
      </c>
      <c r="S1216" s="15" t="n">
        <v>10.7</v>
      </c>
      <c r="T1216" s="15">
        <f>S1216*0.2</f>
        <v/>
      </c>
      <c r="U1216" s="15" t="n">
        <v>0.400000000000002</v>
      </c>
      <c r="V1216" s="15" t="n">
        <v>5.16</v>
      </c>
      <c r="W1216" s="15">
        <f>V1216*0.2</f>
        <v/>
      </c>
      <c r="X1216" s="21">
        <f>O1216-Q1216-R1216-S1216-U1216-V1216+T1216+W1216</f>
        <v/>
      </c>
      <c r="Y1216" s="14" t="n"/>
      <c r="Z1216" s="15">
        <f>O1216+1.5</f>
        <v/>
      </c>
      <c r="AA1216" s="15" t="n"/>
      <c r="AB1216" s="15" t="n"/>
      <c r="AC1216" s="14" t="n"/>
      <c r="AD1216" s="14" t="n"/>
      <c r="AE1216" s="13" t="inlineStr">
        <is>
          <t>NOT_UPLOADED</t>
        </is>
      </c>
    </row>
    <row r="1217" ht="16" customHeight="1">
      <c r="A1217" s="17" t="n"/>
      <c r="B1217" s="17" t="n"/>
      <c r="C1217" s="13" t="n"/>
      <c r="D1217" s="18" t="n">
        <v>0</v>
      </c>
      <c r="E1217" s="18" t="n"/>
      <c r="F1217" s="17" t="n">
        <v>8174507</v>
      </c>
      <c r="G1217" s="18" t="inlineStr">
        <is>
          <t>UVEX</t>
        </is>
      </c>
      <c r="H1217" s="18" t="inlineStr">
        <is>
          <t>UVEX</t>
        </is>
      </c>
      <c r="I1217" s="18" t="n"/>
      <c r="J1217" s="18" t="inlineStr">
        <is>
          <t>No</t>
        </is>
      </c>
      <c r="K1217" s="18" t="inlineStr">
        <is>
          <t>https://www.amazon.de/uvex-Holster-Tool-Bag-8174507/dp/B0CNWLDW62?ref_=ast_sto_dp</t>
        </is>
      </c>
      <c r="L1217" s="18" t="inlineStr">
        <is>
          <t>B0CNWLDW62</t>
        </is>
      </c>
      <c r="M1217" s="19" t="n">
        <v>22.48</v>
      </c>
      <c r="N1217" s="19" t="n"/>
      <c r="O1217" s="19" t="n">
        <v>20</v>
      </c>
      <c r="P1217" s="19">
        <f>O1217/1.19</f>
        <v/>
      </c>
      <c r="Q1217" s="19">
        <f>O1217-P1217</f>
        <v/>
      </c>
      <c r="R1217" s="19">
        <f>O1217*0.15</f>
        <v/>
      </c>
      <c r="S1217" s="19" t="n">
        <v>6.8</v>
      </c>
      <c r="T1217" s="19">
        <f>S1217*0.2</f>
        <v/>
      </c>
      <c r="U1217" s="19" t="n">
        <v>0.400000000000002</v>
      </c>
      <c r="V1217" s="19" t="n">
        <v>5.16</v>
      </c>
      <c r="W1217" s="19">
        <f>V1217*0.2</f>
        <v/>
      </c>
      <c r="X1217" s="21">
        <f>O1217-Q1217-R1217-S1217-U1217-V1217+T1217+W1217</f>
        <v/>
      </c>
      <c r="Y1217" s="18" t="n"/>
      <c r="Z1217" s="19">
        <f>O1217+1.5</f>
        <v/>
      </c>
      <c r="AA1217" s="19" t="n"/>
      <c r="AB1217" s="19" t="n"/>
      <c r="AC1217" s="18" t="n"/>
      <c r="AD1217" s="18" t="n"/>
      <c r="AE1217" s="13" t="inlineStr">
        <is>
          <t>NOT_UPLOADED</t>
        </is>
      </c>
    </row>
    <row r="1218" ht="16" customHeight="1">
      <c r="A1218" s="12" t="n"/>
      <c r="B1218" s="12" t="n"/>
      <c r="C1218" s="13" t="n"/>
      <c r="D1218" s="14" t="n">
        <v>0</v>
      </c>
      <c r="E1218" s="14" t="n"/>
      <c r="F1218" s="12" t="n">
        <v>8830209</v>
      </c>
      <c r="G1218" s="14" t="inlineStr">
        <is>
          <t>UVEX</t>
        </is>
      </c>
      <c r="H1218" s="14" t="inlineStr">
        <is>
          <t>UVEX</t>
        </is>
      </c>
      <c r="I1218" s="14" t="n"/>
      <c r="J1218" s="14" t="inlineStr">
        <is>
          <t>No</t>
        </is>
      </c>
      <c r="K1218" s="14" t="inlineStr">
        <is>
          <t>https://www.amazon.de/Uvex-Mens-Leggings-Leisure-Warming/dp/B081Z57K7M?ref_=ast_sto_dp&amp;th=1&amp;psc=1</t>
        </is>
      </c>
      <c r="L1218" s="14" t="inlineStr">
        <is>
          <t>B081Z57K7M</t>
        </is>
      </c>
      <c r="M1218" s="15" t="n">
        <v>27.19</v>
      </c>
      <c r="N1218" s="15" t="n"/>
      <c r="O1218" s="15" t="n">
        <v>25</v>
      </c>
      <c r="P1218" s="15">
        <f>O1218/1.19</f>
        <v/>
      </c>
      <c r="Q1218" s="15">
        <f>O1218-P1218</f>
        <v/>
      </c>
      <c r="R1218" s="15">
        <f>O1218*0.15</f>
        <v/>
      </c>
      <c r="S1218" s="15" t="n">
        <v>9.699999999999999</v>
      </c>
      <c r="T1218" s="15">
        <f>S1218*0.2</f>
        <v/>
      </c>
      <c r="U1218" s="15" t="n">
        <v>0.400000000000002</v>
      </c>
      <c r="V1218" s="15" t="n">
        <v>5.16</v>
      </c>
      <c r="W1218" s="15">
        <f>V1218*0.2</f>
        <v/>
      </c>
      <c r="X1218" s="21">
        <f>O1218-Q1218-R1218-S1218-U1218-V1218+T1218+W1218</f>
        <v/>
      </c>
      <c r="Y1218" s="14" t="n"/>
      <c r="Z1218" s="15">
        <f>O1218+1.5</f>
        <v/>
      </c>
      <c r="AA1218" s="15" t="n"/>
      <c r="AB1218" s="15" t="n"/>
      <c r="AC1218" s="14" t="n"/>
      <c r="AD1218" s="14" t="n"/>
      <c r="AE1218" s="13" t="inlineStr">
        <is>
          <t>NOT_UPLOADED</t>
        </is>
      </c>
    </row>
    <row r="1219" ht="16" customHeight="1">
      <c r="A1219" s="17" t="n"/>
      <c r="B1219" s="17" t="n"/>
      <c r="C1219" s="13" t="n"/>
      <c r="D1219" s="18" t="n">
        <v>0</v>
      </c>
      <c r="E1219" s="18" t="n"/>
      <c r="F1219" s="17" t="n">
        <v>8830311</v>
      </c>
      <c r="G1219" s="18" t="inlineStr">
        <is>
          <t>UVEX</t>
        </is>
      </c>
      <c r="H1219" s="18" t="inlineStr">
        <is>
          <t>UVEX</t>
        </is>
      </c>
      <c r="I1219" s="18" t="n"/>
      <c r="J1219" s="18" t="inlineStr">
        <is>
          <t>No</t>
        </is>
      </c>
      <c r="K1219" s="18" t="inlineStr">
        <is>
          <t>https://www.amazon.de/Uvex-Mens-Short-Sleeved-Functional-Shirt/dp/B081Z5B6T2?ref_=ast_sto_dp&amp;th=1&amp;psc=1</t>
        </is>
      </c>
      <c r="L1219" s="18" t="inlineStr">
        <is>
          <t>B081Z5B6T2</t>
        </is>
      </c>
      <c r="M1219" s="19" t="n">
        <v>35.57</v>
      </c>
      <c r="N1219" s="19" t="n"/>
      <c r="O1219" s="19" t="n">
        <v>30</v>
      </c>
      <c r="P1219" s="19">
        <f>O1219/1.19</f>
        <v/>
      </c>
      <c r="Q1219" s="19">
        <f>O1219-P1219</f>
        <v/>
      </c>
      <c r="R1219" s="19">
        <f>O1219*0.15</f>
        <v/>
      </c>
      <c r="S1219" s="19" t="n">
        <v>12.1</v>
      </c>
      <c r="T1219" s="19">
        <f>S1219*0.2</f>
        <v/>
      </c>
      <c r="U1219" s="19" t="n">
        <v>0.400000000000002</v>
      </c>
      <c r="V1219" s="19" t="n">
        <v>5.16</v>
      </c>
      <c r="W1219" s="19">
        <f>V1219*0.2</f>
        <v/>
      </c>
      <c r="X1219" s="21">
        <f>O1219-Q1219-R1219-S1219-U1219-V1219+T1219+W1219</f>
        <v/>
      </c>
      <c r="Y1219" s="18" t="n"/>
      <c r="Z1219" s="19">
        <f>O1219+1.5</f>
        <v/>
      </c>
      <c r="AA1219" s="19" t="n"/>
      <c r="AB1219" s="19" t="n"/>
      <c r="AC1219" s="18" t="n"/>
      <c r="AD1219" s="18" t="n"/>
      <c r="AE1219" s="13" t="inlineStr">
        <is>
          <t>NOT_UPLOADED</t>
        </is>
      </c>
    </row>
    <row r="1220" ht="16" customHeight="1">
      <c r="A1220" s="12" t="n">
        <v>3154148616337</v>
      </c>
      <c r="B1220" s="12" t="n"/>
      <c r="C1220" s="13" t="n"/>
      <c r="D1220" s="14" t="n"/>
      <c r="E1220" s="14" t="inlineStr">
        <is>
          <t>AR-3154148616337</t>
        </is>
      </c>
      <c r="F1220" s="12" t="n">
        <v>9861600</v>
      </c>
      <c r="G1220" s="14" t="inlineStr">
        <is>
          <t>ARGOPRIMA</t>
        </is>
      </c>
      <c r="H1220" s="14" t="inlineStr">
        <is>
          <t>MAPED</t>
        </is>
      </c>
      <c r="I1220" s="14" t="inlineStr">
        <is>
          <t>Maped - Innovative Colour'Peps Infinity Colouring Pencils - 100% Colouring Pencils - No Wooden Coat - No Sharpening Required - 100% Usable</t>
        </is>
      </c>
      <c r="J1220" s="14" t="inlineStr">
        <is>
          <t>No</t>
        </is>
      </c>
      <c r="K1220" s="14" t="inlineStr">
        <is>
          <t>https://www.amazon.de/-/en/Maped-Innovative-ColourPeps-Colouring-Sharpening/dp/B0D7981242/ref=sr_1_6?dib=eyJ2IjoiMSJ9.mwMfbPUOzu7VS3p4W4T5wVpjFhhGA2ppbjHVSHrjSQdd3gn-HVb3POGLL2DJ16nfAAdQvT6wm2bRcyzOkyziXWub2xyjZdb1JXIU7u5A0EdOi_l-foa_9hVo4Mfvmn5H8Vnn8OqBTcOXL7AUGyl74pl5WvCFbP_zv8cfyJsriIhdLwUgNV6egUI0pONWJTdgvMzZxNeUNHggeOKp3xMKzHulPLS2XrIujOKayLs9S34e4MEHKCqGczZVB3HktBsP8qGgtGsEPwNTeveymqAzuG-JVfmc4oNHWxrwupxUw_A.l6ZOrcLu1JEGa4dxzYU-VFBinIFCtyW-WaSwaefnAgI&amp;dib_tag=se&amp;keywords=maped%2Bcolor&amp;qid=1764945332&amp;sr=8-6&amp;th=1</t>
        </is>
      </c>
      <c r="L1220" s="14" t="inlineStr">
        <is>
          <t>B0D7981242</t>
        </is>
      </c>
      <c r="M1220" s="15" t="n"/>
      <c r="N1220" s="15" t="n"/>
      <c r="O1220" s="15" t="n">
        <v>8</v>
      </c>
      <c r="P1220" s="15">
        <f>O1220/1.19</f>
        <v/>
      </c>
      <c r="Q1220" s="15">
        <f>O1220-P1220</f>
        <v/>
      </c>
      <c r="R1220" s="15">
        <f>O1220*0.15</f>
        <v/>
      </c>
      <c r="S1220" s="15" t="n">
        <v>1.85</v>
      </c>
      <c r="T1220" s="15">
        <f>S1220*0.2</f>
        <v/>
      </c>
      <c r="U1220" s="15" t="n">
        <v>0.400000000000002</v>
      </c>
      <c r="V1220" s="15" t="n">
        <v>2.45</v>
      </c>
      <c r="W1220" s="15">
        <f>V1220*0.2</f>
        <v/>
      </c>
      <c r="X1220" s="16">
        <f>O1220-Q1220-R1220-S1220-U1220-V1220+T1220+W1220</f>
        <v/>
      </c>
      <c r="Y1220" s="14" t="n"/>
      <c r="Z1220" s="15">
        <f>O1220+1.5</f>
        <v/>
      </c>
      <c r="AA1220" s="15" t="n"/>
      <c r="AB1220" s="15" t="n"/>
      <c r="AC1220" s="14" t="n"/>
      <c r="AD1220" s="14" t="n"/>
      <c r="AE1220" s="13" t="inlineStr">
        <is>
          <t>NOT_UPLOADED</t>
        </is>
      </c>
    </row>
    <row r="1221" ht="16" customHeight="1">
      <c r="A1221" s="17" t="n">
        <v>3154148328124</v>
      </c>
      <c r="B1221" s="17" t="n"/>
      <c r="C1221" s="13" t="n"/>
      <c r="D1221" s="18" t="n"/>
      <c r="E1221" s="18" t="inlineStr">
        <is>
          <t>AR-3154148328124</t>
        </is>
      </c>
      <c r="F1221" s="17" t="n">
        <v>9832812</v>
      </c>
      <c r="G1221" s="18" t="inlineStr">
        <is>
          <t>ARGOPRIMA</t>
        </is>
      </c>
      <c r="H1221" s="18" t="inlineStr">
        <is>
          <t>MAPED</t>
        </is>
      </c>
      <c r="I1221" s="18" t="inlineStr">
        <is>
          <t>Maped, 832812 AA8 Erasable Triangular Colouring Pencils, Colour'Peps OOPS- 12 x Pens</t>
        </is>
      </c>
      <c r="J1221" s="18" t="inlineStr">
        <is>
          <t>No</t>
        </is>
      </c>
      <c r="K1221" s="18" t="inlineStr">
        <is>
          <t>https://www.amazon.de/-/en/832812-Erasable-Triangular-Colouring-ColourPeps/dp/B07ZDPTY3T/ref=sr_1_13?dib=eyJ2IjoiMSJ9.mwMfbPUOzu7VS3p4W4T5wVpjFhhGA2ppbjHVSHrjSQdd3gn-HVb3POGLL2DJ16nfAAdQvT6wm2bRcyzOkyziXWub2xyjZdb1JXIU7u5A0EdOi_l-foa_9hVo4Mfvmn5H8Vnn8OqBTcOXL7AUGyl74oK1emjHf3Rax-yGqcNvPhKjwVbQvcjyZ4QoVSJuz8BnvMzZxNeUNHggeOKp3xMKzIXug1D1h5YnBSuHxFubmgwVJHXxDcnLPeDZVbJcL2fGVO0FKl8EhgauQLH006vVsJ-rQNwT-tSXKncETpCtUI8.huOBdFqoREGWv1kf2AXMBdCAWoPOPo8Q1D2HA_xmEMM&amp;dib_tag=se&amp;keywords=maped%2Bcolor&amp;qid=1764946944&amp;sr=8-13&amp;th=1</t>
        </is>
      </c>
      <c r="L1221" s="18" t="inlineStr">
        <is>
          <t>B07ZDPTY3T</t>
        </is>
      </c>
      <c r="M1221" s="19" t="n"/>
      <c r="N1221" s="19" t="n"/>
      <c r="O1221" s="19" t="n">
        <v>7.99</v>
      </c>
      <c r="P1221" s="19">
        <f>O1221/1.19</f>
        <v/>
      </c>
      <c r="Q1221" s="19">
        <f>O1221-P1221</f>
        <v/>
      </c>
      <c r="R1221" s="19">
        <f>O1221*0.15</f>
        <v/>
      </c>
      <c r="S1221" s="19" t="n">
        <v>2.55</v>
      </c>
      <c r="T1221" s="19">
        <f>S1221*0.2</f>
        <v/>
      </c>
      <c r="U1221" s="19" t="n">
        <v>0.400000000000002</v>
      </c>
      <c r="V1221" s="19" t="n">
        <v>2.56</v>
      </c>
      <c r="W1221" s="19">
        <f>V1221*0.2</f>
        <v/>
      </c>
      <c r="X1221" s="16">
        <f>O1221-Q1221-R1221-S1221-U1221-V1221+T1221+W1221</f>
        <v/>
      </c>
      <c r="Y1221" s="18" t="n"/>
      <c r="Z1221" s="19">
        <f>O1221+1.5</f>
        <v/>
      </c>
      <c r="AA1221" s="19" t="n"/>
      <c r="AB1221" s="19" t="n"/>
      <c r="AC1221" s="18" t="n"/>
      <c r="AD1221" s="18" t="n"/>
      <c r="AE1221" s="13" t="inlineStr">
        <is>
          <t>NOT_UPLOADED</t>
        </is>
      </c>
    </row>
    <row r="1222" ht="16" customHeight="1">
      <c r="A1222" s="12" t="n">
        <v>3154148633129</v>
      </c>
      <c r="B1222" s="12" t="n"/>
      <c r="C1222" s="13" t="n"/>
      <c r="D1222" s="14" t="n"/>
      <c r="E1222" s="14" t="inlineStr">
        <is>
          <t>ARG-3154148633129</t>
        </is>
      </c>
      <c r="F1222" s="12" t="n">
        <v>9862712</v>
      </c>
      <c r="G1222" s="14" t="inlineStr">
        <is>
          <t>ARGOPRIMA</t>
        </is>
      </c>
      <c r="H1222" s="14" t="inlineStr">
        <is>
          <t>MAPED</t>
        </is>
      </c>
      <c r="I1222" s="14" t="inlineStr">
        <is>
          <t>Maped - Ergonomic Triangular Colouring Pencils, Colour'Peps Strong Jumbo - Particularly Stable Lead Diameter 4 mm - 12 x Pencils, Multi-Coloured, Multicoloured</t>
        </is>
      </c>
      <c r="J1222" s="14" t="inlineStr">
        <is>
          <t>No</t>
        </is>
      </c>
      <c r="K1222" s="14" t="inlineStr">
        <is>
          <t>https://www.amazon.de/-/en/Maped-Triangular-Particularly-Multi-Coloured-Multicoloured/dp/B089G4PCFR/ref=sr_1_14?dib=eyJ2IjoiMSJ9.mwMfbPUOzu7VS3p4W4T5wVpjFhhGA2ppbjHVSHrjSQdd3gn-HVb3POGLL2DJ16nfAAdQvT6wm2bRcyzOkyziXWub2xyjZdb1JXIU7u5A0EdOi_l-foa_9hVo4Mfvmn5H8Vnn8OqBTcOXL7AUGyl74oK1emjHf3Rax-yGqcNvPhKjwVbQvcjyZ4QoVSJuz8BnvMzZxNeUNHggeOKp3xMKzIXug1D1h5YnBSuHxFubmgwVJHXxDcnLPeDZVbJcL2fGVO0FKl8EhgauQLH006vVsJ-rQNwT-tSXKncETpCtUI8.huOBdFqoREGWv1kf2AXMBdCAWoPOPo8Q1D2HA_xmEMM&amp;dib_tag=se&amp;keywords=maped%2Bcolor&amp;qid=1764946944&amp;sr=8-14&amp;th=1</t>
        </is>
      </c>
      <c r="L1222" s="14" t="inlineStr">
        <is>
          <t>B089G4PCFR</t>
        </is>
      </c>
      <c r="M1222" s="15" t="n"/>
      <c r="N1222" s="15" t="n"/>
      <c r="O1222" s="15" t="n">
        <v>7.75</v>
      </c>
      <c r="P1222" s="15">
        <f>O1222/1.19</f>
        <v/>
      </c>
      <c r="Q1222" s="15">
        <f>O1222-P1222</f>
        <v/>
      </c>
      <c r="R1222" s="15">
        <f>O1222*0.15</f>
        <v/>
      </c>
      <c r="S1222" s="15" t="n">
        <v>1.49</v>
      </c>
      <c r="T1222" s="15">
        <f>S1222*0.2</f>
        <v/>
      </c>
      <c r="U1222" s="15" t="n">
        <v>0.400000000000002</v>
      </c>
      <c r="V1222" s="15" t="n">
        <v>2.6</v>
      </c>
      <c r="W1222" s="15">
        <f>V1222*0.2</f>
        <v/>
      </c>
      <c r="X1222" s="16">
        <f>O1222-Q1222-R1222-S1222-U1222-V1222+T1222+W1222</f>
        <v/>
      </c>
      <c r="Y1222" s="14" t="n"/>
      <c r="Z1222" s="15">
        <f>O1222+1.5</f>
        <v/>
      </c>
      <c r="AA1222" s="15" t="n"/>
      <c r="AB1222" s="15" t="n"/>
      <c r="AC1222" s="14" t="n"/>
      <c r="AD1222" s="14" t="n"/>
      <c r="AE1222" s="13" t="inlineStr">
        <is>
          <t>NOT_UPLOADED</t>
        </is>
      </c>
    </row>
    <row r="1223" ht="16" customHeight="1">
      <c r="A1223" s="17" t="n">
        <v>3154148637004</v>
      </c>
      <c r="B1223" s="17" t="n"/>
      <c r="C1223" s="13" t="n"/>
      <c r="D1223" s="18" t="n"/>
      <c r="E1223" s="18" t="inlineStr">
        <is>
          <t>AR-3154148637004</t>
        </is>
      </c>
      <c r="F1223" s="17" t="n">
        <v>9862712</v>
      </c>
      <c r="G1223" s="18" t="inlineStr">
        <is>
          <t>ARGOPRIMA</t>
        </is>
      </c>
      <c r="H1223" s="18" t="inlineStr">
        <is>
          <t>MAPED</t>
        </is>
      </c>
      <c r="I1223" s="18" t="inlineStr">
        <is>
          <t>Maped - Jungle Fever Jumbo Wax Crayons - Developed for the Youngest - From Age 2 - Box of 12 Jumbo Crayons</t>
        </is>
      </c>
      <c r="J1223" s="18" t="inlineStr">
        <is>
          <t>No</t>
        </is>
      </c>
      <c r="K1223" s="18" t="inlineStr">
        <is>
          <t>https://www.amazon.de/-/en/Maped-Jungle-Crayons-Developed-Youngest/dp/B0CS6P352D/ref=sr_1_16_mod_primary_new?dib=eyJ2IjoiMSJ9.mwMfbPUOzu7VS3p4W4T5wVpjFhhGA2ppbjHVSHrjSQdd3gn-HVb3POGLL2DJ16nfAAdQvT6wm2bRcyzOkyziXWub2xyjZdb1JXIU7u5A0EdOi_l-foa_9hVo4Mfvmn5H8Vnn8OqBTcOXL7AUGyl74oK1emjHf3Rax-yGqcNvPhKjwVbQvcjyZ4QoVSJuz8BnvMzZxNeUNHggeOKp3xMKzIXug1D1h5YnBSuHxFubmgwVJHXxDcnLPeDZVbJcL2fGVO0FKl8EhgauQLH006vVsJ-rQNwT-tSXKncETpCtUI8.huOBdFqoREGWv1kf2AXMBdCAWoPOPo8Q1D2HA_xmEMM&amp;dib_tag=se&amp;keywords=maped+color&amp;qid=1764946944&amp;sbo=RZvfv%2F%2FHxDF%2BO5021pAnSA%3D%3D&amp;sr=8-16</t>
        </is>
      </c>
      <c r="L1223" s="18" t="inlineStr">
        <is>
          <t>B0CS6P352D</t>
        </is>
      </c>
      <c r="M1223" s="19" t="n"/>
      <c r="N1223" s="19" t="n"/>
      <c r="O1223" s="19" t="n">
        <v>10.99</v>
      </c>
      <c r="P1223" s="19">
        <f>O1223/1.19</f>
        <v/>
      </c>
      <c r="Q1223" s="19">
        <f>O1223-P1223</f>
        <v/>
      </c>
      <c r="R1223" s="19">
        <f>O1223*0.15</f>
        <v/>
      </c>
      <c r="S1223" s="19" t="n">
        <v>3.89</v>
      </c>
      <c r="T1223" s="19">
        <f>S1223*0.2</f>
        <v/>
      </c>
      <c r="U1223" s="19" t="n">
        <v>0.400000000000002</v>
      </c>
      <c r="V1223" s="19" t="n">
        <v>2.5</v>
      </c>
      <c r="W1223" s="19">
        <f>V1223*0.2</f>
        <v/>
      </c>
      <c r="X1223" s="21">
        <f>O1223-Q1223-R1223-S1223-U1223-V1223+T1223+W1223</f>
        <v/>
      </c>
      <c r="Y1223" s="18" t="n"/>
      <c r="Z1223" s="19">
        <f>O1223+1.5</f>
        <v/>
      </c>
      <c r="AA1223" s="19" t="n"/>
      <c r="AB1223" s="19" t="n"/>
      <c r="AC1223" s="18" t="n"/>
      <c r="AD1223" s="18" t="n"/>
      <c r="AE1223" s="13" t="inlineStr">
        <is>
          <t>NOT_UPLOADED</t>
        </is>
      </c>
    </row>
    <row r="1224" ht="16" customHeight="1">
      <c r="A1224" s="12" t="n">
        <v>5056225219104</v>
      </c>
      <c r="B1224" s="12" t="n"/>
      <c r="C1224" s="13" t="n"/>
      <c r="D1224" s="14" t="n"/>
      <c r="E1224" s="14" t="inlineStr">
        <is>
          <t>AR-5056225219104</t>
        </is>
      </c>
      <c r="F1224" s="12" t="n">
        <v>9829600</v>
      </c>
      <c r="G1224" s="14" t="inlineStr">
        <is>
          <t>ARGOPRIMA</t>
        </is>
      </c>
      <c r="H1224" s="14" t="inlineStr">
        <is>
          <t>MAPED</t>
        </is>
      </c>
      <c r="I1224" s="14" t="inlineStr">
        <is>
          <t>Maped Color'Peps Duo Colouring Pencils - 24 colours (Pack of 12)</t>
        </is>
      </c>
      <c r="J1224" s="14" t="inlineStr">
        <is>
          <t>No</t>
        </is>
      </c>
      <c r="K1224" s="14" t="inlineStr">
        <is>
          <t>https://www.amazon.de/-/en/Maped-ColorPeps-Duo-Colouring-Pencils/dp/B006CNEOYW/ref=sr_1_15_mod_primary_new?dib=eyJ2IjoiMSJ9.mwMfbPUOzu7VS3p4W4T5wVpjFhhGA2ppbjHVSHrjSQdd3gn-HVb3POGLL2DJ16nfAAdQvT6wm2bRcyzOkyziXWub2xyjZdb1JXIU7u5A0EdOi_l-foa_9hVo4Mfvmn5H8Vnn8OqBTcOXL7AUGyl74oK1emjHf3Rax-yGqcNvPhKjwVbQvcjyZ4QoVSJuz8BnvMzZxNeUNHggeOKp3xMKzIXug1D1h5YnBSuHxFubmgwVJHXxDcnLPeDZVbJcL2fGVO0FKl8EhgauQLH006vVsJ-rQNwT-tSXKncETpCtUI8.huOBdFqoREGWv1kf2AXMBdCAWoPOPo8Q1D2HA_xmEMM&amp;dib_tag=se&amp;keywords=maped+color&amp;qid=1764946944&amp;sbo=RZvfv%2F%2FHxDF%2BO5021pAnSA%3D%3D&amp;sr=8-15</t>
        </is>
      </c>
      <c r="L1224" s="14" t="inlineStr">
        <is>
          <t>B006CNEOYW</t>
        </is>
      </c>
      <c r="M1224" s="15" t="n"/>
      <c r="N1224" s="15" t="n"/>
      <c r="O1224" s="15" t="n">
        <v>8.35</v>
      </c>
      <c r="P1224" s="15">
        <f>O1224/1.19</f>
        <v/>
      </c>
      <c r="Q1224" s="15">
        <f>O1224-P1224</f>
        <v/>
      </c>
      <c r="R1224" s="15">
        <f>O1224*0.15</f>
        <v/>
      </c>
      <c r="S1224" s="15" t="n">
        <v>2.13</v>
      </c>
      <c r="T1224" s="15">
        <f>S1224*0.2</f>
        <v/>
      </c>
      <c r="U1224" s="15" t="n">
        <v>0.400000000000002</v>
      </c>
      <c r="V1224" s="15" t="n">
        <v>2.5</v>
      </c>
      <c r="W1224" s="15">
        <f>V1224*0.2</f>
        <v/>
      </c>
      <c r="X1224" s="16">
        <f>O1224-Q1224-R1224-S1224-U1224-V1224+T1224+W1224</f>
        <v/>
      </c>
      <c r="Y1224" s="14" t="n"/>
      <c r="Z1224" s="15">
        <f>O1224+1.5</f>
        <v/>
      </c>
      <c r="AA1224" s="15" t="n"/>
      <c r="AB1224" s="15" t="n"/>
      <c r="AC1224" s="14" t="n"/>
      <c r="AD1224" s="14" t="n"/>
      <c r="AE1224" s="13" t="inlineStr">
        <is>
          <t>NOT_UPLOADED</t>
        </is>
      </c>
    </row>
    <row r="1225" ht="16" customHeight="1">
      <c r="A1225" s="17" t="n">
        <v>3154148626121</v>
      </c>
      <c r="B1225" s="17" t="n"/>
      <c r="C1225" s="13" t="n"/>
      <c r="D1225" s="18" t="n"/>
      <c r="E1225" s="18" t="inlineStr">
        <is>
          <t>AR-3154148626121</t>
        </is>
      </c>
      <c r="F1225" s="17" t="n">
        <v>9862612</v>
      </c>
      <c r="G1225" s="18" t="inlineStr">
        <is>
          <t>ARGOPRIMA</t>
        </is>
      </c>
      <c r="H1225" s="18" t="inlineStr">
        <is>
          <t>MAPED</t>
        </is>
      </c>
      <c r="I1225" s="18" t="inlineStr">
        <is>
          <t>Maped Color'Peps Black Monster Pens with Black Barrel and Colourful Monster Print</t>
        </is>
      </c>
      <c r="J1225" s="18" t="inlineStr">
        <is>
          <t>No</t>
        </is>
      </c>
      <c r="K1225" s="18" t="inlineStr">
        <is>
          <t>https://www.amazon.de/-/en/Maped-ColorPeps-Monster-Barrel-Colourful/dp/B07ZDP7MCJ/ref=sr_1_2?dib=eyJ2IjoiMSJ9.mwMfbPUOzu7VS3p4W4T5wVpjFhhGA2ppbjHVSHrjSQdd3gn-HVb3POGLL2DJ16nfAAdQvT6wm2bRcyzOkyziXWub2xyjZdb1JXIU7u5A0EdOi_l-foa_9hVo4Mfvmn5H8Vnn8OqBTcOXL7AUGyl74oK1emjHf3Rax-yGqcNvPhKjwVbQvcjyZ4QoVSJuz8BnvMzZxNeUNHggeOKp3xMKzIXug1D1h5YnBSuHxFubmgwVJHXxDcnLPeDZVbJcL2fGVO0FKl8EhgauQLH006vVsJ-rQNwT-tSXKncETpCtUI8.huOBdFqoREGWv1kf2AXMBdCAWoPOPo8Q1D2HA_xmEMM&amp;dib_tag=se&amp;keywords=maped%2Bcolor&amp;qid=1764946944&amp;sr=8-2&amp;th=1</t>
        </is>
      </c>
      <c r="L1225" s="18" t="inlineStr">
        <is>
          <t>B07ZDP7MCJ</t>
        </is>
      </c>
      <c r="M1225" s="19" t="n"/>
      <c r="N1225" s="19" t="n"/>
      <c r="O1225" s="19" t="n">
        <v>7.35</v>
      </c>
      <c r="P1225" s="19">
        <f>O1225/1.19</f>
        <v/>
      </c>
      <c r="Q1225" s="19">
        <f>O1225-P1225</f>
        <v/>
      </c>
      <c r="R1225" s="19">
        <f>O1225*0.15</f>
        <v/>
      </c>
      <c r="S1225" s="19" t="n">
        <v>1.71</v>
      </c>
      <c r="T1225" s="19">
        <f>S1225*0.2</f>
        <v/>
      </c>
      <c r="U1225" s="19" t="n">
        <v>0.400000000000002</v>
      </c>
      <c r="V1225" s="19" t="n">
        <v>2.5</v>
      </c>
      <c r="W1225" s="19">
        <f>V1225*0.2</f>
        <v/>
      </c>
      <c r="X1225" s="16">
        <f>O1225-Q1225-R1225-S1225-U1225-V1225+T1225+W1225</f>
        <v/>
      </c>
      <c r="Y1225" s="18" t="n"/>
      <c r="Z1225" s="19">
        <f>O1225+1.5</f>
        <v/>
      </c>
      <c r="AA1225" s="19" t="n"/>
      <c r="AB1225" s="19" t="n"/>
      <c r="AC1225" s="18" t="n"/>
      <c r="AD1225" s="18" t="n"/>
      <c r="AE1225" s="13" t="inlineStr">
        <is>
          <t>NOT_UPLOADED</t>
        </is>
      </c>
    </row>
    <row r="1226" ht="16" customHeight="1">
      <c r="A1226" s="12" t="n">
        <v>3154148628125</v>
      </c>
      <c r="B1226" s="12" t="n"/>
      <c r="C1226" s="13" t="n"/>
      <c r="D1226" s="14" t="n"/>
      <c r="E1226" s="14" t="inlineStr">
        <is>
          <t>AR-3154148628125</t>
        </is>
      </c>
      <c r="F1226" s="12" t="n">
        <v>9862812</v>
      </c>
      <c r="G1226" s="14" t="inlineStr">
        <is>
          <t>ARGOPRIMA</t>
        </is>
      </c>
      <c r="H1226" s="14" t="inlineStr">
        <is>
          <t>MAPED</t>
        </is>
      </c>
      <c r="I1226" s="14" t="inlineStr">
        <is>
          <t>Maped 862812 Ergonomic Triangular Colouring Pencils, Colour'Peps Strong Mini - Particularly Stable Lead 3.2 mm - 12 x Pens</t>
        </is>
      </c>
      <c r="J1226" s="14" t="inlineStr">
        <is>
          <t>No</t>
        </is>
      </c>
      <c r="K1226" s="14" t="inlineStr">
        <is>
          <t>https://www.amazon.de/-/en/862812-Ergonomic-Triangular-Colouring-ColourPeps/dp/B082YC1KMN/ref=sr_1_4?dib=eyJ2IjoiMSJ9.mwMfbPUOzu7VS3p4W4T5wVpjFhhGA2ppbjHVSHrjSQdd3gn-HVb3POGLL2DJ16nfAAdQvT6wm2bRcyzOkyziXWub2xyjZdb1JXIU7u5A0EdOi_l-foa_9hVo4Mfvmn5H8Vnn8OqBTcOXL7AUGyl74oK1emjHf3Rax-yGqcNvPhKjwVbQvcjyZ4QoVSJuz8BnvMzZxNeUNHggeOKp3xMKzIXug1D1h5YnBSuHxFubmgwVJHXxDcnLPeDZVbJcL2fGVO0FKl8EhgauQLH006vVsJ-rQNwT-tSXKncETpCtUI8.huOBdFqoREGWv1kf2AXMBdCAWoPOPo8Q1D2HA_xmEMM&amp;dib_tag=se&amp;keywords=maped%2Bcolor&amp;qid=1764946944&amp;sr=8-4&amp;th=1</t>
        </is>
      </c>
      <c r="L1226" s="14" t="inlineStr">
        <is>
          <t>B082YC1KMN</t>
        </is>
      </c>
      <c r="M1226" s="15" t="n"/>
      <c r="N1226" s="15" t="n"/>
      <c r="O1226" s="15" t="n">
        <v>6.65</v>
      </c>
      <c r="P1226" s="15">
        <f>O1226/1.19</f>
        <v/>
      </c>
      <c r="Q1226" s="15">
        <f>O1226-P1226</f>
        <v/>
      </c>
      <c r="R1226" s="15">
        <f>O1226*0.15</f>
        <v/>
      </c>
      <c r="S1226" s="15" t="n">
        <v>0.9399999999999999</v>
      </c>
      <c r="T1226" s="15">
        <f>S1226*0.2</f>
        <v/>
      </c>
      <c r="U1226" s="15" t="n">
        <v>0.400000000000002</v>
      </c>
      <c r="V1226" s="15" t="n">
        <v>2.4</v>
      </c>
      <c r="W1226" s="15">
        <f>V1226*0.2</f>
        <v/>
      </c>
      <c r="X1226" s="16">
        <f>O1226-Q1226-R1226-S1226-U1226-V1226+T1226+W1226</f>
        <v/>
      </c>
      <c r="Y1226" s="14" t="n"/>
      <c r="Z1226" s="15">
        <f>O1226+1.5</f>
        <v/>
      </c>
      <c r="AA1226" s="15" t="n"/>
      <c r="AB1226" s="15" t="n"/>
      <c r="AC1226" s="14" t="n"/>
      <c r="AD1226" s="14" t="n"/>
      <c r="AE1226" s="13" t="inlineStr">
        <is>
          <t>NOT_UPLOADED</t>
        </is>
      </c>
    </row>
    <row r="1227" ht="16" customHeight="1">
      <c r="A1227" s="17" t="n"/>
      <c r="B1227" s="17" t="n"/>
      <c r="C1227" s="13" t="n"/>
      <c r="D1227" s="18" t="n"/>
      <c r="E1227" s="18" t="n"/>
      <c r="F1227" s="17" t="n">
        <v>9862624</v>
      </c>
      <c r="G1227" s="18" t="inlineStr">
        <is>
          <t>ARGOPRIMA</t>
        </is>
      </c>
      <c r="H1227" s="18" t="inlineStr">
        <is>
          <t>MAPED</t>
        </is>
      </c>
      <c r="I1227" s="18" t="inlineStr">
        <is>
          <t>Maped Color'Peps Black Monster Pens with Black Barrel and Colourful Monster Print</t>
        </is>
      </c>
      <c r="J1227" s="18" t="inlineStr">
        <is>
          <t>No</t>
        </is>
      </c>
      <c r="K1227" s="18" t="inlineStr">
        <is>
          <t>https://www.amazon.de/-/en/Maped-ColorPeps-Monster-Barrel-Colourful/dp/B082YCPMM6/ref=sr_1_6?dib=eyJ2IjoiMSJ9.mwMfbPUOzu7VS3p4W4T5wVpjFhhGA2ppbjHVSHrjSQdd3gn-HVb3POGLL2DJ16nfAAdQvT6wm2bRcyzOkyziXWub2xyjZdb1JXIU7u5A0EdOi_l-foa_9hVo4Mfvmn5H8Vnn8OqBTcOXL7AUGyl74oK1emjHf3Rax-yGqcNvPhKjwVbQvcjyZ4QoVSJuz8BnvMzZxNeUNHggeOKp3xMKzIXug1D1h5YnBSuHxFubmgwVJHXxDcnLPeDZVbJcL2fGVO0FKl8EhgauQLH006vVsJ-rQNwT-tSXKncETpCtUI8.huOBdFqoREGWv1kf2AXMBdCAWoPOPo8Q1D2HA_xmEMM&amp;dib_tag=se&amp;keywords=maped%2Bcolor&amp;qid=1764946944&amp;sr=8-6&amp;th=1</t>
        </is>
      </c>
      <c r="L1227" s="18" t="inlineStr">
        <is>
          <t>B082YCPMM6</t>
        </is>
      </c>
      <c r="M1227" s="19" t="n"/>
      <c r="N1227" s="19" t="n"/>
      <c r="O1227" s="19" t="n"/>
      <c r="P1227" s="19" t="n"/>
      <c r="Q1227" s="19" t="n"/>
      <c r="R1227" s="19" t="n"/>
      <c r="S1227" s="19" t="n">
        <v>3.85</v>
      </c>
      <c r="T1227" s="19">
        <f>S1227*0.2</f>
        <v/>
      </c>
      <c r="U1227" s="19" t="n">
        <v>0.400000000000002</v>
      </c>
      <c r="V1227" s="19" t="n"/>
      <c r="W1227" s="19" t="n"/>
      <c r="X1227" s="22" t="n"/>
      <c r="Y1227" s="18" t="n"/>
      <c r="Z1227" s="19" t="n"/>
      <c r="AA1227" s="19" t="n"/>
      <c r="AB1227" s="19" t="n"/>
      <c r="AC1227" s="18" t="n"/>
      <c r="AD1227" s="18" t="n"/>
      <c r="AE1227" s="13" t="inlineStr">
        <is>
          <t>NOT_UPLOADED</t>
        </is>
      </c>
    </row>
    <row r="1228" ht="16" customHeight="1">
      <c r="A1228" s="12" t="n"/>
      <c r="B1228" s="12" t="n"/>
      <c r="C1228" s="13" t="n"/>
      <c r="D1228" s="14" t="n"/>
      <c r="E1228" s="14" t="n"/>
      <c r="F1228" s="12" t="n">
        <v>9829601</v>
      </c>
      <c r="G1228" s="14" t="inlineStr">
        <is>
          <t>ARGOPRIMA</t>
        </is>
      </c>
      <c r="H1228" s="14" t="inlineStr">
        <is>
          <t>MAPED</t>
        </is>
      </c>
      <c r="I1228" s="14" t="inlineStr">
        <is>
          <t>Maped M829601 Pencils</t>
        </is>
      </c>
      <c r="J1228" s="14" t="inlineStr">
        <is>
          <t>No</t>
        </is>
      </c>
      <c r="K1228" s="14" t="inlineStr">
        <is>
          <t>https://www.amazon.de/-/en/M829601-Maped-Pencils/dp/B07DCM8B5G/ref=sr_1_10?dib=eyJ2IjoiMSJ9.mwMfbPUOzu7VS3p4W4T5wVpjFhhGA2ppbjHVSHrjSQdd3gn-HVb3POGLL2DJ16nfAAdQvT6wm2bRcyzOkyziXWub2xyjZdb1JXIU7u5A0EdOi_l-foa_9hVo4Mfvmn5H8Vnn8OqBTcOXL7AUGyl74oK1emjHf3Rax-yGqcNvPhKjwVbQvcjyZ4QoVSJuz8BnvMzZxNeUNHggeOKp3xMKzIXug1D1h5YnBSuHxFubmgwVJHXxDcnLPeDZVbJcL2fGVO0FKl8EhgauQLH006vVsJ-rQNwT-tSXKncETpCtUI8.huOBdFqoREGWv1kf2AXMBdCAWoPOPo8Q1D2HA_xmEMM&amp;dib_tag=se&amp;keywords=maped%2Bcolor&amp;qid=1764946944&amp;sr=8-10&amp;th=1</t>
        </is>
      </c>
      <c r="L1228" s="14" t="inlineStr">
        <is>
          <t>B07DCM8B5G</t>
        </is>
      </c>
      <c r="M1228" s="15" t="n"/>
      <c r="N1228" s="15" t="n"/>
      <c r="O1228" s="15" t="n"/>
      <c r="P1228" s="15" t="n"/>
      <c r="Q1228" s="15" t="n"/>
      <c r="R1228" s="15" t="n"/>
      <c r="S1228" s="15" t="n">
        <v>4.05</v>
      </c>
      <c r="T1228" s="15">
        <f>S1228*0.2</f>
        <v/>
      </c>
      <c r="U1228" s="15" t="n">
        <v>0.400000000000002</v>
      </c>
      <c r="V1228" s="15" t="n"/>
      <c r="W1228" s="15" t="n"/>
      <c r="X1228" s="22" t="n"/>
      <c r="Y1228" s="14" t="n"/>
      <c r="Z1228" s="15" t="n"/>
      <c r="AA1228" s="15" t="n"/>
      <c r="AB1228" s="15" t="n"/>
      <c r="AC1228" s="14" t="n"/>
      <c r="AD1228" s="14" t="n"/>
      <c r="AE1228" s="13" t="inlineStr">
        <is>
          <t>NOT_UPLOADED</t>
        </is>
      </c>
    </row>
    <row r="1229" ht="16" customHeight="1">
      <c r="A1229" s="17" t="n"/>
      <c r="B1229" s="17" t="n"/>
      <c r="C1229" s="13" t="n"/>
      <c r="D1229" s="18" t="n"/>
      <c r="E1229" s="18" t="n"/>
      <c r="F1229" s="17" t="n">
        <v>9861601</v>
      </c>
      <c r="G1229" s="18" t="inlineStr">
        <is>
          <t>ARGOPRIMA</t>
        </is>
      </c>
      <c r="H1229" s="18" t="inlineStr">
        <is>
          <t>MAPED</t>
        </is>
      </c>
      <c r="I1229" s="18" t="inlineStr">
        <is>
          <t>Maped - Color'Peps Infinity Colouring Pencils - 100% Coloured Lead, 100% Usable - Zero Waste - No Sharpening - Very Durable - Ergonomic Triangular Shape - Set of 24 Pens</t>
        </is>
      </c>
      <c r="J1229" s="18" t="inlineStr">
        <is>
          <t>No</t>
        </is>
      </c>
      <c r="K1229" s="18" t="inlineStr">
        <is>
          <t>https://www.amazon.de/dp/B0BS18VJRH/ref=twister_B0BWF3F1NR?_encoding=UTF8&amp;th=1</t>
        </is>
      </c>
      <c r="L1229" s="18" t="inlineStr">
        <is>
          <t>B0BS18VJRH</t>
        </is>
      </c>
      <c r="M1229" s="19" t="n"/>
      <c r="N1229" s="19" t="n"/>
      <c r="O1229" s="19" t="n">
        <v>11.5</v>
      </c>
      <c r="P1229" s="19">
        <f>O1229/1.19</f>
        <v/>
      </c>
      <c r="Q1229" s="19">
        <f>O1229-P1229</f>
        <v/>
      </c>
      <c r="R1229" s="19">
        <f>O1229*0.15</f>
        <v/>
      </c>
      <c r="S1229" s="19" t="n">
        <v>3.71</v>
      </c>
      <c r="T1229" s="19">
        <f>S1229*0.2</f>
        <v/>
      </c>
      <c r="U1229" s="19" t="n">
        <v>0.400000000000002</v>
      </c>
      <c r="V1229" s="19" t="n">
        <v>2.5</v>
      </c>
      <c r="W1229" s="19">
        <f>V1229*0.2</f>
        <v/>
      </c>
      <c r="X1229" s="21">
        <f>O1229-Q1229-R1229-S1229-U1229-V1229+T1229+W1229</f>
        <v/>
      </c>
      <c r="Y1229" s="18" t="n"/>
      <c r="Z1229" s="19">
        <f>O1229+1.5</f>
        <v/>
      </c>
      <c r="AA1229" s="19" t="n"/>
      <c r="AB1229" s="19" t="n"/>
      <c r="AC1229" s="18" t="n"/>
      <c r="AD1229" s="18" t="n"/>
      <c r="AE1229" s="13" t="inlineStr">
        <is>
          <t>NOT_UPLOADED</t>
        </is>
      </c>
    </row>
    <row r="1230" ht="16" customHeight="1">
      <c r="A1230" s="12" t="n"/>
      <c r="B1230" s="12" t="n"/>
      <c r="C1230" s="13" t="n"/>
      <c r="D1230" s="14" t="n"/>
      <c r="E1230" s="14" t="n"/>
      <c r="F1230" s="12" t="n">
        <v>9984718</v>
      </c>
      <c r="G1230" s="14" t="inlineStr">
        <is>
          <t>ARGOPRIMA</t>
        </is>
      </c>
      <c r="H1230" s="14" t="inlineStr">
        <is>
          <t>MAPED</t>
        </is>
      </c>
      <c r="I1230" s="14" t="inlineStr">
        <is>
          <t>Maped 984718 Colour'Peps Monster Felt Tip Pens x12 + Colouring Pencils x15, Multi-Coloured, 27 Pieces (Pack of 1)</t>
        </is>
      </c>
      <c r="J1230" s="14" t="inlineStr">
        <is>
          <t>No</t>
        </is>
      </c>
      <c r="K1230" s="14" t="inlineStr">
        <is>
          <t>https://www.amazon.de/-/en/984718-ColourPeps-Monster-Colouring-Multi-Coloured/dp/B08NW3L73H/ref=sr_1_30?dib=eyJ2IjoiMSJ9.mwMfbPUOzu7VS3p4W4T5wVpjFhhGA2ppbjHVSHrjSQdd3gn-HVb3POGLL2DJ16nfAAdQvT6wm2bRcyzOkyziXWub2xyjZdb1JXIU7u5A0EdOi_l-foa_9hVo4Mfvmn5H8Vnn8OqBTcOXL7AUGyl74oK1emjHf3Rax-yGqcNvPhKjwVbQvcjyZ4QoVSJuz8BnvMzZxNeUNHggeOKp3xMKzIXug1D1h5YnBSuHxFubmgwVJHXxDcnLPeDZVbJcL2fGVO0FKl8EhgauQLH006vVsJ-rQNwT-tSXKncETpCtUI8.huOBdFqoREGWv1kf2AXMBdCAWoPOPo8Q1D2HA_xmEMM&amp;dib_tag=se&amp;keywords=maped+color&amp;qid=1764946944&amp;sr=8-30</t>
        </is>
      </c>
      <c r="L1230" s="14" t="inlineStr">
        <is>
          <t>B08NW3L73H</t>
        </is>
      </c>
      <c r="M1230" s="15" t="n"/>
      <c r="N1230" s="15" t="n"/>
      <c r="O1230" s="15" t="n"/>
      <c r="P1230" s="15" t="n"/>
      <c r="Q1230" s="15" t="n"/>
      <c r="R1230" s="15" t="n"/>
      <c r="S1230" s="15" t="n">
        <v>4.52</v>
      </c>
      <c r="T1230" s="15">
        <f>S1230*0.2</f>
        <v/>
      </c>
      <c r="U1230" s="15" t="n">
        <v>0.400000000000002</v>
      </c>
      <c r="V1230" s="15" t="n"/>
      <c r="W1230" s="15" t="n"/>
      <c r="X1230" s="22" t="n"/>
      <c r="Y1230" s="14" t="n"/>
      <c r="Z1230" s="15" t="n"/>
      <c r="AA1230" s="15" t="n"/>
      <c r="AB1230" s="15" t="n"/>
      <c r="AC1230" s="14" t="n"/>
      <c r="AD1230" s="14" t="n"/>
      <c r="AE1230" s="13" t="inlineStr">
        <is>
          <t>NOT_UPLOADED</t>
        </is>
      </c>
    </row>
    <row r="1231" ht="16" customHeight="1">
      <c r="A1231" s="17" t="n"/>
      <c r="B1231" s="17" t="n"/>
      <c r="C1231" s="13" t="n"/>
      <c r="D1231" s="18" t="n"/>
      <c r="E1231" s="18" t="n"/>
      <c r="F1231" s="17" t="n">
        <v>9862201</v>
      </c>
      <c r="G1231" s="18" t="inlineStr">
        <is>
          <t>ARGOPRIMA</t>
        </is>
      </c>
      <c r="H1231" s="18" t="inlineStr">
        <is>
          <t>MAPED</t>
        </is>
      </c>
      <c r="I1231" s="18" t="inlineStr">
        <is>
          <t>Maped - Ergonomic Triangular Colouring Pencils, Mini Cute Colouring Pencils - Pack of 12 - Ergonomic - Excellent Coverage</t>
        </is>
      </c>
      <c r="J1231" s="18" t="inlineStr">
        <is>
          <t>No</t>
        </is>
      </c>
      <c r="K1231" s="18" t="inlineStr">
        <is>
          <t>https://www.amazon.de/-/en/Maped-Ergonomic-Triangular-Colouring-Excellent/dp/B09LYR7LTY/ref=sr_1_21?crid=2Q9QS2L2D3PRX&amp;dib=eyJ2IjoiMSJ9.jmzPXxVIkX36eDjkiyv_nBLY22FzgMsMCP76H_GMlUK_ceYNxC437ZkAtCRCKcmxP7RlcInwfmxBfjUTfAuul8AhtHhgJ0USjsnSAZFYoKMhmhIauBl8sPVABAHvmRuTibLt-Mz-rNWbku_3Y3qMscM5yAAIodZA4Ulff1rMad1AicIqWb-bSphn9KVYf4AppoGUwOgZ7_jKCdVpqJ_j7Q6u-xgRL5QbFk436sH0ZO8aI1l1ZmahH2xJDryIOiCQ6UfUa7HcZS3W0LDXOMfDntzGSnAI54bFkUR5YYWTl34.8HjcNKtk5gIpq6-Wk8W7_hagzxRCvu5bhJuFaXgwrxk&amp;dib_tag=se&amp;keywords=maped+color+MINI+CUTE&amp;qid=1765037171&amp;sprefix=maped+color+mini+cute%2Caps%2C133&amp;sr=8-21</t>
        </is>
      </c>
      <c r="L1231" s="18" t="inlineStr">
        <is>
          <t>B09LYR7LTY</t>
        </is>
      </c>
      <c r="M1231" s="19" t="n"/>
      <c r="N1231" s="19" t="n"/>
      <c r="O1231" s="19" t="n">
        <v>7.7</v>
      </c>
      <c r="P1231" s="19">
        <f>O1231/1.19</f>
        <v/>
      </c>
      <c r="Q1231" s="19">
        <f>O1231-P1231</f>
        <v/>
      </c>
      <c r="R1231" s="19">
        <f>O1231*0.15</f>
        <v/>
      </c>
      <c r="S1231" s="19" t="n">
        <v>1.62</v>
      </c>
      <c r="T1231" s="19">
        <f>S1231*0.2</f>
        <v/>
      </c>
      <c r="U1231" s="19" t="n">
        <v>0.400000000000002</v>
      </c>
      <c r="V1231" s="19" t="n">
        <v>2.2</v>
      </c>
      <c r="W1231" s="19">
        <f>V1231*0.2</f>
        <v/>
      </c>
      <c r="X1231" s="16">
        <f>O1231-Q1231-R1231-S1231-U1231-V1231+T1231+W1231</f>
        <v/>
      </c>
      <c r="Y1231" s="18" t="n"/>
      <c r="Z1231" s="19">
        <f>O1231+1.5</f>
        <v/>
      </c>
      <c r="AA1231" s="19" t="n"/>
      <c r="AB1231" s="19" t="n"/>
      <c r="AC1231" s="18" t="n"/>
      <c r="AD1231" s="18" t="n"/>
      <c r="AE1231" s="13" t="inlineStr">
        <is>
          <t>NOT_UPLOADED</t>
        </is>
      </c>
    </row>
    <row r="1232" ht="16" customHeight="1">
      <c r="A1232" s="12" t="n"/>
      <c r="B1232" s="12" t="n"/>
      <c r="C1232" s="13" t="n"/>
      <c r="D1232" s="14" t="n"/>
      <c r="E1232" s="14" t="n"/>
      <c r="F1232" s="12" t="n">
        <v>9861600</v>
      </c>
      <c r="G1232" s="14" t="inlineStr">
        <is>
          <t>ARGOPRIMA</t>
        </is>
      </c>
      <c r="H1232" s="14" t="inlineStr">
        <is>
          <t>MAPED</t>
        </is>
      </c>
      <c r="I1232" s="14" t="inlineStr">
        <is>
          <t>Maped - Innovative Colour'Peps Infinity Colouring Pencils - 100% Coloured Lead - No Sharpening Required - 100% Usable - Soft and Very Comfortable on Paper - Pack of 12</t>
        </is>
      </c>
      <c r="J1232" s="14" t="inlineStr">
        <is>
          <t>No</t>
        </is>
      </c>
      <c r="K1232" s="14" t="inlineStr">
        <is>
          <t>https://www.amazon.de/-/en/Maped-Innovative-ColourPeps-Sharpening-Comfortable/dp/B0BS1BZW26/ref=sr_1_12?crid=184WE7RZ8XGPX&amp;dib=eyJ2IjoiMSJ9.frUlDcikZYeUHS7PFDWB4aibtYNu_iZBb0HafUq1pmKcwcv8EsKNqvsIYuPGlih_or_UTZ21VrYwvdAZettNkBASStfbrnKNaE2XxPZ7CwJSoIQpIlO_KIn4gly-1DuGXsA_vmzd0BcCNQSGKCWCHgaZcU-gBFoFtNkaOEskxJZWOcrNc10sYK5GwgONuVXCixJB0bpSDJXfbj6dxXN2NMVdJzrtjB8neD-xmKtCYOWjEBpMZCPFX8_W4O6D5Uf0JvMaXbSkb-F9UWj2G8tiEdLEUC6oozbvaZ3AA5G0tP4.h-LjtQ0FRfKijr4VRulZpJbu3_TV9GJ90LzpF6SvE1Q&amp;dib_tag=se&amp;keywords=maped+color+PEPS+STAR&amp;qid=1765037955&amp;sprefix=maped+color+peps+star%2Caps%2C137&amp;sr=8-12</t>
        </is>
      </c>
      <c r="L1232" s="14" t="inlineStr">
        <is>
          <t>B0BS1BZW26</t>
        </is>
      </c>
      <c r="M1232" s="15" t="n"/>
      <c r="N1232" s="15" t="n"/>
      <c r="O1232" s="15" t="n">
        <v>7.9</v>
      </c>
      <c r="P1232" s="15">
        <f>O1232/1.19</f>
        <v/>
      </c>
      <c r="Q1232" s="15">
        <f>O1232-P1232</f>
        <v/>
      </c>
      <c r="R1232" s="15">
        <f>O1232*0.15</f>
        <v/>
      </c>
      <c r="S1232" s="15" t="n">
        <v>1.84</v>
      </c>
      <c r="T1232" s="15">
        <f>S1232*0.2</f>
        <v/>
      </c>
      <c r="U1232" s="15" t="n">
        <v>0.400000000000002</v>
      </c>
      <c r="V1232" s="15" t="n">
        <v>2.2</v>
      </c>
      <c r="W1232" s="15">
        <f>V1232*0.2</f>
        <v/>
      </c>
      <c r="X1232" s="16">
        <f>O1232-Q1232-R1232-S1232-U1232-V1232+T1232+W1232</f>
        <v/>
      </c>
      <c r="Y1232" s="14" t="n"/>
      <c r="Z1232" s="15">
        <f>O1232+1.5</f>
        <v/>
      </c>
      <c r="AA1232" s="15" t="n"/>
      <c r="AB1232" s="15" t="n"/>
      <c r="AC1232" s="14" t="n"/>
      <c r="AD1232" s="14" t="n"/>
      <c r="AE1232" s="13" t="inlineStr">
        <is>
          <t>NOT_UPLOADED</t>
        </is>
      </c>
    </row>
    <row r="1233" ht="16" customHeight="1">
      <c r="A1233" s="17" t="n"/>
      <c r="B1233" s="17" t="n"/>
      <c r="C1233" s="13" t="n"/>
      <c r="D1233" s="18" t="n"/>
      <c r="E1233" s="18" t="n"/>
      <c r="F1233" s="17" t="n">
        <v>9831800</v>
      </c>
      <c r="G1233" s="18" t="inlineStr">
        <is>
          <t>ARGOPRIMA</t>
        </is>
      </c>
      <c r="H1233" s="18" t="inlineStr">
        <is>
          <t>MAPED</t>
        </is>
      </c>
      <c r="I1233" s="18" t="inlineStr">
        <is>
          <t>Maped - Ergonomic Triangular Colouring Pencils, Colouring Pencils Smiling Planet Made of 100% FSC-Certified Wood - 12 x Pens</t>
        </is>
      </c>
      <c r="J1233" s="18" t="inlineStr">
        <is>
          <t>No</t>
        </is>
      </c>
      <c r="K1233" s="18" t="inlineStr">
        <is>
          <t>https://www.amazon.de/-/en/Maped-Ergonomic-Triangular-Colouring-FSC-Certified/dp/B0BNL3F392/ref=sr_1_2?dib=eyJ2IjoiMSJ9.PgD1HYWg8J7l_c9gh5e_inEtlPvDMs_CqRJ9EWyMrbQUdbbNBPsK0dvn4uxqitVieXQ1kKoMhoYD8lZa9nFgIsGMC7Z391Aan7UA7ZoP2mSb_zT1R3-jA1DAfN52-YbzkJ2XuxVbCq2AesIVj4NTCQvji9i2pCaXYCmB91towtxRpohrvSxvM0FTbRKUYxvj9RNJEHSMsjFxwYVLEAoov4zQ_xrbeHNvWJbOuZwww7ve56nKWi15QtkFqnU-Vl-1cZQLQpZWK6rPv39HpcEFy74icYmUh8PHoYTj39mLyD0.3RtdvFiggsnCwZbV0e6gGbboxD5FxoQoMt4msptvnLM&amp;dib_tag=se&amp;keywords=maped+smiling&amp;qid=1765225585&amp;sr=8-2</t>
        </is>
      </c>
      <c r="L1233" s="18" t="inlineStr">
        <is>
          <t>B0BNL3F392</t>
        </is>
      </c>
      <c r="M1233" s="19" t="n"/>
      <c r="N1233" s="19" t="n"/>
      <c r="O1233" s="19" t="n"/>
      <c r="P1233" s="19" t="n"/>
      <c r="Q1233" s="19" t="n"/>
      <c r="R1233" s="19" t="n"/>
      <c r="S1233" s="19" t="n">
        <v>2.1</v>
      </c>
      <c r="T1233" s="19">
        <f>S1233*0.2</f>
        <v/>
      </c>
      <c r="U1233" s="19" t="n">
        <v>0.400000000000002</v>
      </c>
      <c r="V1233" s="19" t="n">
        <v>2.2</v>
      </c>
      <c r="W1233" s="19">
        <f>V1233*0.2</f>
        <v/>
      </c>
      <c r="X1233" s="22" t="n"/>
      <c r="Y1233" s="18" t="n"/>
      <c r="Z1233" s="19" t="n"/>
      <c r="AA1233" s="19" t="n"/>
      <c r="AB1233" s="19" t="n"/>
      <c r="AC1233" s="18" t="n"/>
      <c r="AD1233" s="18" t="n"/>
      <c r="AE1233" s="13" t="inlineStr">
        <is>
          <t>NOT_UPLOADED</t>
        </is>
      </c>
    </row>
    <row r="1234" ht="16" customHeight="1">
      <c r="A1234" s="12" t="n"/>
      <c r="B1234" s="12" t="n"/>
      <c r="C1234" s="13" t="n"/>
      <c r="D1234" s="14" t="n"/>
      <c r="E1234" s="14" t="n"/>
      <c r="F1234" s="12" t="n">
        <v>9862204</v>
      </c>
      <c r="G1234" s="14" t="inlineStr">
        <is>
          <t>ARGOPRIMA</t>
        </is>
      </c>
      <c r="H1234" s="14" t="inlineStr">
        <is>
          <t>MAPED</t>
        </is>
      </c>
      <c r="I1234" s="14" t="inlineStr">
        <is>
          <t>Maped - Ergonomic Triangular Colouring Pencils, Pixel Party Coloured Pencils - x12 Pens - Printed with Pixel Designs</t>
        </is>
      </c>
      <c r="J1234" s="14" t="inlineStr">
        <is>
          <t>No</t>
        </is>
      </c>
      <c r="K1234" s="14" t="inlineStr">
        <is>
          <t>https://www.amazon.de/-/en/Maped-Ergonomic-Triangular-Colouring-Coloured/dp/B0CS6PHLHF/ref=sr_1_10?crid=2MUQYQ7XSWXMA&amp;dib=eyJ2IjoiMSJ9.W5oaXUsGnZFHK9MIRUuKPu2VZ_1Hh1ol4EjSLVoRtcz5cyHfSU1faDCTwtbWgnRKLAuaeWnTkdvAOo7IZ7c_xWtFYPgHtFZdU_xFsxvF9OaCT_YaRBbKwSaxYus-p3MjWNo9G4n1GjU_mwZKCAs1d4fmjaY4owOLYs5koUQrDDyekD0M29NtCp6wipAW845x6DW4U8pdlXjkv4TPKqvacZTyHgFifO903UwBXZQx9l2GBKCcoulDtdTu0hh01NyI3okYxOUSRbWy3OxPyDG-s-0q1pLHkTDgbNs71OzSZ7Y.dsi94AL50foxX3usolRU3FVHjsMgHoUSiE-V59FiY70&amp;dib_tag=se&amp;keywords=maped+pixel&amp;qid=1765225842&amp;sprefix=maped+pixel%2Caps%2C192&amp;sr=8-10</t>
        </is>
      </c>
      <c r="L1234" s="14" t="inlineStr">
        <is>
          <t>B0CS6PHLHF</t>
        </is>
      </c>
      <c r="M1234" s="15" t="n"/>
      <c r="N1234" s="15" t="n"/>
      <c r="O1234" s="15" t="n">
        <v>7.7</v>
      </c>
      <c r="P1234" s="15">
        <f>O1234/1.19</f>
        <v/>
      </c>
      <c r="Q1234" s="15">
        <f>O1234-P1234</f>
        <v/>
      </c>
      <c r="R1234" s="15">
        <f>O1234*0.15</f>
        <v/>
      </c>
      <c r="S1234" s="15" t="n">
        <v>2.1</v>
      </c>
      <c r="T1234" s="15">
        <f>S1234*0.2</f>
        <v/>
      </c>
      <c r="U1234" s="15" t="n">
        <v>0.400000000000002</v>
      </c>
      <c r="V1234" s="15" t="n">
        <v>2.2</v>
      </c>
      <c r="W1234" s="15">
        <f>V1234*0.2</f>
        <v/>
      </c>
      <c r="X1234" s="16">
        <f>O1234-Q1234-R1234-S1234-U1234-V1234+T1234+W1234</f>
        <v/>
      </c>
      <c r="Y1234" s="14" t="n"/>
      <c r="Z1234" s="15">
        <f>O1234+1.5</f>
        <v/>
      </c>
      <c r="AA1234" s="15" t="n"/>
      <c r="AB1234" s="15" t="n"/>
      <c r="AC1234" s="14" t="n"/>
      <c r="AD1234" s="14" t="n"/>
      <c r="AE1234" s="13" t="inlineStr">
        <is>
          <t>NOT_UPLOADED</t>
        </is>
      </c>
    </row>
    <row r="1235" ht="16" customHeight="1">
      <c r="A1235" s="17" t="n">
        <v>3154148320692</v>
      </c>
      <c r="B1235" s="17" t="n"/>
      <c r="C1235" s="13" t="n"/>
      <c r="D1235" s="18" t="n"/>
      <c r="E1235" s="18" t="inlineStr">
        <is>
          <t>ARG-3154148320692</t>
        </is>
      </c>
      <c r="F1235" s="17" t="n">
        <v>9832069</v>
      </c>
      <c r="G1235" s="18" t="inlineStr">
        <is>
          <t>ARGOPRIMA</t>
        </is>
      </c>
      <c r="H1235" s="18" t="inlineStr">
        <is>
          <t>MAPED</t>
        </is>
      </c>
      <c r="I1235" s="18" t="inlineStr">
        <is>
          <t>Maped Pastel Colouring Pencils (Pack of 12) 832069</t>
        </is>
      </c>
      <c r="J1235" s="18" t="inlineStr">
        <is>
          <t>No</t>
        </is>
      </c>
      <c r="K1235" s="18" t="inlineStr">
        <is>
          <t>https://www.amazon.de/-/en/Maped-Pastel-Colouring-Pencils-832069/dp/B08NVZKSLS/ref=sr_1_6?crid=1QQSD8L452TAG&amp;dib=eyJ2IjoiMSJ9.F7nyTOLQM4WIggOuHPv2kMwlz72q_BJa1H1ZWvCostgugqBUklFhXul8-C9hx_I4z2tNlIG_BjSaTVlJE5NoD2038l9nwRJA30RlNIeLZLKNixwTK5ph5BkQ6bP6L7AVCKcSC-yUhwIltohZXozOflKr2cB54wd-1FuiP91WtanjcakaV-EY-cAYh-gYXqudKoQoJU3GU1OvDLid_nsXBgMmgXODuuhTH40VAHQD__ckm_91uioygatckbPh8qVGp8w5-sIxFGP2O5Hs4_0HGKlQlXbVp35BDjfYUjv-l18.8j9jCwU_AVh1F3LupC5DT-GHwVFT_Ux-aqhZSIUR60g&amp;dib_tag=se&amp;keywords=maped+color+peps+pastel&amp;qid=1765226635&amp;sprefix=maped+color+peps+pastel%2Caps%2C227&amp;sr=8-6</t>
        </is>
      </c>
      <c r="L1235" s="18" t="inlineStr">
        <is>
          <t>B08NVZKSLS</t>
        </is>
      </c>
      <c r="M1235" s="19" t="n"/>
      <c r="N1235" s="19" t="n"/>
      <c r="O1235" s="19" t="n">
        <v>7.7</v>
      </c>
      <c r="P1235" s="19">
        <f>O1235/1.19</f>
        <v/>
      </c>
      <c r="Q1235" s="19">
        <f>O1235-P1235</f>
        <v/>
      </c>
      <c r="R1235" s="19">
        <f>O1235*0.15</f>
        <v/>
      </c>
      <c r="S1235" s="19" t="n">
        <v>2.22</v>
      </c>
      <c r="T1235" s="19">
        <f>S1235*0.2</f>
        <v/>
      </c>
      <c r="U1235" s="19" t="n">
        <v>0.400000000000002</v>
      </c>
      <c r="V1235" s="19" t="n">
        <v>2.2</v>
      </c>
      <c r="W1235" s="19">
        <f>V1235*0.2</f>
        <v/>
      </c>
      <c r="X1235" s="16">
        <f>O1235-Q1235-R1235-S1235-U1235-V1235+T1235+W1235</f>
        <v/>
      </c>
      <c r="Y1235" s="18" t="n"/>
      <c r="Z1235" s="19">
        <f>O1235+1.5</f>
        <v/>
      </c>
      <c r="AA1235" s="19" t="n"/>
      <c r="AB1235" s="19" t="n"/>
      <c r="AC1235" s="18" t="n"/>
      <c r="AD1235" s="18" t="n"/>
      <c r="AE1235" s="13" t="inlineStr">
        <is>
          <t>NOT_UPLOADED</t>
        </is>
      </c>
    </row>
    <row r="1236" ht="16" customHeight="1">
      <c r="A1236" s="12" t="n">
        <v>3154148627180</v>
      </c>
      <c r="B1236" s="12" t="n"/>
      <c r="C1236" s="13" t="n"/>
      <c r="D1236" s="14" t="n"/>
      <c r="E1236" s="14" t="inlineStr">
        <is>
          <t>ARG-3154148627180</t>
        </is>
      </c>
      <c r="F1236" s="12" t="n">
        <v>9862718</v>
      </c>
      <c r="G1236" s="14" t="inlineStr">
        <is>
          <t>ARGOPRIMA</t>
        </is>
      </c>
      <c r="H1236" s="14" t="inlineStr">
        <is>
          <t>MAPED</t>
        </is>
      </c>
      <c r="I1236" s="14" t="inlineStr">
        <is>
          <t>Maped - Strong Color'Peps Colouring Pencils - 18 Colouring Pencils, Very Robust and Ergonomic - Cardboard Case with 18 Pencils</t>
        </is>
      </c>
      <c r="J1236" s="14" t="inlineStr">
        <is>
          <t>No</t>
        </is>
      </c>
      <c r="K1236" s="14" t="inlineStr">
        <is>
          <t>https://www.amazon.de/-/en/Maped-ColorPeps-Colouring-Ergonomic-Cardboard/dp/B082YCW37P/ref=sr_1_9?crid=ZWTPY1NXNC0X&amp;dib=eyJ2IjoiMSJ9._J6AiJ9_ReyG_Lx9a6b_jpx60t5p4uTtC0lTVLjPjRsZjILUySENdKqIl7JKdCYN_zivxRSLV-Erc5ldL4ksOlKJ-lNrsHnTAGrOOlglpzjyTSRRXiUuk6ejHMmU0i1dzung2T8EiGN2iw2GITPTrl6wmw11BlD7zmu6_jPWlWiplY-w88PYlbNVsHXX1z_lJflFPQ9X1LUvsQ5fYBmj4R5-TawZ-sUKc28CTG7wcZbnDdefWeASsZBb4bkqgE1wlWNwpDLToASwU9tjJ3yXIjQs6Ljqk_gffT6WnDl9PCE.xi1G2E97V_Vf904w6RzStFEbrxd9tfmStb-K26O-FMU&amp;dib_tag=se&amp;keywords=maped+color+peps+strong&amp;qid=1765226779&amp;sprefix=maped+color+peps+strong%2Caps%2C153&amp;sr=8-9</t>
        </is>
      </c>
      <c r="L1236" s="14" t="inlineStr">
        <is>
          <t>B082YCW37P</t>
        </is>
      </c>
      <c r="M1236" s="15" t="n"/>
      <c r="N1236" s="15" t="n"/>
      <c r="O1236" s="15" t="n">
        <v>7.99</v>
      </c>
      <c r="P1236" s="15">
        <f>O1236/1.19</f>
        <v/>
      </c>
      <c r="Q1236" s="15">
        <f>O1236-P1236</f>
        <v/>
      </c>
      <c r="R1236" s="15">
        <f>O1236*0.15</f>
        <v/>
      </c>
      <c r="S1236" s="15" t="n">
        <v>2.26</v>
      </c>
      <c r="T1236" s="15">
        <f>S1236*0.2</f>
        <v/>
      </c>
      <c r="U1236" s="15" t="n">
        <v>0.400000000000002</v>
      </c>
      <c r="V1236" s="15" t="n">
        <v>2.4</v>
      </c>
      <c r="W1236" s="15">
        <f>V1236*0.2</f>
        <v/>
      </c>
      <c r="X1236" s="16">
        <f>O1236-Q1236-R1236-S1236-U1236-V1236+T1236+W1236</f>
        <v/>
      </c>
      <c r="Y1236" s="14" t="n"/>
      <c r="Z1236" s="15">
        <f>O1236+1.5</f>
        <v/>
      </c>
      <c r="AA1236" s="15" t="n"/>
      <c r="AB1236" s="15" t="n"/>
      <c r="AC1236" s="14" t="n"/>
      <c r="AD1236" s="14" t="n"/>
      <c r="AE1236" s="13" t="inlineStr">
        <is>
          <t>NOT_UPLOADED</t>
        </is>
      </c>
    </row>
    <row r="1237" ht="16" customHeight="1">
      <c r="A1237" s="17" t="n">
        <v>3154140340186</v>
      </c>
      <c r="B1237" s="17" t="n">
        <v>3154140340186</v>
      </c>
      <c r="C1237" s="13" t="n"/>
      <c r="D1237" s="18" t="n"/>
      <c r="E1237" s="18" t="inlineStr">
        <is>
          <t>ARGO-3154140340186</t>
        </is>
      </c>
      <c r="F1237" s="17" t="n">
        <v>9034018</v>
      </c>
      <c r="G1237" s="18" t="inlineStr">
        <is>
          <t>ARGOPRIMA</t>
        </is>
      </c>
      <c r="H1237" s="18" t="inlineStr">
        <is>
          <t>MAPED</t>
        </is>
      </c>
      <c r="I1237" s="18" t="inlineStr">
        <is>
          <t>Maped Harry Potter 34018 Pencil Sharpener for Thin Pencils, Sharpener Tin, Gryffindor, Red</t>
        </is>
      </c>
      <c r="J1237" s="18" t="inlineStr">
        <is>
          <t>No</t>
        </is>
      </c>
      <c r="K1237" s="18" t="inlineStr">
        <is>
          <t>https://www.amazon.de/-/en/Potter-Pencil-Sharpener-Pencils-Gryffindor/dp/B08W5DKTFG/ref=sr_1_1?crid=13P4PXT5QBPIC&amp;dib=eyJ2IjoiMSJ9.-7A_aSlD7eO-LcSX7Fan_Q.1fvlLzwSMdqQyw1kvzRg9M-JxodJmkATs8FeSOU3uhk&amp;dib_tag=se&amp;keywords=3154140340186&amp;qid=1767726679&amp;sprefix=3154140340186%2Caps%2C150&amp;sr=8-1</t>
        </is>
      </c>
      <c r="L1237" s="18" t="inlineStr">
        <is>
          <t>B08W5DKTFG</t>
        </is>
      </c>
      <c r="M1237" s="19" t="n"/>
      <c r="N1237" s="19" t="n"/>
      <c r="O1237" s="19" t="n">
        <v>5.45</v>
      </c>
      <c r="P1237" s="19">
        <f>O1237/1.19</f>
        <v/>
      </c>
      <c r="Q1237" s="19">
        <f>O1237-P1237</f>
        <v/>
      </c>
      <c r="R1237" s="19">
        <f>O1237*0.15</f>
        <v/>
      </c>
      <c r="S1237" s="19" t="n">
        <v>0.9</v>
      </c>
      <c r="T1237" s="19">
        <f>S1237*0.2</f>
        <v/>
      </c>
      <c r="U1237" s="19" t="n">
        <v>0.400000000000002</v>
      </c>
      <c r="V1237" s="19" t="n">
        <v>2</v>
      </c>
      <c r="W1237" s="19">
        <f>V1237*0.2</f>
        <v/>
      </c>
      <c r="X1237" s="16">
        <f>O1237-Q1237-R1237-S1237-U1237-V1237+T1237+W1237</f>
        <v/>
      </c>
      <c r="Y1237" s="18" t="n"/>
      <c r="Z1237" s="19">
        <f>O1237+1.5</f>
        <v/>
      </c>
      <c r="AA1237" s="19" t="n"/>
      <c r="AB1237" s="19" t="n"/>
      <c r="AC1237" s="18" t="n"/>
      <c r="AD1237" s="18" t="n"/>
      <c r="AE1237" s="13" t="inlineStr">
        <is>
          <t>NOT_UPLOADED</t>
        </is>
      </c>
    </row>
    <row r="1238" ht="16" customHeight="1">
      <c r="A1238" s="12" t="n">
        <v>3154148320531</v>
      </c>
      <c r="B1238" s="12" t="n">
        <v>3154148320531</v>
      </c>
      <c r="C1238" s="13" t="n"/>
      <c r="D1238" s="14" t="n"/>
      <c r="E1238" s="14" t="inlineStr">
        <is>
          <t>AR-3154148320531</t>
        </is>
      </c>
      <c r="F1238" s="12" t="n">
        <v>9832053</v>
      </c>
      <c r="G1238" s="14" t="inlineStr">
        <is>
          <t>ARGOPRIMA</t>
        </is>
      </c>
      <c r="H1238" s="14" t="inlineStr">
        <is>
          <t>MAPED</t>
        </is>
      </c>
      <c r="I1238" s="14" t="inlineStr">
        <is>
          <t>Maped 832053 Set of 12 Harry Potter Colouring Pencils, Ideal for Back to School, in Cardboard Case, Multicoloured, Pack of 12 (1 Pack)</t>
        </is>
      </c>
      <c r="J1238" s="14" t="inlineStr">
        <is>
          <t>No</t>
        </is>
      </c>
      <c r="K1238" s="14" t="inlineStr">
        <is>
          <t>https://www.amazon.de/-/en/832053-Colouring-Pencils-Cardboard-Multicoloured/dp/B08NXT8H53/ref=sr_1_1?crid=A81G5Y1QSL0&amp;dib=eyJ2IjoiMSJ9.kFCNNPyFYujZkbD5xII29JtY_YzwB1RXHMJ8aGkImo5_GkIw3ZALYogev8wnCcvpCzV1o6rWCOMbbSOMya-w1vRXsllLYhaCfEeL2_nzi77OYp4kEEvafJqCCxSTdzozO_T9idb2gxM3q4TEiaUHoRLrEwW_HVdp-_gZO7xXD06xvirxyJOtWmvT9ppgMDmtz9UmsJ1Vuz4fEJ__PAIF94pnAT3nKKcIFCfQ7Yj_p4qXO9Zp7fxfv8Ap3PdoG5RIZ8CVRRv57GXrugL_A-7Eflsw_QulPbYjy6FpC8VdpYg.cmmwErKR5bcHV10hbFGXOZQMNbxOS0de69h_c_-gF6g&amp;dib_tag=se&amp;keywords=maped+harry+potter&amp;qid=1767727560&amp;sprefix=MAPED+HARRY+%2Caps%2C150&amp;sr=8-1</t>
        </is>
      </c>
      <c r="L1238" s="14" t="inlineStr">
        <is>
          <t>B08NXT8H53</t>
        </is>
      </c>
      <c r="M1238" s="15" t="n"/>
      <c r="N1238" s="15" t="n"/>
      <c r="O1238" s="15" t="n">
        <v>7.7</v>
      </c>
      <c r="P1238" s="15">
        <f>O1238/1.19</f>
        <v/>
      </c>
      <c r="Q1238" s="15">
        <f>O1238-P1238</f>
        <v/>
      </c>
      <c r="R1238" s="15">
        <f>O1238*0.15</f>
        <v/>
      </c>
      <c r="S1238" s="15" t="n">
        <v>2.26</v>
      </c>
      <c r="T1238" s="15">
        <f>S1238*0.2</f>
        <v/>
      </c>
      <c r="U1238" s="15" t="n">
        <v>0.400000000000002</v>
      </c>
      <c r="V1238" s="15" t="n">
        <v>2.7</v>
      </c>
      <c r="W1238" s="15">
        <f>V1238*0.2</f>
        <v/>
      </c>
      <c r="X1238" s="22">
        <f>O1238-Q1238-R1238-S1238-U1238-V1238+T1238+W1238</f>
        <v/>
      </c>
      <c r="Y1238" s="14" t="n"/>
      <c r="Z1238" s="15">
        <f>O1238+1.5</f>
        <v/>
      </c>
      <c r="AA1238" s="15" t="n"/>
      <c r="AB1238" s="15" t="n"/>
      <c r="AC1238" s="14" t="n"/>
      <c r="AD1238" s="14" t="n"/>
      <c r="AE1238" s="13" t="inlineStr">
        <is>
          <t>NOT_UPLOADED</t>
        </is>
      </c>
    </row>
    <row r="1239" ht="16" customHeight="1">
      <c r="A1239" s="17" t="n">
        <v>4059313109470</v>
      </c>
      <c r="B1239" s="17" t="n">
        <v>3154141961007</v>
      </c>
      <c r="C1239" s="13" t="n"/>
      <c r="D1239" s="18" t="n"/>
      <c r="E1239" s="18" t="inlineStr">
        <is>
          <t>ARG-4059313109470</t>
        </is>
      </c>
      <c r="F1239" s="17" t="n">
        <v>9196100</v>
      </c>
      <c r="G1239" s="18" t="inlineStr">
        <is>
          <t>ARGOPRIMA</t>
        </is>
      </c>
      <c r="H1239" s="18" t="inlineStr">
        <is>
          <t>MAPED</t>
        </is>
      </c>
      <c r="I1239" s="18" t="inlineStr">
        <is>
          <t>Helit M196100 - 3 -teiliger Zirkelkasten Stop System, rutschfeste Mine</t>
        </is>
      </c>
      <c r="J1239" s="18" t="inlineStr">
        <is>
          <t>No</t>
        </is>
      </c>
      <c r="K1239" s="18" t="inlineStr">
        <is>
          <t>https://www.amazon.de/Helit-196100-Zirkel-System-3Tlg/dp/B0029FFQ1W/ref=sr_1_1?__mk_de_DE=%C3%85M%C3%85%C5%BD%C3%95%C3%91&amp;crid=1A7BNKUIC3YOO&amp;dib=eyJ2IjoiMSJ9.0rgijnOCmjrcvKehLi6SOg.zdmGvAhGuSu6L3EpOAmGhgCKbRXKpoegebxvDAt55RE&amp;dib_tag=se&amp;keywords=B0029FFQ1W&amp;qid=1771788449&amp;s=officeproduct&amp;sprefix=b0029ffq1w%2Coffice-products%2C219&amp;sr=1-1&amp;th=1</t>
        </is>
      </c>
      <c r="L1239" s="18" t="inlineStr">
        <is>
          <t>B0029FFQ1W</t>
        </is>
      </c>
      <c r="M1239" s="19" t="n"/>
      <c r="N1239" s="19" t="n"/>
      <c r="O1239" s="19" t="n">
        <v>10.15</v>
      </c>
      <c r="P1239" s="19">
        <f>O1239/1.19</f>
        <v/>
      </c>
      <c r="Q1239" s="19">
        <f>O1239-P1239</f>
        <v/>
      </c>
      <c r="R1239" s="19">
        <f>O1239*0.15</f>
        <v/>
      </c>
      <c r="S1239" s="19" t="n">
        <v>4.22</v>
      </c>
      <c r="T1239" s="19">
        <f>S1239*0.2</f>
        <v/>
      </c>
      <c r="U1239" s="19" t="n">
        <v>0.400000000000002</v>
      </c>
      <c r="V1239" s="19" t="n">
        <v>2.5</v>
      </c>
      <c r="W1239" s="19">
        <f>V1239*0.2</f>
        <v/>
      </c>
      <c r="X1239" s="16">
        <f>O1239-Q1239-R1239-S1239-U1239-V1239+T1239+W1239</f>
        <v/>
      </c>
      <c r="Y1239" s="18" t="n"/>
      <c r="Z1239" s="19">
        <f>O1239+1.5</f>
        <v/>
      </c>
      <c r="AA1239" s="19" t="n"/>
      <c r="AB1239" s="19" t="n"/>
      <c r="AC1239" s="18" t="n"/>
      <c r="AD1239" s="18" t="n"/>
      <c r="AE1239" s="13" t="inlineStr">
        <is>
          <t>NOT_UPLOADED</t>
        </is>
      </c>
    </row>
    <row r="1240" ht="16" customHeight="1">
      <c r="A1240" s="12" t="n"/>
      <c r="B1240" s="12" t="n"/>
      <c r="C1240" s="13" t="n"/>
      <c r="D1240" s="14" t="n"/>
      <c r="E1240" s="14" t="n"/>
      <c r="F1240" s="12" t="n"/>
      <c r="G1240" s="14" t="inlineStr">
        <is>
          <t>FORTUNA</t>
        </is>
      </c>
      <c r="H1240" s="14" t="inlineStr">
        <is>
          <t>TENA</t>
        </is>
      </c>
      <c r="I1240" s="14" t="n"/>
      <c r="J1240" s="14" t="inlineStr">
        <is>
          <t>No</t>
        </is>
      </c>
      <c r="K1240" s="14" t="n"/>
      <c r="L1240" s="14" t="inlineStr">
        <is>
          <t>B06XY4D6D2</t>
        </is>
      </c>
      <c r="M1240" s="15" t="n"/>
      <c r="N1240" s="15" t="n"/>
      <c r="O1240" s="15" t="n">
        <v>43</v>
      </c>
      <c r="P1240" s="15">
        <f>O1240/1.19</f>
        <v/>
      </c>
      <c r="Q1240" s="15">
        <f>O1240-P1240</f>
        <v/>
      </c>
      <c r="R1240" s="15">
        <f>O1240*0.15</f>
        <v/>
      </c>
      <c r="S1240" s="15" t="n">
        <v>16.8</v>
      </c>
      <c r="T1240" s="15">
        <f>S1240*0.2</f>
        <v/>
      </c>
      <c r="U1240" s="15" t="n">
        <v>0.400000000000002</v>
      </c>
      <c r="V1240" s="15" t="n">
        <v>10</v>
      </c>
      <c r="W1240" s="15">
        <f>V1240*0.2</f>
        <v/>
      </c>
      <c r="X1240" s="21">
        <f>O1240-Q1240-R1240-S1240-U1240-V1240+T1240+W1240</f>
        <v/>
      </c>
      <c r="Y1240" s="14" t="n"/>
      <c r="Z1240" s="15">
        <f>O1240+1.5</f>
        <v/>
      </c>
      <c r="AA1240" s="15" t="n"/>
      <c r="AB1240" s="15" t="n"/>
      <c r="AC1240" s="14" t="n"/>
      <c r="AD1240" s="14" t="n"/>
      <c r="AE1240" s="13" t="inlineStr">
        <is>
          <t>NOT_UPLOADED</t>
        </is>
      </c>
    </row>
    <row r="1241" ht="16" customHeight="1">
      <c r="A1241" s="17" t="n"/>
      <c r="B1241" s="17" t="n"/>
      <c r="C1241" s="13" t="n"/>
      <c r="D1241" s="18" t="n"/>
      <c r="E1241" s="18" t="n"/>
      <c r="F1241" s="17" t="n"/>
      <c r="G1241" s="18" t="inlineStr">
        <is>
          <t>FORTUNA</t>
        </is>
      </c>
      <c r="H1241" s="18" t="inlineStr">
        <is>
          <t>VICTORINOX</t>
        </is>
      </c>
      <c r="I1241" s="18" t="n"/>
      <c r="J1241" s="18" t="inlineStr">
        <is>
          <t>No</t>
        </is>
      </c>
      <c r="K1241" s="18" t="n"/>
      <c r="L1241" s="18" t="inlineStr">
        <is>
          <t>B0050DIQBC</t>
        </is>
      </c>
      <c r="M1241" s="19" t="n"/>
      <c r="N1241" s="19" t="n"/>
      <c r="O1241" s="19" t="n"/>
      <c r="P1241" s="19" t="n"/>
      <c r="Q1241" s="19" t="n"/>
      <c r="R1241" s="19" t="n"/>
      <c r="S1241" s="19" t="n"/>
      <c r="T1241" s="19" t="n"/>
      <c r="U1241" s="19" t="n">
        <v>0.400000000000002</v>
      </c>
      <c r="V1241" s="19" t="n"/>
      <c r="W1241" s="19" t="n"/>
      <c r="X1241" s="22" t="n"/>
      <c r="Y1241" s="18" t="n"/>
      <c r="Z1241" s="19" t="n"/>
      <c r="AA1241" s="19" t="n"/>
      <c r="AB1241" s="19" t="n"/>
      <c r="AC1241" s="18" t="n"/>
      <c r="AD1241" s="18" t="n"/>
      <c r="AE1241" s="13" t="inlineStr">
        <is>
          <t>NOT_UPLOADED</t>
        </is>
      </c>
    </row>
  </sheetData>
  <autoFilter ref="A3:AE1241"/>
  <mergeCells count="10">
    <mergeCell ref="S2:X2"/>
    <mergeCell ref="H2:L2"/>
    <mergeCell ref="E2:G2"/>
    <mergeCell ref="A2:B2"/>
    <mergeCell ref="C2:D2"/>
    <mergeCell ref="AC2:AE2"/>
    <mergeCell ref="P2:R2"/>
    <mergeCell ref="A1:AE1"/>
    <mergeCell ref="Y2:AB2"/>
    <mergeCell ref="M2:O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2026-03-19T09:46:05Z</dcterms:created>
  <dcterms:modified xmlns:dcterms="http://purl.org/dc/terms/" xmlns:xsi="http://www.w3.org/2001/XMLSchema-instance" xsi:type="dcterms:W3CDTF">2026-03-19T09:46:08Z</dcterms:modified>
</cp:coreProperties>
</file>